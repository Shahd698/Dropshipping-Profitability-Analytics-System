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1F31E1EB-C55A-4775-B0AD-39C0B6EFA50F}" xr6:coauthVersionLast="47" xr6:coauthVersionMax="47" xr10:uidLastSave="{00000000-0000-0000-0000-000000000000}"/>
  <bookViews>
    <workbookView xWindow="-98" yWindow="-98" windowWidth="21795" windowHeight="12975" tabRatio="892" xr2:uid="{00000000-000D-0000-FFFF-FFFF00000000}"/>
  </bookViews>
  <sheets>
    <sheet name="Project Overview" sheetId="2" r:id="rId1"/>
    <sheet name="Raw Data" sheetId="3" r:id="rId2"/>
    <sheet name="Product Master" sheetId="4" r:id="rId3"/>
    <sheet name="Profit Calculator" sheetId="5" r:id="rId4"/>
    <sheet name="Scenario Analysis" sheetId="6" r:id="rId5"/>
    <sheet name="Executive Dashboard" sheetId="8" r:id="rId6"/>
    <sheet name="sales_data_cleaned" sheetId="10" r:id="rId7"/>
  </sheets>
  <definedNames>
    <definedName name="ExternalData_1" localSheetId="6" hidden="1">sales_data_cleaned!$A$1:$S$501</definedName>
    <definedName name="SelectedIndustry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8" l="1"/>
  <c r="F15" i="6"/>
  <c r="F20" i="6" s="1"/>
  <c r="E15" i="6"/>
  <c r="E20" i="6" s="1"/>
  <c r="D15" i="6"/>
  <c r="D20" i="6" s="1"/>
  <c r="F13" i="6"/>
  <c r="E13" i="6"/>
  <c r="D13" i="6"/>
  <c r="C12" i="6"/>
  <c r="C11" i="6"/>
  <c r="C10" i="6"/>
  <c r="C9" i="6"/>
  <c r="C8" i="6"/>
  <c r="C7" i="6"/>
  <c r="C6" i="6"/>
  <c r="C41" i="5"/>
  <c r="C13" i="8" s="1"/>
  <c r="C39" i="5"/>
  <c r="C35" i="5"/>
  <c r="C36" i="5" s="1"/>
  <c r="B34" i="5"/>
  <c r="C33" i="5"/>
  <c r="B33" i="5"/>
  <c r="C32" i="5"/>
  <c r="C24" i="5"/>
  <c r="B24" i="5"/>
  <c r="B20" i="5"/>
  <c r="B19" i="5"/>
  <c r="B17" i="5"/>
  <c r="B15" i="5"/>
  <c r="B14" i="5"/>
  <c r="C10" i="5"/>
  <c r="B10" i="5"/>
  <c r="B8" i="5"/>
  <c r="B7" i="5"/>
  <c r="B2" i="5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I2" i="4"/>
  <c r="J2" i="4" s="1"/>
  <c r="Z501" i="3"/>
  <c r="Y501" i="3"/>
  <c r="V501" i="3"/>
  <c r="U501" i="3"/>
  <c r="T501" i="3"/>
  <c r="S501" i="3"/>
  <c r="U500" i="3"/>
  <c r="T500" i="3"/>
  <c r="S500" i="3"/>
  <c r="U499" i="3"/>
  <c r="T499" i="3"/>
  <c r="S499" i="3"/>
  <c r="U498" i="3"/>
  <c r="T498" i="3"/>
  <c r="S498" i="3"/>
  <c r="Z497" i="3"/>
  <c r="Y497" i="3"/>
  <c r="V497" i="3"/>
  <c r="U497" i="3"/>
  <c r="T497" i="3"/>
  <c r="S497" i="3"/>
  <c r="U496" i="3"/>
  <c r="T496" i="3"/>
  <c r="S496" i="3"/>
  <c r="U495" i="3"/>
  <c r="T495" i="3"/>
  <c r="S495" i="3"/>
  <c r="U494" i="3"/>
  <c r="T494" i="3"/>
  <c r="S494" i="3"/>
  <c r="U493" i="3"/>
  <c r="T493" i="3"/>
  <c r="S493" i="3"/>
  <c r="U492" i="3"/>
  <c r="T492" i="3"/>
  <c r="S492" i="3"/>
  <c r="U491" i="3"/>
  <c r="T491" i="3"/>
  <c r="S491" i="3"/>
  <c r="U490" i="3"/>
  <c r="T490" i="3"/>
  <c r="S490" i="3"/>
  <c r="U489" i="3"/>
  <c r="T489" i="3"/>
  <c r="S489" i="3"/>
  <c r="U488" i="3"/>
  <c r="T488" i="3"/>
  <c r="S488" i="3"/>
  <c r="U487" i="3"/>
  <c r="T487" i="3"/>
  <c r="S487" i="3"/>
  <c r="U486" i="3"/>
  <c r="T486" i="3"/>
  <c r="S486" i="3"/>
  <c r="U485" i="3"/>
  <c r="T485" i="3"/>
  <c r="S485" i="3"/>
  <c r="U484" i="3"/>
  <c r="T484" i="3"/>
  <c r="S484" i="3"/>
  <c r="U483" i="3"/>
  <c r="T483" i="3"/>
  <c r="S483" i="3"/>
  <c r="U482" i="3"/>
  <c r="T482" i="3"/>
  <c r="S482" i="3"/>
  <c r="U481" i="3"/>
  <c r="T481" i="3"/>
  <c r="S481" i="3"/>
  <c r="U480" i="3"/>
  <c r="T480" i="3"/>
  <c r="S480" i="3"/>
  <c r="U479" i="3"/>
  <c r="T479" i="3"/>
  <c r="S479" i="3"/>
  <c r="U478" i="3"/>
  <c r="T478" i="3"/>
  <c r="S478" i="3"/>
  <c r="U477" i="3"/>
  <c r="T477" i="3"/>
  <c r="S477" i="3"/>
  <c r="U476" i="3"/>
  <c r="T476" i="3"/>
  <c r="S476" i="3"/>
  <c r="U475" i="3"/>
  <c r="T475" i="3"/>
  <c r="S475" i="3"/>
  <c r="U474" i="3"/>
  <c r="T474" i="3"/>
  <c r="S474" i="3"/>
  <c r="U473" i="3"/>
  <c r="T473" i="3"/>
  <c r="S473" i="3"/>
  <c r="U472" i="3"/>
  <c r="T472" i="3"/>
  <c r="S472" i="3"/>
  <c r="U471" i="3"/>
  <c r="T471" i="3"/>
  <c r="S471" i="3"/>
  <c r="U470" i="3"/>
  <c r="T470" i="3"/>
  <c r="S470" i="3"/>
  <c r="U469" i="3"/>
  <c r="T469" i="3"/>
  <c r="S469" i="3"/>
  <c r="AB468" i="3"/>
  <c r="V468" i="3"/>
  <c r="U468" i="3"/>
  <c r="T468" i="3"/>
  <c r="Y468" i="3" s="1"/>
  <c r="Z468" i="3" s="1"/>
  <c r="AA468" i="3" s="1"/>
  <c r="S468" i="3"/>
  <c r="U467" i="3"/>
  <c r="T467" i="3"/>
  <c r="S467" i="3"/>
  <c r="U466" i="3"/>
  <c r="T466" i="3"/>
  <c r="S466" i="3"/>
  <c r="U465" i="3"/>
  <c r="T465" i="3"/>
  <c r="S465" i="3"/>
  <c r="U464" i="3"/>
  <c r="T464" i="3"/>
  <c r="S464" i="3"/>
  <c r="U463" i="3"/>
  <c r="T463" i="3"/>
  <c r="S463" i="3"/>
  <c r="U462" i="3"/>
  <c r="T462" i="3"/>
  <c r="S462" i="3"/>
  <c r="U461" i="3"/>
  <c r="T461" i="3"/>
  <c r="S461" i="3"/>
  <c r="U460" i="3"/>
  <c r="T460" i="3"/>
  <c r="S460" i="3"/>
  <c r="U459" i="3"/>
  <c r="T459" i="3"/>
  <c r="S459" i="3"/>
  <c r="U458" i="3"/>
  <c r="T458" i="3"/>
  <c r="S458" i="3"/>
  <c r="U457" i="3"/>
  <c r="T457" i="3"/>
  <c r="S457" i="3"/>
  <c r="U456" i="3"/>
  <c r="T456" i="3"/>
  <c r="S456" i="3"/>
  <c r="U455" i="3"/>
  <c r="T455" i="3"/>
  <c r="S455" i="3"/>
  <c r="U454" i="3"/>
  <c r="T454" i="3"/>
  <c r="S454" i="3"/>
  <c r="U453" i="3"/>
  <c r="T453" i="3"/>
  <c r="S453" i="3"/>
  <c r="U452" i="3"/>
  <c r="T452" i="3"/>
  <c r="S452" i="3"/>
  <c r="U451" i="3"/>
  <c r="T451" i="3"/>
  <c r="S451" i="3"/>
  <c r="U450" i="3"/>
  <c r="T450" i="3"/>
  <c r="S450" i="3"/>
  <c r="U449" i="3"/>
  <c r="T449" i="3"/>
  <c r="S449" i="3"/>
  <c r="U448" i="3"/>
  <c r="T448" i="3"/>
  <c r="S448" i="3"/>
  <c r="U447" i="3"/>
  <c r="T447" i="3"/>
  <c r="S447" i="3"/>
  <c r="U446" i="3"/>
  <c r="T446" i="3"/>
  <c r="S446" i="3"/>
  <c r="U445" i="3"/>
  <c r="T445" i="3"/>
  <c r="S445" i="3"/>
  <c r="U444" i="3"/>
  <c r="T444" i="3"/>
  <c r="S444" i="3"/>
  <c r="U443" i="3"/>
  <c r="T443" i="3"/>
  <c r="S443" i="3"/>
  <c r="U442" i="3"/>
  <c r="T442" i="3"/>
  <c r="S442" i="3"/>
  <c r="U441" i="3"/>
  <c r="T441" i="3"/>
  <c r="S441" i="3"/>
  <c r="U440" i="3"/>
  <c r="T440" i="3"/>
  <c r="S440" i="3"/>
  <c r="U439" i="3"/>
  <c r="T439" i="3"/>
  <c r="S439" i="3"/>
  <c r="U438" i="3"/>
  <c r="T438" i="3"/>
  <c r="S438" i="3"/>
  <c r="U437" i="3"/>
  <c r="T437" i="3"/>
  <c r="S437" i="3"/>
  <c r="Z436" i="3"/>
  <c r="Y436" i="3"/>
  <c r="V436" i="3"/>
  <c r="U436" i="3"/>
  <c r="T436" i="3"/>
  <c r="S436" i="3"/>
  <c r="U435" i="3"/>
  <c r="T435" i="3"/>
  <c r="S435" i="3"/>
  <c r="U434" i="3"/>
  <c r="T434" i="3"/>
  <c r="S434" i="3"/>
  <c r="U433" i="3"/>
  <c r="T433" i="3"/>
  <c r="S433" i="3"/>
  <c r="U432" i="3"/>
  <c r="T432" i="3"/>
  <c r="S432" i="3"/>
  <c r="U431" i="3"/>
  <c r="T431" i="3"/>
  <c r="S431" i="3"/>
  <c r="U430" i="3"/>
  <c r="T430" i="3"/>
  <c r="S430" i="3"/>
  <c r="U429" i="3"/>
  <c r="T429" i="3"/>
  <c r="S429" i="3"/>
  <c r="U428" i="3"/>
  <c r="T428" i="3"/>
  <c r="S428" i="3"/>
  <c r="U427" i="3"/>
  <c r="T427" i="3"/>
  <c r="S427" i="3"/>
  <c r="U426" i="3"/>
  <c r="T426" i="3"/>
  <c r="S426" i="3"/>
  <c r="U425" i="3"/>
  <c r="T425" i="3"/>
  <c r="S425" i="3"/>
  <c r="U424" i="3"/>
  <c r="T424" i="3"/>
  <c r="S424" i="3"/>
  <c r="U423" i="3"/>
  <c r="T423" i="3"/>
  <c r="S423" i="3"/>
  <c r="U422" i="3"/>
  <c r="T422" i="3"/>
  <c r="S422" i="3"/>
  <c r="U421" i="3"/>
  <c r="T421" i="3"/>
  <c r="S421" i="3"/>
  <c r="U420" i="3"/>
  <c r="T420" i="3"/>
  <c r="S420" i="3"/>
  <c r="U419" i="3"/>
  <c r="T419" i="3"/>
  <c r="S419" i="3"/>
  <c r="U418" i="3"/>
  <c r="T418" i="3"/>
  <c r="S418" i="3"/>
  <c r="U417" i="3"/>
  <c r="T417" i="3"/>
  <c r="S417" i="3"/>
  <c r="AB416" i="3"/>
  <c r="V416" i="3"/>
  <c r="Y416" i="3" s="1"/>
  <c r="Z416" i="3" s="1"/>
  <c r="AA416" i="3" s="1"/>
  <c r="U416" i="3"/>
  <c r="T416" i="3"/>
  <c r="S416" i="3"/>
  <c r="U415" i="3"/>
  <c r="T415" i="3"/>
  <c r="S415" i="3"/>
  <c r="U414" i="3"/>
  <c r="T414" i="3"/>
  <c r="S414" i="3"/>
  <c r="U413" i="3"/>
  <c r="T413" i="3"/>
  <c r="S413" i="3"/>
  <c r="U412" i="3"/>
  <c r="T412" i="3"/>
  <c r="S412" i="3"/>
  <c r="U411" i="3"/>
  <c r="T411" i="3"/>
  <c r="S411" i="3"/>
  <c r="U410" i="3"/>
  <c r="T410" i="3"/>
  <c r="S410" i="3"/>
  <c r="U409" i="3"/>
  <c r="T409" i="3"/>
  <c r="S409" i="3"/>
  <c r="Z408" i="3"/>
  <c r="Y408" i="3"/>
  <c r="V408" i="3"/>
  <c r="U408" i="3"/>
  <c r="T408" i="3"/>
  <c r="S408" i="3"/>
  <c r="U407" i="3"/>
  <c r="T407" i="3"/>
  <c r="S407" i="3"/>
  <c r="U406" i="3"/>
  <c r="T406" i="3"/>
  <c r="S406" i="3"/>
  <c r="U405" i="3"/>
  <c r="T405" i="3"/>
  <c r="S405" i="3"/>
  <c r="U404" i="3"/>
  <c r="T404" i="3"/>
  <c r="S404" i="3"/>
  <c r="U403" i="3"/>
  <c r="T403" i="3"/>
  <c r="S403" i="3"/>
  <c r="U402" i="3"/>
  <c r="T402" i="3"/>
  <c r="S402" i="3"/>
  <c r="U401" i="3"/>
  <c r="T401" i="3"/>
  <c r="S401" i="3"/>
  <c r="U400" i="3"/>
  <c r="T400" i="3"/>
  <c r="S400" i="3"/>
  <c r="U399" i="3"/>
  <c r="T399" i="3"/>
  <c r="S399" i="3"/>
  <c r="U398" i="3"/>
  <c r="T398" i="3"/>
  <c r="S398" i="3"/>
  <c r="U397" i="3"/>
  <c r="T397" i="3"/>
  <c r="S397" i="3"/>
  <c r="U396" i="3"/>
  <c r="T396" i="3"/>
  <c r="S396" i="3"/>
  <c r="U395" i="3"/>
  <c r="T395" i="3"/>
  <c r="S395" i="3"/>
  <c r="U394" i="3"/>
  <c r="T394" i="3"/>
  <c r="S394" i="3"/>
  <c r="U393" i="3"/>
  <c r="T393" i="3"/>
  <c r="S393" i="3"/>
  <c r="U392" i="3"/>
  <c r="T392" i="3"/>
  <c r="S392" i="3"/>
  <c r="Z391" i="3"/>
  <c r="Y391" i="3"/>
  <c r="V391" i="3"/>
  <c r="U391" i="3"/>
  <c r="T391" i="3"/>
  <c r="S391" i="3"/>
  <c r="U390" i="3"/>
  <c r="T390" i="3"/>
  <c r="S390" i="3"/>
  <c r="U389" i="3"/>
  <c r="T389" i="3"/>
  <c r="S389" i="3"/>
  <c r="U388" i="3"/>
  <c r="T388" i="3"/>
  <c r="S388" i="3"/>
  <c r="U387" i="3"/>
  <c r="T387" i="3"/>
  <c r="S387" i="3"/>
  <c r="U386" i="3"/>
  <c r="T386" i="3"/>
  <c r="S386" i="3"/>
  <c r="U385" i="3"/>
  <c r="T385" i="3"/>
  <c r="S385" i="3"/>
  <c r="U384" i="3"/>
  <c r="T384" i="3"/>
  <c r="S384" i="3"/>
  <c r="U383" i="3"/>
  <c r="T383" i="3"/>
  <c r="S383" i="3"/>
  <c r="U382" i="3"/>
  <c r="T382" i="3"/>
  <c r="S382" i="3"/>
  <c r="U381" i="3"/>
  <c r="T381" i="3"/>
  <c r="S381" i="3"/>
  <c r="U380" i="3"/>
  <c r="T380" i="3"/>
  <c r="S380" i="3"/>
  <c r="U379" i="3"/>
  <c r="T379" i="3"/>
  <c r="S379" i="3"/>
  <c r="U378" i="3"/>
  <c r="T378" i="3"/>
  <c r="S378" i="3"/>
  <c r="U377" i="3"/>
  <c r="T377" i="3"/>
  <c r="S377" i="3"/>
  <c r="U376" i="3"/>
  <c r="T376" i="3"/>
  <c r="S376" i="3"/>
  <c r="U375" i="3"/>
  <c r="T375" i="3"/>
  <c r="S375" i="3"/>
  <c r="U374" i="3"/>
  <c r="T374" i="3"/>
  <c r="S374" i="3"/>
  <c r="U373" i="3"/>
  <c r="T373" i="3"/>
  <c r="S373" i="3"/>
  <c r="U372" i="3"/>
  <c r="T372" i="3"/>
  <c r="S372" i="3"/>
  <c r="U371" i="3"/>
  <c r="T371" i="3"/>
  <c r="S371" i="3"/>
  <c r="U370" i="3"/>
  <c r="T370" i="3"/>
  <c r="S370" i="3"/>
  <c r="U369" i="3"/>
  <c r="T369" i="3"/>
  <c r="S369" i="3"/>
  <c r="U368" i="3"/>
  <c r="T368" i="3"/>
  <c r="S368" i="3"/>
  <c r="U367" i="3"/>
  <c r="T367" i="3"/>
  <c r="S367" i="3"/>
  <c r="U366" i="3"/>
  <c r="T366" i="3"/>
  <c r="S366" i="3"/>
  <c r="U365" i="3"/>
  <c r="T365" i="3"/>
  <c r="S365" i="3"/>
  <c r="AB364" i="3"/>
  <c r="U364" i="3"/>
  <c r="T364" i="3"/>
  <c r="S364" i="3"/>
  <c r="V364" i="3" s="1"/>
  <c r="U363" i="3"/>
  <c r="T363" i="3"/>
  <c r="S363" i="3"/>
  <c r="U362" i="3"/>
  <c r="T362" i="3"/>
  <c r="S362" i="3"/>
  <c r="U361" i="3"/>
  <c r="T361" i="3"/>
  <c r="S361" i="3"/>
  <c r="U360" i="3"/>
  <c r="T360" i="3"/>
  <c r="S360" i="3"/>
  <c r="U359" i="3"/>
  <c r="T359" i="3"/>
  <c r="S359" i="3"/>
  <c r="U358" i="3"/>
  <c r="T358" i="3"/>
  <c r="S358" i="3"/>
  <c r="U357" i="3"/>
  <c r="T357" i="3"/>
  <c r="S357" i="3"/>
  <c r="U356" i="3"/>
  <c r="T356" i="3"/>
  <c r="S356" i="3"/>
  <c r="U355" i="3"/>
  <c r="T355" i="3"/>
  <c r="S355" i="3"/>
  <c r="U354" i="3"/>
  <c r="T354" i="3"/>
  <c r="S354" i="3"/>
  <c r="U353" i="3"/>
  <c r="T353" i="3"/>
  <c r="S353" i="3"/>
  <c r="U352" i="3"/>
  <c r="T352" i="3"/>
  <c r="S352" i="3"/>
  <c r="U351" i="3"/>
  <c r="T351" i="3"/>
  <c r="S351" i="3"/>
  <c r="U350" i="3"/>
  <c r="T350" i="3"/>
  <c r="S350" i="3"/>
  <c r="U349" i="3"/>
  <c r="T349" i="3"/>
  <c r="S349" i="3"/>
  <c r="U348" i="3"/>
  <c r="T348" i="3"/>
  <c r="S348" i="3"/>
  <c r="U347" i="3"/>
  <c r="T347" i="3"/>
  <c r="S347" i="3"/>
  <c r="Z346" i="3"/>
  <c r="Y346" i="3"/>
  <c r="V346" i="3"/>
  <c r="U346" i="3"/>
  <c r="T346" i="3"/>
  <c r="S346" i="3"/>
  <c r="U345" i="3"/>
  <c r="T345" i="3"/>
  <c r="S345" i="3"/>
  <c r="U344" i="3"/>
  <c r="T344" i="3"/>
  <c r="S344" i="3"/>
  <c r="U343" i="3"/>
  <c r="T343" i="3"/>
  <c r="S343" i="3"/>
  <c r="U342" i="3"/>
  <c r="T342" i="3"/>
  <c r="S342" i="3"/>
  <c r="U341" i="3"/>
  <c r="T341" i="3"/>
  <c r="S341" i="3"/>
  <c r="U340" i="3"/>
  <c r="T340" i="3"/>
  <c r="S340" i="3"/>
  <c r="U339" i="3"/>
  <c r="T339" i="3"/>
  <c r="S339" i="3"/>
  <c r="U338" i="3"/>
  <c r="T338" i="3"/>
  <c r="S338" i="3"/>
  <c r="U337" i="3"/>
  <c r="T337" i="3"/>
  <c r="S337" i="3"/>
  <c r="U336" i="3"/>
  <c r="T336" i="3"/>
  <c r="S336" i="3"/>
  <c r="U335" i="3"/>
  <c r="T335" i="3"/>
  <c r="S335" i="3"/>
  <c r="U334" i="3"/>
  <c r="T334" i="3"/>
  <c r="S334" i="3"/>
  <c r="U333" i="3"/>
  <c r="T333" i="3"/>
  <c r="S333" i="3"/>
  <c r="U332" i="3"/>
  <c r="T332" i="3"/>
  <c r="S332" i="3"/>
  <c r="U331" i="3"/>
  <c r="T331" i="3"/>
  <c r="S331" i="3"/>
  <c r="U330" i="3"/>
  <c r="T330" i="3"/>
  <c r="S330" i="3"/>
  <c r="U329" i="3"/>
  <c r="T329" i="3"/>
  <c r="S329" i="3"/>
  <c r="U328" i="3"/>
  <c r="T328" i="3"/>
  <c r="S328" i="3"/>
  <c r="U327" i="3"/>
  <c r="T327" i="3"/>
  <c r="S327" i="3"/>
  <c r="U326" i="3"/>
  <c r="T326" i="3"/>
  <c r="S326" i="3"/>
  <c r="U325" i="3"/>
  <c r="T325" i="3"/>
  <c r="S325" i="3"/>
  <c r="U324" i="3"/>
  <c r="T324" i="3"/>
  <c r="S324" i="3"/>
  <c r="U323" i="3"/>
  <c r="T323" i="3"/>
  <c r="S323" i="3"/>
  <c r="U322" i="3"/>
  <c r="T322" i="3"/>
  <c r="S322" i="3"/>
  <c r="U321" i="3"/>
  <c r="T321" i="3"/>
  <c r="S321" i="3"/>
  <c r="U320" i="3"/>
  <c r="T320" i="3"/>
  <c r="S320" i="3"/>
  <c r="U319" i="3"/>
  <c r="T319" i="3"/>
  <c r="S319" i="3"/>
  <c r="U318" i="3"/>
  <c r="T318" i="3"/>
  <c r="S318" i="3"/>
  <c r="U317" i="3"/>
  <c r="T317" i="3"/>
  <c r="S317" i="3"/>
  <c r="U316" i="3"/>
  <c r="T316" i="3"/>
  <c r="S316" i="3"/>
  <c r="U315" i="3"/>
  <c r="T315" i="3"/>
  <c r="S315" i="3"/>
  <c r="U314" i="3"/>
  <c r="T314" i="3"/>
  <c r="S314" i="3"/>
  <c r="U313" i="3"/>
  <c r="T313" i="3"/>
  <c r="S313" i="3"/>
  <c r="AB312" i="3"/>
  <c r="U312" i="3"/>
  <c r="T312" i="3"/>
  <c r="S312" i="3"/>
  <c r="U311" i="3"/>
  <c r="T311" i="3"/>
  <c r="S311" i="3"/>
  <c r="U310" i="3"/>
  <c r="T310" i="3"/>
  <c r="S310" i="3"/>
  <c r="U309" i="3"/>
  <c r="T309" i="3"/>
  <c r="S309" i="3"/>
  <c r="U308" i="3"/>
  <c r="T308" i="3"/>
  <c r="S308" i="3"/>
  <c r="U307" i="3"/>
  <c r="T307" i="3"/>
  <c r="S307" i="3"/>
  <c r="U306" i="3"/>
  <c r="T306" i="3"/>
  <c r="S306" i="3"/>
  <c r="U305" i="3"/>
  <c r="T305" i="3"/>
  <c r="S305" i="3"/>
  <c r="U304" i="3"/>
  <c r="T304" i="3"/>
  <c r="S304" i="3"/>
  <c r="U303" i="3"/>
  <c r="T303" i="3"/>
  <c r="S303" i="3"/>
  <c r="U302" i="3"/>
  <c r="T302" i="3"/>
  <c r="S302" i="3"/>
  <c r="U301" i="3"/>
  <c r="T301" i="3"/>
  <c r="S301" i="3"/>
  <c r="U300" i="3"/>
  <c r="T300" i="3"/>
  <c r="S300" i="3"/>
  <c r="U299" i="3"/>
  <c r="T299" i="3"/>
  <c r="S299" i="3"/>
  <c r="U298" i="3"/>
  <c r="T298" i="3"/>
  <c r="S298" i="3"/>
  <c r="U297" i="3"/>
  <c r="T297" i="3"/>
  <c r="S297" i="3"/>
  <c r="U296" i="3"/>
  <c r="T296" i="3"/>
  <c r="S296" i="3"/>
  <c r="U295" i="3"/>
  <c r="T295" i="3"/>
  <c r="S295" i="3"/>
  <c r="U294" i="3"/>
  <c r="T294" i="3"/>
  <c r="S294" i="3"/>
  <c r="U293" i="3"/>
  <c r="T293" i="3"/>
  <c r="S293" i="3"/>
  <c r="U292" i="3"/>
  <c r="T292" i="3"/>
  <c r="S292" i="3"/>
  <c r="U291" i="3"/>
  <c r="T291" i="3"/>
  <c r="S291" i="3"/>
  <c r="U290" i="3"/>
  <c r="T290" i="3"/>
  <c r="S290" i="3"/>
  <c r="U289" i="3"/>
  <c r="T289" i="3"/>
  <c r="S289" i="3"/>
  <c r="U288" i="3"/>
  <c r="T288" i="3"/>
  <c r="S288" i="3"/>
  <c r="U287" i="3"/>
  <c r="T287" i="3"/>
  <c r="S287" i="3"/>
  <c r="U286" i="3"/>
  <c r="T286" i="3"/>
  <c r="S286" i="3"/>
  <c r="U285" i="3"/>
  <c r="T285" i="3"/>
  <c r="S285" i="3"/>
  <c r="U284" i="3"/>
  <c r="T284" i="3"/>
  <c r="S284" i="3"/>
  <c r="U283" i="3"/>
  <c r="T283" i="3"/>
  <c r="S283" i="3"/>
  <c r="U282" i="3"/>
  <c r="T282" i="3"/>
  <c r="S282" i="3"/>
  <c r="U281" i="3"/>
  <c r="T281" i="3"/>
  <c r="S281" i="3"/>
  <c r="U280" i="3"/>
  <c r="T280" i="3"/>
  <c r="S280" i="3"/>
  <c r="U279" i="3"/>
  <c r="T279" i="3"/>
  <c r="S279" i="3"/>
  <c r="U278" i="3"/>
  <c r="T278" i="3"/>
  <c r="S278" i="3"/>
  <c r="U277" i="3"/>
  <c r="T277" i="3"/>
  <c r="S277" i="3"/>
  <c r="U276" i="3"/>
  <c r="T276" i="3"/>
  <c r="S276" i="3"/>
  <c r="U275" i="3"/>
  <c r="T275" i="3"/>
  <c r="S275" i="3"/>
  <c r="U274" i="3"/>
  <c r="T274" i="3"/>
  <c r="S274" i="3"/>
  <c r="U273" i="3"/>
  <c r="T273" i="3"/>
  <c r="S273" i="3"/>
  <c r="U272" i="3"/>
  <c r="T272" i="3"/>
  <c r="S272" i="3"/>
  <c r="U271" i="3"/>
  <c r="T271" i="3"/>
  <c r="S271" i="3"/>
  <c r="U270" i="3"/>
  <c r="T270" i="3"/>
  <c r="S270" i="3"/>
  <c r="U269" i="3"/>
  <c r="T269" i="3"/>
  <c r="S269" i="3"/>
  <c r="U268" i="3"/>
  <c r="T268" i="3"/>
  <c r="S268" i="3"/>
  <c r="U267" i="3"/>
  <c r="T267" i="3"/>
  <c r="S267" i="3"/>
  <c r="U266" i="3"/>
  <c r="T266" i="3"/>
  <c r="S266" i="3"/>
  <c r="U265" i="3"/>
  <c r="T265" i="3"/>
  <c r="S265" i="3"/>
  <c r="U264" i="3"/>
  <c r="T264" i="3"/>
  <c r="S264" i="3"/>
  <c r="U263" i="3"/>
  <c r="T263" i="3"/>
  <c r="S263" i="3"/>
  <c r="U262" i="3"/>
  <c r="T262" i="3"/>
  <c r="S262" i="3"/>
  <c r="U261" i="3"/>
  <c r="T261" i="3"/>
  <c r="S261" i="3"/>
  <c r="U260" i="3"/>
  <c r="T260" i="3"/>
  <c r="S260" i="3"/>
  <c r="U259" i="3"/>
  <c r="T259" i="3"/>
  <c r="S259" i="3"/>
  <c r="U258" i="3"/>
  <c r="T258" i="3"/>
  <c r="S258" i="3"/>
  <c r="U257" i="3"/>
  <c r="T257" i="3"/>
  <c r="S257" i="3"/>
  <c r="U256" i="3"/>
  <c r="T256" i="3"/>
  <c r="S256" i="3"/>
  <c r="U255" i="3"/>
  <c r="T255" i="3"/>
  <c r="S255" i="3"/>
  <c r="U254" i="3"/>
  <c r="T254" i="3"/>
  <c r="S254" i="3"/>
  <c r="U253" i="3"/>
  <c r="T253" i="3"/>
  <c r="S253" i="3"/>
  <c r="U252" i="3"/>
  <c r="T252" i="3"/>
  <c r="S252" i="3"/>
  <c r="U251" i="3"/>
  <c r="T251" i="3"/>
  <c r="S251" i="3"/>
  <c r="U250" i="3"/>
  <c r="T250" i="3"/>
  <c r="S250" i="3"/>
  <c r="U249" i="3"/>
  <c r="T249" i="3"/>
  <c r="S249" i="3"/>
  <c r="U248" i="3"/>
  <c r="T248" i="3"/>
  <c r="S248" i="3"/>
  <c r="U247" i="3"/>
  <c r="T247" i="3"/>
  <c r="S247" i="3"/>
  <c r="U246" i="3"/>
  <c r="T246" i="3"/>
  <c r="S246" i="3"/>
  <c r="U245" i="3"/>
  <c r="T245" i="3"/>
  <c r="S245" i="3"/>
  <c r="U244" i="3"/>
  <c r="T244" i="3"/>
  <c r="S244" i="3"/>
  <c r="U243" i="3"/>
  <c r="T243" i="3"/>
  <c r="S243" i="3"/>
  <c r="U242" i="3"/>
  <c r="T242" i="3"/>
  <c r="S242" i="3"/>
  <c r="U241" i="3"/>
  <c r="T241" i="3"/>
  <c r="S241" i="3"/>
  <c r="U240" i="3"/>
  <c r="T240" i="3"/>
  <c r="S240" i="3"/>
  <c r="U239" i="3"/>
  <c r="T239" i="3"/>
  <c r="S239" i="3"/>
  <c r="U238" i="3"/>
  <c r="T238" i="3"/>
  <c r="S238" i="3"/>
  <c r="U237" i="3"/>
  <c r="T237" i="3"/>
  <c r="S237" i="3"/>
  <c r="U236" i="3"/>
  <c r="T236" i="3"/>
  <c r="S236" i="3"/>
  <c r="U235" i="3"/>
  <c r="T235" i="3"/>
  <c r="S235" i="3"/>
  <c r="U234" i="3"/>
  <c r="T234" i="3"/>
  <c r="S234" i="3"/>
  <c r="U233" i="3"/>
  <c r="T233" i="3"/>
  <c r="S233" i="3"/>
  <c r="U232" i="3"/>
  <c r="T232" i="3"/>
  <c r="S232" i="3"/>
  <c r="U231" i="3"/>
  <c r="T231" i="3"/>
  <c r="S231" i="3"/>
  <c r="U230" i="3"/>
  <c r="T230" i="3"/>
  <c r="S230" i="3"/>
  <c r="U229" i="3"/>
  <c r="T229" i="3"/>
  <c r="S229" i="3"/>
  <c r="U228" i="3"/>
  <c r="T228" i="3"/>
  <c r="S228" i="3"/>
  <c r="U227" i="3"/>
  <c r="T227" i="3"/>
  <c r="S227" i="3"/>
  <c r="U226" i="3"/>
  <c r="T226" i="3"/>
  <c r="S226" i="3"/>
  <c r="U225" i="3"/>
  <c r="T225" i="3"/>
  <c r="S225" i="3"/>
  <c r="U224" i="3"/>
  <c r="T224" i="3"/>
  <c r="S224" i="3"/>
  <c r="U223" i="3"/>
  <c r="T223" i="3"/>
  <c r="S223" i="3"/>
  <c r="U222" i="3"/>
  <c r="T222" i="3"/>
  <c r="S222" i="3"/>
  <c r="U221" i="3"/>
  <c r="T221" i="3"/>
  <c r="S221" i="3"/>
  <c r="U220" i="3"/>
  <c r="T220" i="3"/>
  <c r="S220" i="3"/>
  <c r="U219" i="3"/>
  <c r="T219" i="3"/>
  <c r="S219" i="3"/>
  <c r="U218" i="3"/>
  <c r="T218" i="3"/>
  <c r="S218" i="3"/>
  <c r="U217" i="3"/>
  <c r="T217" i="3"/>
  <c r="S217" i="3"/>
  <c r="U216" i="3"/>
  <c r="T216" i="3"/>
  <c r="S216" i="3"/>
  <c r="U215" i="3"/>
  <c r="T215" i="3"/>
  <c r="S215" i="3"/>
  <c r="U214" i="3"/>
  <c r="T214" i="3"/>
  <c r="S214" i="3"/>
  <c r="U213" i="3"/>
  <c r="T213" i="3"/>
  <c r="S213" i="3"/>
  <c r="Z212" i="3"/>
  <c r="Y212" i="3"/>
  <c r="V212" i="3"/>
  <c r="U212" i="3"/>
  <c r="T212" i="3"/>
  <c r="S212" i="3"/>
  <c r="U211" i="3"/>
  <c r="T211" i="3"/>
  <c r="S211" i="3"/>
  <c r="U210" i="3"/>
  <c r="T210" i="3"/>
  <c r="S210" i="3"/>
  <c r="AB209" i="3"/>
  <c r="V209" i="3"/>
  <c r="U209" i="3"/>
  <c r="Y209" i="3" s="1"/>
  <c r="Z209" i="3" s="1"/>
  <c r="AA209" i="3" s="1"/>
  <c r="T209" i="3"/>
  <c r="S209" i="3"/>
  <c r="U208" i="3"/>
  <c r="T208" i="3"/>
  <c r="S208" i="3"/>
  <c r="U207" i="3"/>
  <c r="T207" i="3"/>
  <c r="S207" i="3"/>
  <c r="U206" i="3"/>
  <c r="T206" i="3"/>
  <c r="S206" i="3"/>
  <c r="U205" i="3"/>
  <c r="T205" i="3"/>
  <c r="S205" i="3"/>
  <c r="U204" i="3"/>
  <c r="T204" i="3"/>
  <c r="S204" i="3"/>
  <c r="U203" i="3"/>
  <c r="T203" i="3"/>
  <c r="S203" i="3"/>
  <c r="U202" i="3"/>
  <c r="T202" i="3"/>
  <c r="S202" i="3"/>
  <c r="U201" i="3"/>
  <c r="T201" i="3"/>
  <c r="S201" i="3"/>
  <c r="U200" i="3"/>
  <c r="T200" i="3"/>
  <c r="S200" i="3"/>
  <c r="U199" i="3"/>
  <c r="T199" i="3"/>
  <c r="S199" i="3"/>
  <c r="U198" i="3"/>
  <c r="T198" i="3"/>
  <c r="S198" i="3"/>
  <c r="U197" i="3"/>
  <c r="T197" i="3"/>
  <c r="S197" i="3"/>
  <c r="U196" i="3"/>
  <c r="T196" i="3"/>
  <c r="S196" i="3"/>
  <c r="U195" i="3"/>
  <c r="T195" i="3"/>
  <c r="S195" i="3"/>
  <c r="U194" i="3"/>
  <c r="T194" i="3"/>
  <c r="S194" i="3"/>
  <c r="U193" i="3"/>
  <c r="T193" i="3"/>
  <c r="S193" i="3"/>
  <c r="U192" i="3"/>
  <c r="T192" i="3"/>
  <c r="S192" i="3"/>
  <c r="U191" i="3"/>
  <c r="T191" i="3"/>
  <c r="S191" i="3"/>
  <c r="U190" i="3"/>
  <c r="T190" i="3"/>
  <c r="S190" i="3"/>
  <c r="U189" i="3"/>
  <c r="T189" i="3"/>
  <c r="S189" i="3"/>
  <c r="U188" i="3"/>
  <c r="T188" i="3"/>
  <c r="S188" i="3"/>
  <c r="U187" i="3"/>
  <c r="T187" i="3"/>
  <c r="S187" i="3"/>
  <c r="U186" i="3"/>
  <c r="T186" i="3"/>
  <c r="S186" i="3"/>
  <c r="U185" i="3"/>
  <c r="T185" i="3"/>
  <c r="S185" i="3"/>
  <c r="U184" i="3"/>
  <c r="T184" i="3"/>
  <c r="S184" i="3"/>
  <c r="Z183" i="3"/>
  <c r="Y183" i="3"/>
  <c r="V183" i="3"/>
  <c r="U183" i="3"/>
  <c r="T183" i="3"/>
  <c r="S183" i="3"/>
  <c r="U182" i="3"/>
  <c r="T182" i="3"/>
  <c r="S182" i="3"/>
  <c r="U181" i="3"/>
  <c r="T181" i="3"/>
  <c r="S181" i="3"/>
  <c r="U180" i="3"/>
  <c r="T180" i="3"/>
  <c r="S180" i="3"/>
  <c r="U179" i="3"/>
  <c r="T179" i="3"/>
  <c r="S179" i="3"/>
  <c r="U178" i="3"/>
  <c r="T178" i="3"/>
  <c r="S178" i="3"/>
  <c r="U177" i="3"/>
  <c r="T177" i="3"/>
  <c r="S177" i="3"/>
  <c r="U176" i="3"/>
  <c r="T176" i="3"/>
  <c r="S176" i="3"/>
  <c r="U175" i="3"/>
  <c r="T175" i="3"/>
  <c r="S175" i="3"/>
  <c r="U174" i="3"/>
  <c r="T174" i="3"/>
  <c r="S174" i="3"/>
  <c r="U173" i="3"/>
  <c r="T173" i="3"/>
  <c r="S173" i="3"/>
  <c r="U172" i="3"/>
  <c r="T172" i="3"/>
  <c r="S172" i="3"/>
  <c r="U171" i="3"/>
  <c r="T171" i="3"/>
  <c r="S171" i="3"/>
  <c r="U170" i="3"/>
  <c r="T170" i="3"/>
  <c r="S170" i="3"/>
  <c r="U169" i="3"/>
  <c r="T169" i="3"/>
  <c r="S169" i="3"/>
  <c r="U168" i="3"/>
  <c r="T168" i="3"/>
  <c r="S168" i="3"/>
  <c r="U167" i="3"/>
  <c r="T167" i="3"/>
  <c r="S167" i="3"/>
  <c r="U166" i="3"/>
  <c r="T166" i="3"/>
  <c r="S166" i="3"/>
  <c r="U165" i="3"/>
  <c r="T165" i="3"/>
  <c r="S165" i="3"/>
  <c r="U164" i="3"/>
  <c r="T164" i="3"/>
  <c r="S164" i="3"/>
  <c r="U163" i="3"/>
  <c r="T163" i="3"/>
  <c r="S163" i="3"/>
  <c r="U162" i="3"/>
  <c r="T162" i="3"/>
  <c r="S162" i="3"/>
  <c r="U161" i="3"/>
  <c r="T161" i="3"/>
  <c r="S161" i="3"/>
  <c r="U160" i="3"/>
  <c r="T160" i="3"/>
  <c r="S160" i="3"/>
  <c r="U159" i="3"/>
  <c r="T159" i="3"/>
  <c r="S159" i="3"/>
  <c r="U158" i="3"/>
  <c r="T158" i="3"/>
  <c r="S158" i="3"/>
  <c r="AB157" i="3"/>
  <c r="AA157" i="3"/>
  <c r="Z157" i="3"/>
  <c r="Y157" i="3"/>
  <c r="V157" i="3"/>
  <c r="U157" i="3"/>
  <c r="T157" i="3"/>
  <c r="S157" i="3"/>
  <c r="U156" i="3"/>
  <c r="T156" i="3"/>
  <c r="S156" i="3"/>
  <c r="U155" i="3"/>
  <c r="T155" i="3"/>
  <c r="S155" i="3"/>
  <c r="Z154" i="3"/>
  <c r="Y154" i="3"/>
  <c r="V154" i="3"/>
  <c r="U154" i="3"/>
  <c r="T154" i="3"/>
  <c r="S154" i="3"/>
  <c r="U153" i="3"/>
  <c r="T153" i="3"/>
  <c r="S153" i="3"/>
  <c r="U152" i="3"/>
  <c r="T152" i="3"/>
  <c r="S152" i="3"/>
  <c r="U151" i="3"/>
  <c r="T151" i="3"/>
  <c r="S151" i="3"/>
  <c r="U150" i="3"/>
  <c r="T150" i="3"/>
  <c r="S150" i="3"/>
  <c r="U149" i="3"/>
  <c r="T149" i="3"/>
  <c r="S149" i="3"/>
  <c r="U148" i="3"/>
  <c r="T148" i="3"/>
  <c r="S148" i="3"/>
  <c r="U147" i="3"/>
  <c r="T147" i="3"/>
  <c r="S147" i="3"/>
  <c r="U146" i="3"/>
  <c r="T146" i="3"/>
  <c r="S146" i="3"/>
  <c r="U145" i="3"/>
  <c r="T145" i="3"/>
  <c r="S145" i="3"/>
  <c r="U144" i="3"/>
  <c r="T144" i="3"/>
  <c r="S144" i="3"/>
  <c r="U143" i="3"/>
  <c r="T143" i="3"/>
  <c r="S143" i="3"/>
  <c r="U142" i="3"/>
  <c r="T142" i="3"/>
  <c r="S142" i="3"/>
  <c r="U141" i="3"/>
  <c r="T141" i="3"/>
  <c r="S141" i="3"/>
  <c r="U140" i="3"/>
  <c r="T140" i="3"/>
  <c r="S140" i="3"/>
  <c r="U139" i="3"/>
  <c r="T139" i="3"/>
  <c r="S139" i="3"/>
  <c r="U138" i="3"/>
  <c r="T138" i="3"/>
  <c r="S138" i="3"/>
  <c r="U137" i="3"/>
  <c r="T137" i="3"/>
  <c r="S137" i="3"/>
  <c r="U136" i="3"/>
  <c r="T136" i="3"/>
  <c r="S136" i="3"/>
  <c r="U135" i="3"/>
  <c r="T135" i="3"/>
  <c r="S135" i="3"/>
  <c r="U134" i="3"/>
  <c r="T134" i="3"/>
  <c r="S134" i="3"/>
  <c r="U133" i="3"/>
  <c r="T133" i="3"/>
  <c r="S133" i="3"/>
  <c r="U132" i="3"/>
  <c r="T132" i="3"/>
  <c r="S132" i="3"/>
  <c r="U131" i="3"/>
  <c r="T131" i="3"/>
  <c r="S131" i="3"/>
  <c r="U130" i="3"/>
  <c r="T130" i="3"/>
  <c r="S130" i="3"/>
  <c r="U129" i="3"/>
  <c r="T129" i="3"/>
  <c r="S129" i="3"/>
  <c r="U128" i="3"/>
  <c r="T128" i="3"/>
  <c r="S128" i="3"/>
  <c r="U127" i="3"/>
  <c r="T127" i="3"/>
  <c r="S127" i="3"/>
  <c r="U126" i="3"/>
  <c r="T126" i="3"/>
  <c r="S126" i="3"/>
  <c r="U125" i="3"/>
  <c r="T125" i="3"/>
  <c r="S125" i="3"/>
  <c r="U124" i="3"/>
  <c r="T124" i="3"/>
  <c r="S124" i="3"/>
  <c r="U123" i="3"/>
  <c r="T123" i="3"/>
  <c r="S123" i="3"/>
  <c r="U122" i="3"/>
  <c r="T122" i="3"/>
  <c r="S122" i="3"/>
  <c r="U121" i="3"/>
  <c r="T121" i="3"/>
  <c r="S121" i="3"/>
  <c r="U120" i="3"/>
  <c r="T120" i="3"/>
  <c r="S120" i="3"/>
  <c r="U119" i="3"/>
  <c r="T119" i="3"/>
  <c r="S119" i="3"/>
  <c r="U118" i="3"/>
  <c r="T118" i="3"/>
  <c r="S118" i="3"/>
  <c r="U117" i="3"/>
  <c r="T117" i="3"/>
  <c r="S117" i="3"/>
  <c r="U116" i="3"/>
  <c r="T116" i="3"/>
  <c r="S116" i="3"/>
  <c r="U115" i="3"/>
  <c r="T115" i="3"/>
  <c r="S115" i="3"/>
  <c r="U114" i="3"/>
  <c r="T114" i="3"/>
  <c r="S114" i="3"/>
  <c r="U113" i="3"/>
  <c r="T113" i="3"/>
  <c r="S113" i="3"/>
  <c r="U112" i="3"/>
  <c r="T112" i="3"/>
  <c r="S112" i="3"/>
  <c r="U111" i="3"/>
  <c r="T111" i="3"/>
  <c r="S111" i="3"/>
  <c r="U110" i="3"/>
  <c r="T110" i="3"/>
  <c r="S110" i="3"/>
  <c r="U109" i="3"/>
  <c r="T109" i="3"/>
  <c r="S109" i="3"/>
  <c r="U108" i="3"/>
  <c r="T108" i="3"/>
  <c r="S108" i="3"/>
  <c r="U107" i="3"/>
  <c r="T107" i="3"/>
  <c r="S107" i="3"/>
  <c r="U106" i="3"/>
  <c r="T106" i="3"/>
  <c r="S106" i="3"/>
  <c r="AB105" i="3"/>
  <c r="AA105" i="3"/>
  <c r="Z105" i="3"/>
  <c r="Y105" i="3"/>
  <c r="V105" i="3"/>
  <c r="U105" i="3"/>
  <c r="T105" i="3"/>
  <c r="S105" i="3"/>
  <c r="U104" i="3"/>
  <c r="T104" i="3"/>
  <c r="S104" i="3"/>
  <c r="U103" i="3"/>
  <c r="T103" i="3"/>
  <c r="S103" i="3"/>
  <c r="U102" i="3"/>
  <c r="T102" i="3"/>
  <c r="S102" i="3"/>
  <c r="U101" i="3"/>
  <c r="T101" i="3"/>
  <c r="S101" i="3"/>
  <c r="U100" i="3"/>
  <c r="T100" i="3"/>
  <c r="S100" i="3"/>
  <c r="U99" i="3"/>
  <c r="T99" i="3"/>
  <c r="S99" i="3"/>
  <c r="U98" i="3"/>
  <c r="T98" i="3"/>
  <c r="S98" i="3"/>
  <c r="U97" i="3"/>
  <c r="T97" i="3"/>
  <c r="S97" i="3"/>
  <c r="U96" i="3"/>
  <c r="T96" i="3"/>
  <c r="S96" i="3"/>
  <c r="U95" i="3"/>
  <c r="T95" i="3"/>
  <c r="S95" i="3"/>
  <c r="U94" i="3"/>
  <c r="T94" i="3"/>
  <c r="S94" i="3"/>
  <c r="U93" i="3"/>
  <c r="T93" i="3"/>
  <c r="S93" i="3"/>
  <c r="U92" i="3"/>
  <c r="T92" i="3"/>
  <c r="S92" i="3"/>
  <c r="U91" i="3"/>
  <c r="T91" i="3"/>
  <c r="S91" i="3"/>
  <c r="U90" i="3"/>
  <c r="T90" i="3"/>
  <c r="S90" i="3"/>
  <c r="U89" i="3"/>
  <c r="T89" i="3"/>
  <c r="S89" i="3"/>
  <c r="U88" i="3"/>
  <c r="T88" i="3"/>
  <c r="S88" i="3"/>
  <c r="U87" i="3"/>
  <c r="T87" i="3"/>
  <c r="S87" i="3"/>
  <c r="U86" i="3"/>
  <c r="T86" i="3"/>
  <c r="S86" i="3"/>
  <c r="U85" i="3"/>
  <c r="T85" i="3"/>
  <c r="S85" i="3"/>
  <c r="U84" i="3"/>
  <c r="T84" i="3"/>
  <c r="S84" i="3"/>
  <c r="U83" i="3"/>
  <c r="T83" i="3"/>
  <c r="S83" i="3"/>
  <c r="U82" i="3"/>
  <c r="T82" i="3"/>
  <c r="S82" i="3"/>
  <c r="U81" i="3"/>
  <c r="T81" i="3"/>
  <c r="S81" i="3"/>
  <c r="U80" i="3"/>
  <c r="T80" i="3"/>
  <c r="S80" i="3"/>
  <c r="U79" i="3"/>
  <c r="T79" i="3"/>
  <c r="S79" i="3"/>
  <c r="U78" i="3"/>
  <c r="T78" i="3"/>
  <c r="S78" i="3"/>
  <c r="U77" i="3"/>
  <c r="T77" i="3"/>
  <c r="S77" i="3"/>
  <c r="U76" i="3"/>
  <c r="T76" i="3"/>
  <c r="S76" i="3"/>
  <c r="U75" i="3"/>
  <c r="T75" i="3"/>
  <c r="S75" i="3"/>
  <c r="U74" i="3"/>
  <c r="T74" i="3"/>
  <c r="S74" i="3"/>
  <c r="U73" i="3"/>
  <c r="T73" i="3"/>
  <c r="S73" i="3"/>
  <c r="U72" i="3"/>
  <c r="T72" i="3"/>
  <c r="S72" i="3"/>
  <c r="U71" i="3"/>
  <c r="T71" i="3"/>
  <c r="S71" i="3"/>
  <c r="U70" i="3"/>
  <c r="T70" i="3"/>
  <c r="S70" i="3"/>
  <c r="U69" i="3"/>
  <c r="T69" i="3"/>
  <c r="S69" i="3"/>
  <c r="U68" i="3"/>
  <c r="T68" i="3"/>
  <c r="S68" i="3"/>
  <c r="U67" i="3"/>
  <c r="T67" i="3"/>
  <c r="S67" i="3"/>
  <c r="U66" i="3"/>
  <c r="T66" i="3"/>
  <c r="S66" i="3"/>
  <c r="U65" i="3"/>
  <c r="T65" i="3"/>
  <c r="S65" i="3"/>
  <c r="Z64" i="3"/>
  <c r="Y64" i="3"/>
  <c r="V64" i="3"/>
  <c r="U64" i="3"/>
  <c r="T64" i="3"/>
  <c r="S64" i="3"/>
  <c r="U63" i="3"/>
  <c r="T63" i="3"/>
  <c r="S63" i="3"/>
  <c r="U62" i="3"/>
  <c r="T62" i="3"/>
  <c r="S62" i="3"/>
  <c r="U61" i="3"/>
  <c r="T61" i="3"/>
  <c r="S61" i="3"/>
  <c r="U60" i="3"/>
  <c r="T60" i="3"/>
  <c r="S60" i="3"/>
  <c r="U59" i="3"/>
  <c r="T59" i="3"/>
  <c r="S59" i="3"/>
  <c r="U58" i="3"/>
  <c r="T58" i="3"/>
  <c r="S58" i="3"/>
  <c r="U57" i="3"/>
  <c r="T57" i="3"/>
  <c r="S57" i="3"/>
  <c r="U56" i="3"/>
  <c r="T56" i="3"/>
  <c r="S56" i="3"/>
  <c r="U55" i="3"/>
  <c r="T55" i="3"/>
  <c r="S55" i="3"/>
  <c r="U54" i="3"/>
  <c r="T54" i="3"/>
  <c r="S54" i="3"/>
  <c r="AB53" i="3"/>
  <c r="U53" i="3"/>
  <c r="T53" i="3"/>
  <c r="S53" i="3"/>
  <c r="U52" i="3"/>
  <c r="T52" i="3"/>
  <c r="S52" i="3"/>
  <c r="U51" i="3"/>
  <c r="T51" i="3"/>
  <c r="S51" i="3"/>
  <c r="U50" i="3"/>
  <c r="T50" i="3"/>
  <c r="S50" i="3"/>
  <c r="U49" i="3"/>
  <c r="T49" i="3"/>
  <c r="S49" i="3"/>
  <c r="U48" i="3"/>
  <c r="T48" i="3"/>
  <c r="S48" i="3"/>
  <c r="U47" i="3"/>
  <c r="T47" i="3"/>
  <c r="S47" i="3"/>
  <c r="U46" i="3"/>
  <c r="T46" i="3"/>
  <c r="S46" i="3"/>
  <c r="U45" i="3"/>
  <c r="T45" i="3"/>
  <c r="S45" i="3"/>
  <c r="U44" i="3"/>
  <c r="T44" i="3"/>
  <c r="S44" i="3"/>
  <c r="Z43" i="3"/>
  <c r="Y43" i="3"/>
  <c r="V43" i="3"/>
  <c r="U43" i="3"/>
  <c r="T43" i="3"/>
  <c r="S43" i="3"/>
  <c r="U42" i="3"/>
  <c r="T42" i="3"/>
  <c r="S42" i="3"/>
  <c r="U41" i="3"/>
  <c r="T41" i="3"/>
  <c r="S41" i="3"/>
  <c r="U40" i="3"/>
  <c r="T40" i="3"/>
  <c r="S40" i="3"/>
  <c r="U39" i="3"/>
  <c r="T39" i="3"/>
  <c r="S39" i="3"/>
  <c r="U38" i="3"/>
  <c r="T38" i="3"/>
  <c r="S38" i="3"/>
  <c r="U37" i="3"/>
  <c r="T37" i="3"/>
  <c r="S37" i="3"/>
  <c r="U36" i="3"/>
  <c r="T36" i="3"/>
  <c r="S36" i="3"/>
  <c r="U35" i="3"/>
  <c r="T35" i="3"/>
  <c r="S35" i="3"/>
  <c r="U34" i="3"/>
  <c r="T34" i="3"/>
  <c r="S34" i="3"/>
  <c r="U33" i="3"/>
  <c r="T33" i="3"/>
  <c r="S33" i="3"/>
  <c r="U32" i="3"/>
  <c r="T32" i="3"/>
  <c r="S32" i="3"/>
  <c r="U31" i="3"/>
  <c r="T31" i="3"/>
  <c r="S31" i="3"/>
  <c r="U30" i="3"/>
  <c r="T30" i="3"/>
  <c r="S30" i="3"/>
  <c r="U29" i="3"/>
  <c r="T29" i="3"/>
  <c r="S29" i="3"/>
  <c r="U28" i="3"/>
  <c r="T28" i="3"/>
  <c r="S28" i="3"/>
  <c r="U27" i="3"/>
  <c r="T27" i="3"/>
  <c r="S27" i="3"/>
  <c r="U26" i="3"/>
  <c r="T26" i="3"/>
  <c r="S26" i="3"/>
  <c r="U25" i="3"/>
  <c r="T25" i="3"/>
  <c r="S25" i="3"/>
  <c r="U24" i="3"/>
  <c r="T24" i="3"/>
  <c r="S24" i="3"/>
  <c r="U23" i="3"/>
  <c r="T23" i="3"/>
  <c r="S23" i="3"/>
  <c r="U22" i="3"/>
  <c r="T22" i="3"/>
  <c r="S22" i="3"/>
  <c r="U21" i="3"/>
  <c r="T21" i="3"/>
  <c r="S21" i="3"/>
  <c r="U20" i="3"/>
  <c r="T20" i="3"/>
  <c r="S20" i="3"/>
  <c r="U19" i="3"/>
  <c r="T19" i="3"/>
  <c r="S19" i="3"/>
  <c r="U18" i="3"/>
  <c r="T18" i="3"/>
  <c r="S18" i="3"/>
  <c r="U17" i="3"/>
  <c r="T17" i="3"/>
  <c r="S17" i="3"/>
  <c r="U16" i="3"/>
  <c r="T16" i="3"/>
  <c r="S16" i="3"/>
  <c r="U15" i="3"/>
  <c r="T15" i="3"/>
  <c r="S15" i="3"/>
  <c r="U14" i="3"/>
  <c r="T14" i="3"/>
  <c r="S14" i="3"/>
  <c r="U13" i="3"/>
  <c r="T13" i="3"/>
  <c r="S13" i="3"/>
  <c r="U12" i="3"/>
  <c r="T12" i="3"/>
  <c r="S12" i="3"/>
  <c r="U11" i="3"/>
  <c r="T11" i="3"/>
  <c r="S11" i="3"/>
  <c r="U10" i="3"/>
  <c r="T10" i="3"/>
  <c r="S10" i="3"/>
  <c r="U9" i="3"/>
  <c r="T9" i="3"/>
  <c r="S9" i="3"/>
  <c r="U8" i="3"/>
  <c r="T8" i="3"/>
  <c r="S8" i="3"/>
  <c r="U7" i="3"/>
  <c r="T7" i="3"/>
  <c r="S7" i="3"/>
  <c r="U6" i="3"/>
  <c r="T6" i="3"/>
  <c r="S6" i="3"/>
  <c r="U5" i="3"/>
  <c r="T5" i="3"/>
  <c r="S5" i="3"/>
  <c r="U4" i="3"/>
  <c r="T4" i="3"/>
  <c r="S4" i="3"/>
  <c r="U3" i="3"/>
  <c r="T3" i="3"/>
  <c r="S3" i="3"/>
  <c r="U2" i="3"/>
  <c r="T2" i="3"/>
  <c r="S2" i="3"/>
  <c r="F14" i="6" l="1"/>
  <c r="F19" i="6" s="1"/>
  <c r="F16" i="6"/>
  <c r="F17" i="6"/>
  <c r="E14" i="6"/>
  <c r="E19" i="6" s="1"/>
  <c r="E16" i="6"/>
  <c r="E17" i="6" s="1"/>
  <c r="D14" i="6"/>
  <c r="D19" i="6" s="1"/>
  <c r="D16" i="6"/>
  <c r="D17" i="6" s="1"/>
  <c r="C13" i="6"/>
  <c r="C15" i="6"/>
  <c r="C20" i="6" s="1"/>
  <c r="C15" i="8"/>
  <c r="H10" i="5"/>
  <c r="C40" i="5"/>
  <c r="C12" i="8" s="1"/>
  <c r="C42" i="5"/>
  <c r="C43" i="5" s="1"/>
  <c r="C25" i="5"/>
  <c r="H9" i="5" s="1"/>
  <c r="C11" i="5"/>
  <c r="C34" i="5" s="1"/>
  <c r="C19" i="8"/>
  <c r="C20" i="5"/>
  <c r="C21" i="5" s="1"/>
  <c r="B6" i="8"/>
  <c r="AA501" i="3"/>
  <c r="AB501" i="3"/>
  <c r="AB500" i="3"/>
  <c r="V500" i="3"/>
  <c r="Y500" i="3" s="1"/>
  <c r="Z500" i="3"/>
  <c r="AA500" i="3" s="1"/>
  <c r="V499" i="3"/>
  <c r="Y499" i="3" s="1"/>
  <c r="Z499" i="3"/>
  <c r="AA499" i="3" s="1"/>
  <c r="AB499" i="3"/>
  <c r="V498" i="3"/>
  <c r="Y498" i="3" s="1"/>
  <c r="AB498" i="3"/>
  <c r="Z498" i="3"/>
  <c r="AA498" i="3" s="1"/>
  <c r="AA497" i="3"/>
  <c r="AB497" i="3"/>
  <c r="AB496" i="3"/>
  <c r="V496" i="3"/>
  <c r="Y496" i="3" s="1"/>
  <c r="Z496" i="3" s="1"/>
  <c r="AA496" i="3" s="1"/>
  <c r="V495" i="3"/>
  <c r="Y495" i="3" s="1"/>
  <c r="Z495" i="3" s="1"/>
  <c r="AA495" i="3" s="1"/>
  <c r="AB495" i="3"/>
  <c r="V494" i="3"/>
  <c r="Y494" i="3" s="1"/>
  <c r="Z494" i="3" s="1"/>
  <c r="AA494" i="3" s="1"/>
  <c r="AB494" i="3"/>
  <c r="AB493" i="3"/>
  <c r="V493" i="3"/>
  <c r="Y493" i="3" s="1"/>
  <c r="Z493" i="3" s="1"/>
  <c r="AA493" i="3" s="1"/>
  <c r="AB492" i="3"/>
  <c r="V492" i="3"/>
  <c r="Y492" i="3" s="1"/>
  <c r="Z492" i="3" s="1"/>
  <c r="AA492" i="3" s="1"/>
  <c r="AB491" i="3"/>
  <c r="V491" i="3"/>
  <c r="Y491" i="3" s="1"/>
  <c r="Z491" i="3"/>
  <c r="AA491" i="3" s="1"/>
  <c r="AB490" i="3"/>
  <c r="V490" i="3"/>
  <c r="Y490" i="3" s="1"/>
  <c r="Z490" i="3"/>
  <c r="AA490" i="3"/>
  <c r="AB489" i="3"/>
  <c r="V489" i="3"/>
  <c r="Y489" i="3" s="1"/>
  <c r="Z489" i="3" s="1"/>
  <c r="AA489" i="3" s="1"/>
  <c r="AB488" i="3"/>
  <c r="V488" i="3"/>
  <c r="Y488" i="3" s="1"/>
  <c r="Z488" i="3" s="1"/>
  <c r="AA488" i="3" s="1"/>
  <c r="AB487" i="3"/>
  <c r="V487" i="3"/>
  <c r="Y487" i="3" s="1"/>
  <c r="Z487" i="3"/>
  <c r="AA487" i="3" s="1"/>
  <c r="AB486" i="3"/>
  <c r="V486" i="3"/>
  <c r="Y486" i="3" s="1"/>
  <c r="Z486" i="3" s="1"/>
  <c r="AA486" i="3" s="1"/>
  <c r="V485" i="3"/>
  <c r="Y485" i="3" s="1"/>
  <c r="AB485" i="3"/>
  <c r="Z485" i="3"/>
  <c r="AA485" i="3" s="1"/>
  <c r="AB484" i="3"/>
  <c r="V484" i="3"/>
  <c r="Y484" i="3" s="1"/>
  <c r="Z484" i="3" s="1"/>
  <c r="AA484" i="3" s="1"/>
  <c r="AB483" i="3"/>
  <c r="V483" i="3"/>
  <c r="Y483" i="3" s="1"/>
  <c r="Z483" i="3"/>
  <c r="AA483" i="3"/>
  <c r="AB482" i="3"/>
  <c r="V482" i="3"/>
  <c r="Y482" i="3" s="1"/>
  <c r="Z482" i="3" s="1"/>
  <c r="AA482" i="3" s="1"/>
  <c r="V481" i="3"/>
  <c r="Y481" i="3" s="1"/>
  <c r="AB481" i="3"/>
  <c r="Z481" i="3"/>
  <c r="AA481" i="3"/>
  <c r="V480" i="3"/>
  <c r="Y480" i="3" s="1"/>
  <c r="AB480" i="3"/>
  <c r="Z480" i="3"/>
  <c r="AA480" i="3" s="1"/>
  <c r="V479" i="3"/>
  <c r="Y479" i="3" s="1"/>
  <c r="AB479" i="3"/>
  <c r="Z479" i="3"/>
  <c r="AA479" i="3" s="1"/>
  <c r="V478" i="3"/>
  <c r="Y478" i="3" s="1"/>
  <c r="AB478" i="3"/>
  <c r="Z478" i="3"/>
  <c r="AA478" i="3" s="1"/>
  <c r="AB477" i="3"/>
  <c r="V477" i="3"/>
  <c r="Y477" i="3" s="1"/>
  <c r="Z477" i="3" s="1"/>
  <c r="AA477" i="3" s="1"/>
  <c r="AB476" i="3"/>
  <c r="V476" i="3"/>
  <c r="Y476" i="3" s="1"/>
  <c r="Z476" i="3" s="1"/>
  <c r="AA476" i="3" s="1"/>
  <c r="AB475" i="3"/>
  <c r="V475" i="3"/>
  <c r="Y475" i="3" s="1"/>
  <c r="Z475" i="3"/>
  <c r="AA475" i="3"/>
  <c r="AB474" i="3"/>
  <c r="V474" i="3"/>
  <c r="Y474" i="3" s="1"/>
  <c r="Z474" i="3" s="1"/>
  <c r="AA474" i="3" s="1"/>
  <c r="V473" i="3"/>
  <c r="Y473" i="3" s="1"/>
  <c r="AB473" i="3"/>
  <c r="Z473" i="3"/>
  <c r="AA473" i="3"/>
  <c r="AB472" i="3"/>
  <c r="V472" i="3"/>
  <c r="Y472" i="3" s="1"/>
  <c r="Z472" i="3"/>
  <c r="AA472" i="3" s="1"/>
  <c r="V471" i="3"/>
  <c r="Y471" i="3" s="1"/>
  <c r="Z471" i="3" s="1"/>
  <c r="AA471" i="3" s="1"/>
  <c r="AB471" i="3"/>
  <c r="V470" i="3"/>
  <c r="Y470" i="3" s="1"/>
  <c r="AB470" i="3"/>
  <c r="Z470" i="3"/>
  <c r="AA470" i="3" s="1"/>
  <c r="AB469" i="3"/>
  <c r="V469" i="3"/>
  <c r="Y469" i="3" s="1"/>
  <c r="Z469" i="3"/>
  <c r="AA469" i="3"/>
  <c r="V467" i="3"/>
  <c r="Y467" i="3" s="1"/>
  <c r="AB467" i="3"/>
  <c r="Z467" i="3"/>
  <c r="AA467" i="3" s="1"/>
  <c r="AB466" i="3"/>
  <c r="V466" i="3"/>
  <c r="Y466" i="3" s="1"/>
  <c r="Z466" i="3" s="1"/>
  <c r="AA466" i="3" s="1"/>
  <c r="AB465" i="3"/>
  <c r="V465" i="3"/>
  <c r="Y465" i="3" s="1"/>
  <c r="Z465" i="3" s="1"/>
  <c r="AA465" i="3" s="1"/>
  <c r="AB464" i="3"/>
  <c r="V464" i="3"/>
  <c r="Y464" i="3" s="1"/>
  <c r="Z464" i="3" s="1"/>
  <c r="AA464" i="3" s="1"/>
  <c r="V463" i="3"/>
  <c r="Y463" i="3" s="1"/>
  <c r="AB463" i="3"/>
  <c r="Z463" i="3"/>
  <c r="AA463" i="3" s="1"/>
  <c r="V462" i="3"/>
  <c r="Y462" i="3" s="1"/>
  <c r="Z462" i="3"/>
  <c r="AA462" i="3"/>
  <c r="AB462" i="3"/>
  <c r="AB461" i="3"/>
  <c r="V461" i="3"/>
  <c r="Y461" i="3" s="1"/>
  <c r="Z461" i="3"/>
  <c r="AA461" i="3" s="1"/>
  <c r="AB460" i="3"/>
  <c r="V460" i="3"/>
  <c r="Y460" i="3" s="1"/>
  <c r="Z460" i="3"/>
  <c r="AA460" i="3"/>
  <c r="V459" i="3"/>
  <c r="Y459" i="3" s="1"/>
  <c r="Z459" i="3"/>
  <c r="AA459" i="3" s="1"/>
  <c r="AB459" i="3"/>
  <c r="V458" i="3"/>
  <c r="Y458" i="3" s="1"/>
  <c r="AB458" i="3"/>
  <c r="Z458" i="3"/>
  <c r="AA458" i="3" s="1"/>
  <c r="AB457" i="3"/>
  <c r="V457" i="3"/>
  <c r="Y457" i="3" s="1"/>
  <c r="Z457" i="3" s="1"/>
  <c r="AA457" i="3" s="1"/>
  <c r="V456" i="3"/>
  <c r="Y456" i="3" s="1"/>
  <c r="Z456" i="3"/>
  <c r="AA456" i="3"/>
  <c r="AB456" i="3"/>
  <c r="V455" i="3"/>
  <c r="Y455" i="3" s="1"/>
  <c r="Z455" i="3"/>
  <c r="AA455" i="3"/>
  <c r="AB455" i="3"/>
  <c r="AB454" i="3"/>
  <c r="V454" i="3"/>
  <c r="Y454" i="3" s="1"/>
  <c r="Z454" i="3"/>
  <c r="AA454" i="3"/>
  <c r="AB453" i="3"/>
  <c r="V453" i="3"/>
  <c r="Y453" i="3" s="1"/>
  <c r="Z453" i="3" s="1"/>
  <c r="AA453" i="3" s="1"/>
  <c r="V452" i="3"/>
  <c r="Y452" i="3" s="1"/>
  <c r="Z452" i="3"/>
  <c r="AB452" i="3"/>
  <c r="AA452" i="3"/>
  <c r="AB451" i="3"/>
  <c r="V451" i="3"/>
  <c r="Y451" i="3" s="1"/>
  <c r="Z451" i="3"/>
  <c r="AA451" i="3"/>
  <c r="AB450" i="3"/>
  <c r="V450" i="3"/>
  <c r="Y450" i="3" s="1"/>
  <c r="Z450" i="3" s="1"/>
  <c r="AA450" i="3" s="1"/>
  <c r="V449" i="3"/>
  <c r="Y449" i="3" s="1"/>
  <c r="Z449" i="3"/>
  <c r="AA449" i="3"/>
  <c r="AB449" i="3"/>
  <c r="AB448" i="3"/>
  <c r="V448" i="3"/>
  <c r="Y448" i="3" s="1"/>
  <c r="Z448" i="3"/>
  <c r="AA448" i="3"/>
  <c r="AB447" i="3"/>
  <c r="V447" i="3"/>
  <c r="Y447" i="3" s="1"/>
  <c r="Z447" i="3" s="1"/>
  <c r="AA447" i="3" s="1"/>
  <c r="AB446" i="3"/>
  <c r="V446" i="3"/>
  <c r="Y446" i="3" s="1"/>
  <c r="Z446" i="3" s="1"/>
  <c r="AA446" i="3" s="1"/>
  <c r="V445" i="3"/>
  <c r="Y445" i="3" s="1"/>
  <c r="Z445" i="3" s="1"/>
  <c r="AA445" i="3" s="1"/>
  <c r="AB445" i="3"/>
  <c r="AB444" i="3"/>
  <c r="V444" i="3"/>
  <c r="Y444" i="3" s="1"/>
  <c r="Z444" i="3" s="1"/>
  <c r="AA444" i="3" s="1"/>
  <c r="AB443" i="3"/>
  <c r="V443" i="3"/>
  <c r="Y443" i="3" s="1"/>
  <c r="Z443" i="3" s="1"/>
  <c r="AA443" i="3" s="1"/>
  <c r="AB442" i="3"/>
  <c r="V442" i="3"/>
  <c r="Y442" i="3" s="1"/>
  <c r="Z442" i="3" s="1"/>
  <c r="AA442" i="3" s="1"/>
  <c r="V441" i="3"/>
  <c r="Y441" i="3" s="1"/>
  <c r="AB441" i="3"/>
  <c r="Z441" i="3"/>
  <c r="AA441" i="3" s="1"/>
  <c r="AB440" i="3"/>
  <c r="V440" i="3"/>
  <c r="Y440" i="3" s="1"/>
  <c r="Z440" i="3" s="1"/>
  <c r="AA440" i="3" s="1"/>
  <c r="AB439" i="3"/>
  <c r="V439" i="3"/>
  <c r="Y439" i="3" s="1"/>
  <c r="Z439" i="3" s="1"/>
  <c r="AA439" i="3" s="1"/>
  <c r="AB438" i="3"/>
  <c r="V438" i="3"/>
  <c r="Y438" i="3" s="1"/>
  <c r="Z438" i="3" s="1"/>
  <c r="AA438" i="3" s="1"/>
  <c r="V437" i="3"/>
  <c r="Y437" i="3" s="1"/>
  <c r="Z437" i="3"/>
  <c r="AA437" i="3"/>
  <c r="AB437" i="3"/>
  <c r="AB436" i="3"/>
  <c r="AA436" i="3"/>
  <c r="AB435" i="3"/>
  <c r="V435" i="3"/>
  <c r="Y435" i="3" s="1"/>
  <c r="Z435" i="3" s="1"/>
  <c r="AA435" i="3" s="1"/>
  <c r="AB434" i="3"/>
  <c r="V434" i="3"/>
  <c r="Y434" i="3" s="1"/>
  <c r="Z434" i="3" s="1"/>
  <c r="AA434" i="3" s="1"/>
  <c r="V433" i="3"/>
  <c r="Y433" i="3" s="1"/>
  <c r="AB433" i="3"/>
  <c r="Z433" i="3"/>
  <c r="AA433" i="3" s="1"/>
  <c r="AB432" i="3"/>
  <c r="V432" i="3"/>
  <c r="Y432" i="3" s="1"/>
  <c r="Z432" i="3"/>
  <c r="AA432" i="3"/>
  <c r="V431" i="3"/>
  <c r="Y431" i="3" s="1"/>
  <c r="Z431" i="3" s="1"/>
  <c r="AA431" i="3" s="1"/>
  <c r="AB431" i="3"/>
  <c r="V430" i="3"/>
  <c r="Y430" i="3" s="1"/>
  <c r="Z430" i="3" s="1"/>
  <c r="AA430" i="3" s="1"/>
  <c r="AB430" i="3"/>
  <c r="AB429" i="3"/>
  <c r="V429" i="3"/>
  <c r="Y429" i="3" s="1"/>
  <c r="Z429" i="3" s="1"/>
  <c r="AA429" i="3" s="1"/>
  <c r="AB428" i="3"/>
  <c r="V428" i="3"/>
  <c r="Y428" i="3" s="1"/>
  <c r="Z428" i="3" s="1"/>
  <c r="AA428" i="3" s="1"/>
  <c r="AB427" i="3"/>
  <c r="V427" i="3"/>
  <c r="Y427" i="3" s="1"/>
  <c r="Z427" i="3" s="1"/>
  <c r="AA427" i="3" s="1"/>
  <c r="V426" i="3"/>
  <c r="Y426" i="3" s="1"/>
  <c r="Z426" i="3" s="1"/>
  <c r="AA426" i="3" s="1"/>
  <c r="AB426" i="3"/>
  <c r="V425" i="3"/>
  <c r="Y425" i="3" s="1"/>
  <c r="Z425" i="3" s="1"/>
  <c r="AA425" i="3" s="1"/>
  <c r="AB425" i="3"/>
  <c r="AB424" i="3"/>
  <c r="V424" i="3"/>
  <c r="Y424" i="3" s="1"/>
  <c r="Z424" i="3" s="1"/>
  <c r="AA424" i="3" s="1"/>
  <c r="AB423" i="3"/>
  <c r="V423" i="3"/>
  <c r="Y423" i="3" s="1"/>
  <c r="Z423" i="3" s="1"/>
  <c r="AA423" i="3" s="1"/>
  <c r="V422" i="3"/>
  <c r="Y422" i="3" s="1"/>
  <c r="Z422" i="3"/>
  <c r="AA422" i="3"/>
  <c r="AB422" i="3"/>
  <c r="AB421" i="3"/>
  <c r="V421" i="3"/>
  <c r="Y421" i="3" s="1"/>
  <c r="Z421" i="3" s="1"/>
  <c r="AA421" i="3" s="1"/>
  <c r="AB420" i="3"/>
  <c r="V420" i="3"/>
  <c r="Y420" i="3" s="1"/>
  <c r="Z420" i="3" s="1"/>
  <c r="AA420" i="3" s="1"/>
  <c r="AB419" i="3"/>
  <c r="V419" i="3"/>
  <c r="Y419" i="3" s="1"/>
  <c r="Z419" i="3" s="1"/>
  <c r="AA419" i="3" s="1"/>
  <c r="AB418" i="3"/>
  <c r="V418" i="3"/>
  <c r="Y418" i="3" s="1"/>
  <c r="Z418" i="3" s="1"/>
  <c r="AA418" i="3" s="1"/>
  <c r="AB417" i="3"/>
  <c r="V417" i="3"/>
  <c r="Y417" i="3" s="1"/>
  <c r="Z417" i="3" s="1"/>
  <c r="AA417" i="3" s="1"/>
  <c r="V415" i="3"/>
  <c r="Y415" i="3" s="1"/>
  <c r="Z415" i="3"/>
  <c r="AA415" i="3" s="1"/>
  <c r="AB415" i="3"/>
  <c r="AB414" i="3"/>
  <c r="V414" i="3"/>
  <c r="Y414" i="3" s="1"/>
  <c r="Z414" i="3" s="1"/>
  <c r="AA414" i="3" s="1"/>
  <c r="AB413" i="3"/>
  <c r="V413" i="3"/>
  <c r="Y413" i="3" s="1"/>
  <c r="Z413" i="3" s="1"/>
  <c r="AA413" i="3" s="1"/>
  <c r="AB412" i="3"/>
  <c r="V412" i="3"/>
  <c r="Y412" i="3" s="1"/>
  <c r="Z412" i="3" s="1"/>
  <c r="AA412" i="3" s="1"/>
  <c r="V411" i="3"/>
  <c r="Y411" i="3" s="1"/>
  <c r="Z411" i="3" s="1"/>
  <c r="AA411" i="3" s="1"/>
  <c r="AB411" i="3"/>
  <c r="AB410" i="3"/>
  <c r="V410" i="3"/>
  <c r="Y410" i="3" s="1"/>
  <c r="Z410" i="3" s="1"/>
  <c r="AA410" i="3" s="1"/>
  <c r="AB409" i="3"/>
  <c r="V409" i="3"/>
  <c r="Y409" i="3" s="1"/>
  <c r="Z409" i="3" s="1"/>
  <c r="AA409" i="3" s="1"/>
  <c r="AA408" i="3"/>
  <c r="AB408" i="3"/>
  <c r="V407" i="3"/>
  <c r="Y407" i="3" s="1"/>
  <c r="Z407" i="3" s="1"/>
  <c r="AA407" i="3" s="1"/>
  <c r="AB407" i="3"/>
  <c r="V406" i="3"/>
  <c r="Y406" i="3" s="1"/>
  <c r="Z406" i="3" s="1"/>
  <c r="AA406" i="3" s="1"/>
  <c r="AB406" i="3"/>
  <c r="AB405" i="3"/>
  <c r="V405" i="3"/>
  <c r="Y405" i="3" s="1"/>
  <c r="Z405" i="3" s="1"/>
  <c r="AA405" i="3" s="1"/>
  <c r="AB404" i="3"/>
  <c r="V404" i="3"/>
  <c r="Y404" i="3" s="1"/>
  <c r="Z404" i="3" s="1"/>
  <c r="AA404" i="3" s="1"/>
  <c r="V403" i="3"/>
  <c r="Y403" i="3" s="1"/>
  <c r="Z403" i="3" s="1"/>
  <c r="AA403" i="3" s="1"/>
  <c r="AB403" i="3"/>
  <c r="V402" i="3"/>
  <c r="Y402" i="3" s="1"/>
  <c r="Z402" i="3" s="1"/>
  <c r="AA402" i="3" s="1"/>
  <c r="AB402" i="3"/>
  <c r="AB401" i="3"/>
  <c r="V401" i="3"/>
  <c r="Y401" i="3" s="1"/>
  <c r="Z401" i="3" s="1"/>
  <c r="AA401" i="3" s="1"/>
  <c r="AB400" i="3"/>
  <c r="V400" i="3"/>
  <c r="Y400" i="3" s="1"/>
  <c r="Z400" i="3" s="1"/>
  <c r="AA400" i="3" s="1"/>
  <c r="V399" i="3"/>
  <c r="Y399" i="3" s="1"/>
  <c r="Z399" i="3" s="1"/>
  <c r="AA399" i="3" s="1"/>
  <c r="AB399" i="3"/>
  <c r="V398" i="3"/>
  <c r="Y398" i="3" s="1"/>
  <c r="Z398" i="3"/>
  <c r="AA398" i="3"/>
  <c r="AB398" i="3"/>
  <c r="V397" i="3"/>
  <c r="Y397" i="3" s="1"/>
  <c r="Z397" i="3"/>
  <c r="AA397" i="3"/>
  <c r="AB397" i="3"/>
  <c r="AB396" i="3"/>
  <c r="V396" i="3"/>
  <c r="Y396" i="3" s="1"/>
  <c r="Z396" i="3"/>
  <c r="AA396" i="3" s="1"/>
  <c r="V395" i="3"/>
  <c r="Y395" i="3" s="1"/>
  <c r="Z395" i="3" s="1"/>
  <c r="AA395" i="3" s="1"/>
  <c r="AB395" i="3"/>
  <c r="V394" i="3"/>
  <c r="Y394" i="3" s="1"/>
  <c r="Z394" i="3" s="1"/>
  <c r="AA394" i="3" s="1"/>
  <c r="AB394" i="3"/>
  <c r="V393" i="3"/>
  <c r="Y393" i="3" s="1"/>
  <c r="Z393" i="3" s="1"/>
  <c r="AA393" i="3" s="1"/>
  <c r="AB393" i="3"/>
  <c r="V392" i="3"/>
  <c r="Y392" i="3" s="1"/>
  <c r="Z392" i="3" s="1"/>
  <c r="AA392" i="3" s="1"/>
  <c r="AB392" i="3"/>
  <c r="AB391" i="3"/>
  <c r="AA391" i="3"/>
  <c r="AB390" i="3"/>
  <c r="V390" i="3"/>
  <c r="Y390" i="3" s="1"/>
  <c r="Z390" i="3"/>
  <c r="AA390" i="3" s="1"/>
  <c r="V389" i="3"/>
  <c r="Y389" i="3" s="1"/>
  <c r="Z389" i="3"/>
  <c r="AA389" i="3"/>
  <c r="AB389" i="3"/>
  <c r="AB388" i="3"/>
  <c r="V388" i="3"/>
  <c r="Y388" i="3" s="1"/>
  <c r="Z388" i="3"/>
  <c r="AA388" i="3" s="1"/>
  <c r="AB387" i="3"/>
  <c r="V387" i="3"/>
  <c r="Y387" i="3" s="1"/>
  <c r="Z387" i="3" s="1"/>
  <c r="AA387" i="3" s="1"/>
  <c r="AB386" i="3"/>
  <c r="V386" i="3"/>
  <c r="Y386" i="3" s="1"/>
  <c r="Z386" i="3"/>
  <c r="AA386" i="3"/>
  <c r="AB385" i="3"/>
  <c r="V385" i="3"/>
  <c r="Y385" i="3" s="1"/>
  <c r="Z385" i="3" s="1"/>
  <c r="AA385" i="3" s="1"/>
  <c r="AB384" i="3"/>
  <c r="V384" i="3"/>
  <c r="Y384" i="3" s="1"/>
  <c r="Z384" i="3"/>
  <c r="AA384" i="3" s="1"/>
  <c r="AB383" i="3"/>
  <c r="V383" i="3"/>
  <c r="Y383" i="3" s="1"/>
  <c r="Z383" i="3" s="1"/>
  <c r="AA383" i="3" s="1"/>
  <c r="AB382" i="3"/>
  <c r="V382" i="3"/>
  <c r="Y382" i="3" s="1"/>
  <c r="Z382" i="3" s="1"/>
  <c r="AA382" i="3" s="1"/>
  <c r="V381" i="3"/>
  <c r="Y381" i="3" s="1"/>
  <c r="Z381" i="3" s="1"/>
  <c r="AA381" i="3" s="1"/>
  <c r="AB381" i="3"/>
  <c r="V380" i="3"/>
  <c r="Y380" i="3" s="1"/>
  <c r="Z380" i="3" s="1"/>
  <c r="AA380" i="3" s="1"/>
  <c r="AB380" i="3"/>
  <c r="AB379" i="3"/>
  <c r="V379" i="3"/>
  <c r="Y379" i="3" s="1"/>
  <c r="Z379" i="3" s="1"/>
  <c r="AA379" i="3" s="1"/>
  <c r="AB378" i="3"/>
  <c r="V378" i="3"/>
  <c r="Y378" i="3" s="1"/>
  <c r="Z378" i="3" s="1"/>
  <c r="AA378" i="3" s="1"/>
  <c r="V377" i="3"/>
  <c r="Y377" i="3" s="1"/>
  <c r="Z377" i="3"/>
  <c r="AA377" i="3"/>
  <c r="AB377" i="3"/>
  <c r="V376" i="3"/>
  <c r="Y376" i="3" s="1"/>
  <c r="Z376" i="3"/>
  <c r="AA376" i="3"/>
  <c r="AB376" i="3"/>
  <c r="AB375" i="3"/>
  <c r="V375" i="3"/>
  <c r="Y375" i="3" s="1"/>
  <c r="Z375" i="3"/>
  <c r="AA375" i="3" s="1"/>
  <c r="AB374" i="3"/>
  <c r="V374" i="3"/>
  <c r="Y374" i="3" s="1"/>
  <c r="Z374" i="3" s="1"/>
  <c r="AA374" i="3" s="1"/>
  <c r="AB373" i="3"/>
  <c r="V373" i="3"/>
  <c r="Y373" i="3" s="1"/>
  <c r="Z373" i="3" s="1"/>
  <c r="AA373" i="3" s="1"/>
  <c r="AB372" i="3"/>
  <c r="V372" i="3"/>
  <c r="Y372" i="3" s="1"/>
  <c r="Z372" i="3"/>
  <c r="AA372" i="3" s="1"/>
  <c r="V371" i="3"/>
  <c r="Y371" i="3" s="1"/>
  <c r="AB371" i="3"/>
  <c r="Z371" i="3"/>
  <c r="AA371" i="3" s="1"/>
  <c r="AB370" i="3"/>
  <c r="V370" i="3"/>
  <c r="Y370" i="3" s="1"/>
  <c r="Z370" i="3" s="1"/>
  <c r="AA370" i="3" s="1"/>
  <c r="V369" i="3"/>
  <c r="Y369" i="3" s="1"/>
  <c r="AB369" i="3"/>
  <c r="Z369" i="3"/>
  <c r="AA369" i="3" s="1"/>
  <c r="AB368" i="3"/>
  <c r="V368" i="3"/>
  <c r="Y368" i="3" s="1"/>
  <c r="Z368" i="3" s="1"/>
  <c r="AA368" i="3" s="1"/>
  <c r="AB367" i="3"/>
  <c r="V367" i="3"/>
  <c r="Y367" i="3" s="1"/>
  <c r="Z367" i="3" s="1"/>
  <c r="AA367" i="3" s="1"/>
  <c r="AB366" i="3"/>
  <c r="V366" i="3"/>
  <c r="Y366" i="3" s="1"/>
  <c r="Z366" i="3" s="1"/>
  <c r="AA366" i="3" s="1"/>
  <c r="AB365" i="3"/>
  <c r="V365" i="3"/>
  <c r="Y365" i="3" s="1"/>
  <c r="Z365" i="3" s="1"/>
  <c r="AA365" i="3" s="1"/>
  <c r="V363" i="3"/>
  <c r="Y363" i="3" s="1"/>
  <c r="Z363" i="3" s="1"/>
  <c r="AA363" i="3" s="1"/>
  <c r="AB363" i="3"/>
  <c r="V362" i="3"/>
  <c r="Y362" i="3" s="1"/>
  <c r="Z362" i="3" s="1"/>
  <c r="AA362" i="3" s="1"/>
  <c r="AB362" i="3"/>
  <c r="AB361" i="3"/>
  <c r="V361" i="3"/>
  <c r="Y361" i="3" s="1"/>
  <c r="Z361" i="3" s="1"/>
  <c r="AA361" i="3" s="1"/>
  <c r="AB360" i="3"/>
  <c r="V360" i="3"/>
  <c r="Y360" i="3" s="1"/>
  <c r="Z360" i="3" s="1"/>
  <c r="AA360" i="3" s="1"/>
  <c r="AB359" i="3"/>
  <c r="V359" i="3"/>
  <c r="Y359" i="3" s="1"/>
  <c r="Z359" i="3"/>
  <c r="AA359" i="3" s="1"/>
  <c r="AB358" i="3"/>
  <c r="V358" i="3"/>
  <c r="Y358" i="3" s="1"/>
  <c r="Z358" i="3"/>
  <c r="AA358" i="3"/>
  <c r="V357" i="3"/>
  <c r="Y357" i="3" s="1"/>
  <c r="Z357" i="3" s="1"/>
  <c r="AA357" i="3" s="1"/>
  <c r="AB357" i="3"/>
  <c r="V356" i="3"/>
  <c r="Y356" i="3" s="1"/>
  <c r="Z356" i="3"/>
  <c r="AA356" i="3"/>
  <c r="AB356" i="3"/>
  <c r="V355" i="3"/>
  <c r="Y355" i="3" s="1"/>
  <c r="Z355" i="3"/>
  <c r="AA355" i="3"/>
  <c r="AB355" i="3"/>
  <c r="V354" i="3"/>
  <c r="Y354" i="3" s="1"/>
  <c r="AB354" i="3"/>
  <c r="Z354" i="3"/>
  <c r="AA354" i="3" s="1"/>
  <c r="AB353" i="3"/>
  <c r="V353" i="3"/>
  <c r="Y353" i="3" s="1"/>
  <c r="Z353" i="3" s="1"/>
  <c r="AA353" i="3" s="1"/>
  <c r="AB352" i="3"/>
  <c r="V352" i="3"/>
  <c r="Y352" i="3" s="1"/>
  <c r="Z352" i="3" s="1"/>
  <c r="AA352" i="3" s="1"/>
  <c r="AB351" i="3"/>
  <c r="V351" i="3"/>
  <c r="Y351" i="3" s="1"/>
  <c r="Z351" i="3" s="1"/>
  <c r="AA351" i="3" s="1"/>
  <c r="AB350" i="3"/>
  <c r="V350" i="3"/>
  <c r="Y350" i="3" s="1"/>
  <c r="Z350" i="3" s="1"/>
  <c r="AA350" i="3" s="1"/>
  <c r="AB349" i="3"/>
  <c r="V349" i="3"/>
  <c r="Y349" i="3" s="1"/>
  <c r="Z349" i="3" s="1"/>
  <c r="AA349" i="3" s="1"/>
  <c r="AB348" i="3"/>
  <c r="V348" i="3"/>
  <c r="Y348" i="3" s="1"/>
  <c r="Z348" i="3" s="1"/>
  <c r="AA348" i="3" s="1"/>
  <c r="AB347" i="3"/>
  <c r="V347" i="3"/>
  <c r="Y347" i="3" s="1"/>
  <c r="Z347" i="3" s="1"/>
  <c r="AA347" i="3" s="1"/>
  <c r="AB346" i="3"/>
  <c r="AA346" i="3"/>
  <c r="V345" i="3"/>
  <c r="Y345" i="3" s="1"/>
  <c r="AB345" i="3"/>
  <c r="Z345" i="3"/>
  <c r="AA345" i="3" s="1"/>
  <c r="V344" i="3"/>
  <c r="Y344" i="3" s="1"/>
  <c r="Z344" i="3" s="1"/>
  <c r="AA344" i="3" s="1"/>
  <c r="AB344" i="3"/>
  <c r="AB343" i="3"/>
  <c r="V343" i="3"/>
  <c r="Y343" i="3" s="1"/>
  <c r="Z343" i="3" s="1"/>
  <c r="AA343" i="3" s="1"/>
  <c r="AB342" i="3"/>
  <c r="V342" i="3"/>
  <c r="Y342" i="3" s="1"/>
  <c r="Z342" i="3" s="1"/>
  <c r="AA342" i="3" s="1"/>
  <c r="V341" i="3"/>
  <c r="Y341" i="3" s="1"/>
  <c r="Z341" i="3" s="1"/>
  <c r="AA341" i="3" s="1"/>
  <c r="AB341" i="3"/>
  <c r="AB340" i="3"/>
  <c r="V340" i="3"/>
  <c r="Y340" i="3" s="1"/>
  <c r="Z340" i="3" s="1"/>
  <c r="AA340" i="3" s="1"/>
  <c r="V339" i="3"/>
  <c r="Y339" i="3" s="1"/>
  <c r="Z339" i="3" s="1"/>
  <c r="AA339" i="3" s="1"/>
  <c r="AB339" i="3"/>
  <c r="AB338" i="3"/>
  <c r="V338" i="3"/>
  <c r="Y338" i="3" s="1"/>
  <c r="Z338" i="3" s="1"/>
  <c r="AA338" i="3" s="1"/>
  <c r="V337" i="3"/>
  <c r="Y337" i="3" s="1"/>
  <c r="Z337" i="3"/>
  <c r="AA337" i="3"/>
  <c r="AB337" i="3"/>
  <c r="V336" i="3"/>
  <c r="Y336" i="3" s="1"/>
  <c r="Z336" i="3" s="1"/>
  <c r="AA336" i="3" s="1"/>
  <c r="AB336" i="3"/>
  <c r="AB335" i="3"/>
  <c r="V335" i="3"/>
  <c r="Y335" i="3" s="1"/>
  <c r="Z335" i="3" s="1"/>
  <c r="AA335" i="3" s="1"/>
  <c r="V334" i="3"/>
  <c r="Y334" i="3" s="1"/>
  <c r="Z334" i="3" s="1"/>
  <c r="AA334" i="3" s="1"/>
  <c r="AB334" i="3"/>
  <c r="V333" i="3"/>
  <c r="Y333" i="3" s="1"/>
  <c r="Z333" i="3" s="1"/>
  <c r="AA333" i="3" s="1"/>
  <c r="AB333" i="3"/>
  <c r="V332" i="3"/>
  <c r="Y332" i="3" s="1"/>
  <c r="Z332" i="3" s="1"/>
  <c r="AA332" i="3" s="1"/>
  <c r="AB332" i="3"/>
  <c r="AB331" i="3"/>
  <c r="V331" i="3"/>
  <c r="Y331" i="3" s="1"/>
  <c r="Z331" i="3" s="1"/>
  <c r="AA331" i="3" s="1"/>
  <c r="AB330" i="3"/>
  <c r="V330" i="3"/>
  <c r="Y330" i="3" s="1"/>
  <c r="Z330" i="3" s="1"/>
  <c r="AA330" i="3" s="1"/>
  <c r="AB329" i="3"/>
  <c r="V329" i="3"/>
  <c r="Y329" i="3" s="1"/>
  <c r="Z329" i="3" s="1"/>
  <c r="AA329" i="3" s="1"/>
  <c r="AB328" i="3"/>
  <c r="V328" i="3"/>
  <c r="Y328" i="3" s="1"/>
  <c r="Z328" i="3" s="1"/>
  <c r="AA328" i="3" s="1"/>
  <c r="V327" i="3"/>
  <c r="Y327" i="3" s="1"/>
  <c r="AB327" i="3"/>
  <c r="Z327" i="3"/>
  <c r="AA327" i="3" s="1"/>
  <c r="AB326" i="3"/>
  <c r="V326" i="3"/>
  <c r="Y326" i="3" s="1"/>
  <c r="Z326" i="3" s="1"/>
  <c r="AA326" i="3" s="1"/>
  <c r="V325" i="3"/>
  <c r="Y325" i="3" s="1"/>
  <c r="Z325" i="3"/>
  <c r="AB325" i="3"/>
  <c r="AA325" i="3"/>
  <c r="V324" i="3"/>
  <c r="Y324" i="3" s="1"/>
  <c r="Z324" i="3" s="1"/>
  <c r="AA324" i="3" s="1"/>
  <c r="AB324" i="3"/>
  <c r="AB323" i="3"/>
  <c r="V323" i="3"/>
  <c r="Y323" i="3" s="1"/>
  <c r="Z323" i="3" s="1"/>
  <c r="AA323" i="3" s="1"/>
  <c r="V322" i="3"/>
  <c r="Y322" i="3" s="1"/>
  <c r="Z322" i="3" s="1"/>
  <c r="AA322" i="3" s="1"/>
  <c r="AB322" i="3"/>
  <c r="AB321" i="3"/>
  <c r="V321" i="3"/>
  <c r="Y321" i="3" s="1"/>
  <c r="Z321" i="3" s="1"/>
  <c r="AA321" i="3" s="1"/>
  <c r="AB320" i="3"/>
  <c r="V320" i="3"/>
  <c r="Y320" i="3" s="1"/>
  <c r="Z320" i="3" s="1"/>
  <c r="AA320" i="3" s="1"/>
  <c r="V319" i="3"/>
  <c r="Y319" i="3" s="1"/>
  <c r="AB319" i="3"/>
  <c r="Z319" i="3"/>
  <c r="AA319" i="3" s="1"/>
  <c r="AB318" i="3"/>
  <c r="V318" i="3"/>
  <c r="Y318" i="3" s="1"/>
  <c r="Z318" i="3" s="1"/>
  <c r="AA318" i="3" s="1"/>
  <c r="AB317" i="3"/>
  <c r="V317" i="3"/>
  <c r="Y317" i="3" s="1"/>
  <c r="Z317" i="3" s="1"/>
  <c r="AA317" i="3" s="1"/>
  <c r="AB316" i="3"/>
  <c r="V316" i="3"/>
  <c r="Y316" i="3" s="1"/>
  <c r="Z316" i="3" s="1"/>
  <c r="AA316" i="3" s="1"/>
  <c r="V315" i="3"/>
  <c r="Y315" i="3" s="1"/>
  <c r="Z315" i="3"/>
  <c r="AA315" i="3" s="1"/>
  <c r="AB315" i="3"/>
  <c r="V314" i="3"/>
  <c r="Y314" i="3" s="1"/>
  <c r="Z314" i="3" s="1"/>
  <c r="AA314" i="3" s="1"/>
  <c r="AB314" i="3"/>
  <c r="AB313" i="3"/>
  <c r="V313" i="3"/>
  <c r="Y313" i="3" s="1"/>
  <c r="Z313" i="3" s="1"/>
  <c r="AA313" i="3" s="1"/>
  <c r="V312" i="3"/>
  <c r="Y312" i="3" s="1"/>
  <c r="Z312" i="3"/>
  <c r="AA312" i="3" s="1"/>
  <c r="V311" i="3"/>
  <c r="Y311" i="3" s="1"/>
  <c r="AB311" i="3"/>
  <c r="Z311" i="3"/>
  <c r="AA311" i="3" s="1"/>
  <c r="V310" i="3"/>
  <c r="Y310" i="3" s="1"/>
  <c r="AB310" i="3"/>
  <c r="Z310" i="3"/>
  <c r="AA310" i="3" s="1"/>
  <c r="V309" i="3"/>
  <c r="Y309" i="3" s="1"/>
  <c r="Z309" i="3" s="1"/>
  <c r="AA309" i="3" s="1"/>
  <c r="AB309" i="3"/>
  <c r="V308" i="3"/>
  <c r="Y308" i="3" s="1"/>
  <c r="Z308" i="3" s="1"/>
  <c r="AA308" i="3" s="1"/>
  <c r="AB308" i="3"/>
  <c r="V307" i="3"/>
  <c r="Y307" i="3" s="1"/>
  <c r="AB307" i="3"/>
  <c r="Z307" i="3"/>
  <c r="AA307" i="3" s="1"/>
  <c r="V306" i="3"/>
  <c r="Y306" i="3" s="1"/>
  <c r="Z306" i="3" s="1"/>
  <c r="AA306" i="3" s="1"/>
  <c r="AB306" i="3"/>
  <c r="V305" i="3"/>
  <c r="Y305" i="3" s="1"/>
  <c r="Z305" i="3" s="1"/>
  <c r="AA305" i="3" s="1"/>
  <c r="AB305" i="3"/>
  <c r="V304" i="3"/>
  <c r="Y304" i="3" s="1"/>
  <c r="Z304" i="3" s="1"/>
  <c r="AA304" i="3" s="1"/>
  <c r="AB304" i="3"/>
  <c r="V303" i="3"/>
  <c r="Y303" i="3" s="1"/>
  <c r="Z303" i="3"/>
  <c r="AA303" i="3"/>
  <c r="AB303" i="3"/>
  <c r="V302" i="3"/>
  <c r="Y302" i="3" s="1"/>
  <c r="Z302" i="3"/>
  <c r="AA302" i="3"/>
  <c r="AB302" i="3"/>
  <c r="AB301" i="3"/>
  <c r="V301" i="3"/>
  <c r="Y301" i="3" s="1"/>
  <c r="Z301" i="3"/>
  <c r="AA301" i="3"/>
  <c r="AB300" i="3"/>
  <c r="V300" i="3"/>
  <c r="Y300" i="3" s="1"/>
  <c r="Z300" i="3"/>
  <c r="AA300" i="3" s="1"/>
  <c r="AB299" i="3"/>
  <c r="V299" i="3"/>
  <c r="Y299" i="3" s="1"/>
  <c r="Z299" i="3" s="1"/>
  <c r="AA299" i="3" s="1"/>
  <c r="AB298" i="3"/>
  <c r="V298" i="3"/>
  <c r="Y298" i="3" s="1"/>
  <c r="Z298" i="3" s="1"/>
  <c r="AA298" i="3" s="1"/>
  <c r="V297" i="3"/>
  <c r="Y297" i="3" s="1"/>
  <c r="Z297" i="3" s="1"/>
  <c r="AA297" i="3" s="1"/>
  <c r="AB297" i="3"/>
  <c r="V296" i="3"/>
  <c r="Y296" i="3" s="1"/>
  <c r="AB296" i="3"/>
  <c r="Z296" i="3"/>
  <c r="AA296" i="3"/>
  <c r="AB295" i="3"/>
  <c r="V295" i="3"/>
  <c r="Y295" i="3" s="1"/>
  <c r="Z295" i="3" s="1"/>
  <c r="AA295" i="3" s="1"/>
  <c r="AB294" i="3"/>
  <c r="V294" i="3"/>
  <c r="Y294" i="3" s="1"/>
  <c r="Z294" i="3" s="1"/>
  <c r="AA294" i="3" s="1"/>
  <c r="V293" i="3"/>
  <c r="Y293" i="3" s="1"/>
  <c r="AB293" i="3"/>
  <c r="Z293" i="3"/>
  <c r="AA293" i="3" s="1"/>
  <c r="AB292" i="3"/>
  <c r="V292" i="3"/>
  <c r="Y292" i="3" s="1"/>
  <c r="Z292" i="3" s="1"/>
  <c r="AA292" i="3" s="1"/>
  <c r="V291" i="3"/>
  <c r="Y291" i="3" s="1"/>
  <c r="AB291" i="3"/>
  <c r="Z291" i="3"/>
  <c r="AA291" i="3" s="1"/>
  <c r="V290" i="3"/>
  <c r="Y290" i="3" s="1"/>
  <c r="Z290" i="3"/>
  <c r="AA290" i="3"/>
  <c r="AB290" i="3"/>
  <c r="V289" i="3"/>
  <c r="Y289" i="3" s="1"/>
  <c r="Z289" i="3" s="1"/>
  <c r="AA289" i="3" s="1"/>
  <c r="AB289" i="3"/>
  <c r="V288" i="3"/>
  <c r="Y288" i="3" s="1"/>
  <c r="Z288" i="3" s="1"/>
  <c r="AA288" i="3" s="1"/>
  <c r="AB288" i="3"/>
  <c r="V287" i="3"/>
  <c r="Y287" i="3" s="1"/>
  <c r="Z287" i="3"/>
  <c r="AA287" i="3" s="1"/>
  <c r="AB287" i="3"/>
  <c r="V286" i="3"/>
  <c r="Y286" i="3" s="1"/>
  <c r="Z286" i="3"/>
  <c r="AB286" i="3"/>
  <c r="AA286" i="3"/>
  <c r="V285" i="3"/>
  <c r="Y285" i="3" s="1"/>
  <c r="Z285" i="3" s="1"/>
  <c r="AA285" i="3" s="1"/>
  <c r="AB285" i="3"/>
  <c r="AB284" i="3"/>
  <c r="V284" i="3"/>
  <c r="Y284" i="3" s="1"/>
  <c r="Z284" i="3" s="1"/>
  <c r="AA284" i="3" s="1"/>
  <c r="V283" i="3"/>
  <c r="Y283" i="3" s="1"/>
  <c r="AB283" i="3"/>
  <c r="Z283" i="3"/>
  <c r="AA283" i="3" s="1"/>
  <c r="V282" i="3"/>
  <c r="Y282" i="3" s="1"/>
  <c r="Z282" i="3"/>
  <c r="AA282" i="3"/>
  <c r="AB282" i="3"/>
  <c r="V281" i="3"/>
  <c r="Y281" i="3" s="1"/>
  <c r="Z281" i="3"/>
  <c r="AA281" i="3"/>
  <c r="AB281" i="3"/>
  <c r="AB280" i="3"/>
  <c r="V280" i="3"/>
  <c r="Y280" i="3" s="1"/>
  <c r="Z280" i="3" s="1"/>
  <c r="AA280" i="3" s="1"/>
  <c r="AB279" i="3"/>
  <c r="V279" i="3"/>
  <c r="Y279" i="3" s="1"/>
  <c r="Z279" i="3" s="1"/>
  <c r="AA279" i="3" s="1"/>
  <c r="V278" i="3"/>
  <c r="Y278" i="3" s="1"/>
  <c r="Z278" i="3" s="1"/>
  <c r="AA278" i="3" s="1"/>
  <c r="AB278" i="3"/>
  <c r="AB277" i="3"/>
  <c r="V277" i="3"/>
  <c r="Y277" i="3" s="1"/>
  <c r="Z277" i="3"/>
  <c r="AA277" i="3" s="1"/>
  <c r="AB276" i="3"/>
  <c r="V276" i="3"/>
  <c r="Y276" i="3" s="1"/>
  <c r="Z276" i="3" s="1"/>
  <c r="AA276" i="3" s="1"/>
  <c r="V275" i="3"/>
  <c r="Y275" i="3" s="1"/>
  <c r="Z275" i="3" s="1"/>
  <c r="AA275" i="3" s="1"/>
  <c r="AB275" i="3"/>
  <c r="V274" i="3"/>
  <c r="Y274" i="3" s="1"/>
  <c r="AB274" i="3"/>
  <c r="Z274" i="3"/>
  <c r="AA274" i="3" s="1"/>
  <c r="AB273" i="3"/>
  <c r="V273" i="3"/>
  <c r="Y273" i="3" s="1"/>
  <c r="Z273" i="3"/>
  <c r="AA273" i="3"/>
  <c r="AB272" i="3"/>
  <c r="V272" i="3"/>
  <c r="Y272" i="3" s="1"/>
  <c r="Z272" i="3" s="1"/>
  <c r="AA272" i="3" s="1"/>
  <c r="V271" i="3"/>
  <c r="Y271" i="3" s="1"/>
  <c r="Z271" i="3"/>
  <c r="AA271" i="3" s="1"/>
  <c r="AB271" i="3"/>
  <c r="AB270" i="3"/>
  <c r="V270" i="3"/>
  <c r="Y270" i="3" s="1"/>
  <c r="Z270" i="3" s="1"/>
  <c r="AA270" i="3" s="1"/>
  <c r="V269" i="3"/>
  <c r="Y269" i="3" s="1"/>
  <c r="Z269" i="3"/>
  <c r="AB269" i="3"/>
  <c r="AA269" i="3"/>
  <c r="V268" i="3"/>
  <c r="Y268" i="3" s="1"/>
  <c r="Z268" i="3" s="1"/>
  <c r="AA268" i="3" s="1"/>
  <c r="AB268" i="3"/>
  <c r="AB267" i="3"/>
  <c r="V267" i="3"/>
  <c r="Y267" i="3" s="1"/>
  <c r="Z267" i="3"/>
  <c r="AA267" i="3" s="1"/>
  <c r="V266" i="3"/>
  <c r="Y266" i="3" s="1"/>
  <c r="Z266" i="3"/>
  <c r="AB266" i="3"/>
  <c r="AA266" i="3"/>
  <c r="AB265" i="3"/>
  <c r="V265" i="3"/>
  <c r="Y265" i="3" s="1"/>
  <c r="Z265" i="3"/>
  <c r="AA265" i="3" s="1"/>
  <c r="AB264" i="3"/>
  <c r="V264" i="3"/>
  <c r="Y264" i="3" s="1"/>
  <c r="Z264" i="3"/>
  <c r="AA264" i="3" s="1"/>
  <c r="AB263" i="3"/>
  <c r="V263" i="3"/>
  <c r="Y263" i="3" s="1"/>
  <c r="Z263" i="3" s="1"/>
  <c r="AA263" i="3" s="1"/>
  <c r="V262" i="3"/>
  <c r="Y262" i="3" s="1"/>
  <c r="AB262" i="3"/>
  <c r="Z262" i="3"/>
  <c r="AA262" i="3" s="1"/>
  <c r="V261" i="3"/>
  <c r="Y261" i="3" s="1"/>
  <c r="Z261" i="3"/>
  <c r="AA261" i="3" s="1"/>
  <c r="AB261" i="3"/>
  <c r="AB260" i="3"/>
  <c r="V260" i="3"/>
  <c r="Y260" i="3" s="1"/>
  <c r="Z260" i="3" s="1"/>
  <c r="AA260" i="3" s="1"/>
  <c r="AB259" i="3"/>
  <c r="V259" i="3"/>
  <c r="Y259" i="3" s="1"/>
  <c r="Z259" i="3" s="1"/>
  <c r="AA259" i="3" s="1"/>
  <c r="V258" i="3"/>
  <c r="Y258" i="3" s="1"/>
  <c r="Z258" i="3" s="1"/>
  <c r="AA258" i="3" s="1"/>
  <c r="AB258" i="3"/>
  <c r="AB257" i="3"/>
  <c r="V257" i="3"/>
  <c r="Y257" i="3" s="1"/>
  <c r="Z257" i="3" s="1"/>
  <c r="AA257" i="3" s="1"/>
  <c r="AB256" i="3"/>
  <c r="V256" i="3"/>
  <c r="Y256" i="3" s="1"/>
  <c r="Z256" i="3" s="1"/>
  <c r="AA256" i="3" s="1"/>
  <c r="AB255" i="3"/>
  <c r="V255" i="3"/>
  <c r="Y255" i="3" s="1"/>
  <c r="Z255" i="3"/>
  <c r="AA255" i="3"/>
  <c r="V254" i="3"/>
  <c r="Y254" i="3" s="1"/>
  <c r="Z254" i="3"/>
  <c r="AA254" i="3"/>
  <c r="AB254" i="3"/>
  <c r="V253" i="3"/>
  <c r="Y253" i="3" s="1"/>
  <c r="AB253" i="3"/>
  <c r="Z253" i="3"/>
  <c r="AA253" i="3" s="1"/>
  <c r="AB252" i="3"/>
  <c r="V252" i="3"/>
  <c r="Y252" i="3" s="1"/>
  <c r="Z252" i="3" s="1"/>
  <c r="AA252" i="3" s="1"/>
  <c r="V251" i="3"/>
  <c r="Y251" i="3" s="1"/>
  <c r="AB251" i="3"/>
  <c r="Z251" i="3"/>
  <c r="AA251" i="3" s="1"/>
  <c r="V250" i="3"/>
  <c r="Y250" i="3" s="1"/>
  <c r="Z250" i="3"/>
  <c r="AA250" i="3" s="1"/>
  <c r="AB250" i="3"/>
  <c r="V249" i="3"/>
  <c r="Y249" i="3" s="1"/>
  <c r="Z249" i="3"/>
  <c r="AA249" i="3"/>
  <c r="AB249" i="3"/>
  <c r="AB248" i="3"/>
  <c r="V248" i="3"/>
  <c r="Y248" i="3" s="1"/>
  <c r="Z248" i="3" s="1"/>
  <c r="AA248" i="3" s="1"/>
  <c r="AB247" i="3"/>
  <c r="V247" i="3"/>
  <c r="Y247" i="3" s="1"/>
  <c r="Z247" i="3" s="1"/>
  <c r="AA247" i="3" s="1"/>
  <c r="V246" i="3"/>
  <c r="Y246" i="3" s="1"/>
  <c r="AB246" i="3"/>
  <c r="Z246" i="3"/>
  <c r="AA246" i="3" s="1"/>
  <c r="V245" i="3"/>
  <c r="Y245" i="3" s="1"/>
  <c r="Z245" i="3" s="1"/>
  <c r="AA245" i="3" s="1"/>
  <c r="AB245" i="3"/>
  <c r="V244" i="3"/>
  <c r="Y244" i="3" s="1"/>
  <c r="Z244" i="3" s="1"/>
  <c r="AA244" i="3" s="1"/>
  <c r="AB244" i="3"/>
  <c r="AB243" i="3"/>
  <c r="V243" i="3"/>
  <c r="Y243" i="3" s="1"/>
  <c r="Z243" i="3" s="1"/>
  <c r="AA243" i="3" s="1"/>
  <c r="AB242" i="3"/>
  <c r="V242" i="3"/>
  <c r="Y242" i="3" s="1"/>
  <c r="Z242" i="3" s="1"/>
  <c r="AA242" i="3" s="1"/>
  <c r="V241" i="3"/>
  <c r="Y241" i="3" s="1"/>
  <c r="Z241" i="3"/>
  <c r="AB241" i="3"/>
  <c r="AA241" i="3"/>
  <c r="AB240" i="3"/>
  <c r="V240" i="3"/>
  <c r="Y240" i="3" s="1"/>
  <c r="Z240" i="3" s="1"/>
  <c r="AA240" i="3" s="1"/>
  <c r="AB239" i="3"/>
  <c r="V239" i="3"/>
  <c r="Y239" i="3" s="1"/>
  <c r="Z239" i="3" s="1"/>
  <c r="AA239" i="3" s="1"/>
  <c r="V238" i="3"/>
  <c r="Y238" i="3" s="1"/>
  <c r="Z238" i="3"/>
  <c r="AA238" i="3"/>
  <c r="AB238" i="3"/>
  <c r="V237" i="3"/>
  <c r="Y237" i="3" s="1"/>
  <c r="Z237" i="3"/>
  <c r="AA237" i="3"/>
  <c r="AB237" i="3"/>
  <c r="AB236" i="3"/>
  <c r="V236" i="3"/>
  <c r="Y236" i="3" s="1"/>
  <c r="Z236" i="3"/>
  <c r="AA236" i="3" s="1"/>
  <c r="AB235" i="3"/>
  <c r="V235" i="3"/>
  <c r="Y235" i="3" s="1"/>
  <c r="Z235" i="3" s="1"/>
  <c r="AA235" i="3" s="1"/>
  <c r="V234" i="3"/>
  <c r="Y234" i="3" s="1"/>
  <c r="Z234" i="3"/>
  <c r="AA234" i="3"/>
  <c r="AB234" i="3"/>
  <c r="AB233" i="3"/>
  <c r="V233" i="3"/>
  <c r="Y233" i="3" s="1"/>
  <c r="Z233" i="3"/>
  <c r="AA233" i="3" s="1"/>
  <c r="AB232" i="3"/>
  <c r="V232" i="3"/>
  <c r="Y232" i="3" s="1"/>
  <c r="Z232" i="3" s="1"/>
  <c r="AA232" i="3" s="1"/>
  <c r="V231" i="3"/>
  <c r="Y231" i="3" s="1"/>
  <c r="AB231" i="3"/>
  <c r="Z231" i="3"/>
  <c r="AA231" i="3" s="1"/>
  <c r="V230" i="3"/>
  <c r="Y230" i="3" s="1"/>
  <c r="Z230" i="3" s="1"/>
  <c r="AA230" i="3" s="1"/>
  <c r="AB230" i="3"/>
  <c r="AB229" i="3"/>
  <c r="V229" i="3"/>
  <c r="Y229" i="3" s="1"/>
  <c r="Z229" i="3" s="1"/>
  <c r="AA229" i="3" s="1"/>
  <c r="V228" i="3"/>
  <c r="Y228" i="3" s="1"/>
  <c r="Z228" i="3"/>
  <c r="AA228" i="3"/>
  <c r="AB228" i="3"/>
  <c r="AB227" i="3"/>
  <c r="V227" i="3"/>
  <c r="Y227" i="3" s="1"/>
  <c r="Z227" i="3"/>
  <c r="AA227" i="3"/>
  <c r="V226" i="3"/>
  <c r="Y226" i="3" s="1"/>
  <c r="Z226" i="3"/>
  <c r="AA226" i="3"/>
  <c r="AB226" i="3"/>
  <c r="AB225" i="3"/>
  <c r="V225" i="3"/>
  <c r="Y225" i="3" s="1"/>
  <c r="Z225" i="3" s="1"/>
  <c r="AA225" i="3" s="1"/>
  <c r="V224" i="3"/>
  <c r="Y224" i="3" s="1"/>
  <c r="Z224" i="3" s="1"/>
  <c r="AA224" i="3" s="1"/>
  <c r="AB224" i="3"/>
  <c r="AB223" i="3"/>
  <c r="V223" i="3"/>
  <c r="Y223" i="3" s="1"/>
  <c r="Z223" i="3" s="1"/>
  <c r="AA223" i="3" s="1"/>
  <c r="AB222" i="3"/>
  <c r="V222" i="3"/>
  <c r="Y222" i="3" s="1"/>
  <c r="Z222" i="3" s="1"/>
  <c r="AA222" i="3" s="1"/>
  <c r="V221" i="3"/>
  <c r="Y221" i="3" s="1"/>
  <c r="AB221" i="3"/>
  <c r="Z221" i="3"/>
  <c r="AA221" i="3" s="1"/>
  <c r="AB220" i="3"/>
  <c r="V220" i="3"/>
  <c r="Y220" i="3" s="1"/>
  <c r="Z220" i="3"/>
  <c r="AA220" i="3" s="1"/>
  <c r="AB219" i="3"/>
  <c r="V219" i="3"/>
  <c r="Y219" i="3" s="1"/>
  <c r="Z219" i="3" s="1"/>
  <c r="AA219" i="3" s="1"/>
  <c r="V218" i="3"/>
  <c r="Y218" i="3" s="1"/>
  <c r="Z218" i="3"/>
  <c r="AA218" i="3"/>
  <c r="AB218" i="3"/>
  <c r="V217" i="3"/>
  <c r="Y217" i="3" s="1"/>
  <c r="Z217" i="3"/>
  <c r="AA217" i="3"/>
  <c r="AB217" i="3"/>
  <c r="AB216" i="3"/>
  <c r="V216" i="3"/>
  <c r="Y216" i="3" s="1"/>
  <c r="Z216" i="3" s="1"/>
  <c r="AA216" i="3" s="1"/>
  <c r="V215" i="3"/>
  <c r="Y215" i="3" s="1"/>
  <c r="Z215" i="3"/>
  <c r="AA215" i="3"/>
  <c r="AB215" i="3"/>
  <c r="AB214" i="3"/>
  <c r="V214" i="3"/>
  <c r="Y214" i="3" s="1"/>
  <c r="Z214" i="3" s="1"/>
  <c r="AA214" i="3" s="1"/>
  <c r="V213" i="3"/>
  <c r="Y213" i="3" s="1"/>
  <c r="Z213" i="3" s="1"/>
  <c r="AA213" i="3" s="1"/>
  <c r="AB213" i="3"/>
  <c r="AA212" i="3"/>
  <c r="AB212" i="3"/>
  <c r="V211" i="3"/>
  <c r="Y211" i="3" s="1"/>
  <c r="Z211" i="3" s="1"/>
  <c r="AA211" i="3" s="1"/>
  <c r="AB211" i="3"/>
  <c r="AB210" i="3"/>
  <c r="V210" i="3"/>
  <c r="Y210" i="3" s="1"/>
  <c r="Z210" i="3"/>
  <c r="AA210" i="3" s="1"/>
  <c r="V208" i="3"/>
  <c r="Y208" i="3" s="1"/>
  <c r="AB208" i="3"/>
  <c r="Z208" i="3"/>
  <c r="AA208" i="3"/>
  <c r="AB207" i="3"/>
  <c r="V207" i="3"/>
  <c r="Y207" i="3" s="1"/>
  <c r="Z207" i="3"/>
  <c r="AA207" i="3" s="1"/>
  <c r="V206" i="3"/>
  <c r="Y206" i="3" s="1"/>
  <c r="Z206" i="3" s="1"/>
  <c r="AA206" i="3" s="1"/>
  <c r="AB206" i="3"/>
  <c r="V205" i="3"/>
  <c r="Y205" i="3" s="1"/>
  <c r="AB205" i="3"/>
  <c r="Z205" i="3"/>
  <c r="AA205" i="3" s="1"/>
  <c r="AB204" i="3"/>
  <c r="V204" i="3"/>
  <c r="Y204" i="3" s="1"/>
  <c r="Z204" i="3" s="1"/>
  <c r="AA204" i="3" s="1"/>
  <c r="V203" i="3"/>
  <c r="Y203" i="3" s="1"/>
  <c r="Z203" i="3" s="1"/>
  <c r="AA203" i="3" s="1"/>
  <c r="AB203" i="3"/>
  <c r="AB202" i="3"/>
  <c r="V202" i="3"/>
  <c r="Y202" i="3" s="1"/>
  <c r="Z202" i="3" s="1"/>
  <c r="AA202" i="3" s="1"/>
  <c r="AB201" i="3"/>
  <c r="V201" i="3"/>
  <c r="Y201" i="3" s="1"/>
  <c r="Z201" i="3"/>
  <c r="AA201" i="3" s="1"/>
  <c r="AB200" i="3"/>
  <c r="V200" i="3"/>
  <c r="Y200" i="3" s="1"/>
  <c r="Z200" i="3" s="1"/>
  <c r="AA200" i="3" s="1"/>
  <c r="AB199" i="3"/>
  <c r="V199" i="3"/>
  <c r="Y199" i="3" s="1"/>
  <c r="Z199" i="3" s="1"/>
  <c r="AA199" i="3" s="1"/>
  <c r="AB198" i="3"/>
  <c r="V198" i="3"/>
  <c r="Y198" i="3" s="1"/>
  <c r="Z198" i="3" s="1"/>
  <c r="AA198" i="3" s="1"/>
  <c r="AB197" i="3"/>
  <c r="V197" i="3"/>
  <c r="Y197" i="3" s="1"/>
  <c r="Z197" i="3" s="1"/>
  <c r="AA197" i="3" s="1"/>
  <c r="AB196" i="3"/>
  <c r="V196" i="3"/>
  <c r="Y196" i="3" s="1"/>
  <c r="Z196" i="3" s="1"/>
  <c r="AA196" i="3" s="1"/>
  <c r="AB195" i="3"/>
  <c r="V195" i="3"/>
  <c r="Y195" i="3" s="1"/>
  <c r="Z195" i="3" s="1"/>
  <c r="AA195" i="3" s="1"/>
  <c r="V194" i="3"/>
  <c r="Y194" i="3" s="1"/>
  <c r="Z194" i="3"/>
  <c r="AA194" i="3"/>
  <c r="AB194" i="3"/>
  <c r="V193" i="3"/>
  <c r="Y193" i="3" s="1"/>
  <c r="Z193" i="3"/>
  <c r="AA193" i="3"/>
  <c r="AB193" i="3"/>
  <c r="AB192" i="3"/>
  <c r="V192" i="3"/>
  <c r="Y192" i="3" s="1"/>
  <c r="Z192" i="3" s="1"/>
  <c r="AA192" i="3" s="1"/>
  <c r="AB191" i="3"/>
  <c r="V191" i="3"/>
  <c r="Y191" i="3" s="1"/>
  <c r="Z191" i="3" s="1"/>
  <c r="AA191" i="3" s="1"/>
  <c r="AB190" i="3"/>
  <c r="V190" i="3"/>
  <c r="Y190" i="3" s="1"/>
  <c r="Z190" i="3" s="1"/>
  <c r="AA190" i="3" s="1"/>
  <c r="AB189" i="3"/>
  <c r="V189" i="3"/>
  <c r="Y189" i="3" s="1"/>
  <c r="Z189" i="3" s="1"/>
  <c r="AA189" i="3" s="1"/>
  <c r="AB188" i="3"/>
  <c r="V188" i="3"/>
  <c r="Y188" i="3" s="1"/>
  <c r="Z188" i="3" s="1"/>
  <c r="AA188" i="3" s="1"/>
  <c r="AB187" i="3"/>
  <c r="V187" i="3"/>
  <c r="Y187" i="3" s="1"/>
  <c r="Z187" i="3" s="1"/>
  <c r="AA187" i="3" s="1"/>
  <c r="AB186" i="3"/>
  <c r="V186" i="3"/>
  <c r="Y186" i="3" s="1"/>
  <c r="Z186" i="3" s="1"/>
  <c r="AA186" i="3" s="1"/>
  <c r="V185" i="3"/>
  <c r="Y185" i="3" s="1"/>
  <c r="Z185" i="3" s="1"/>
  <c r="AA185" i="3" s="1"/>
  <c r="AB185" i="3"/>
  <c r="AB184" i="3"/>
  <c r="V184" i="3"/>
  <c r="Y184" i="3" s="1"/>
  <c r="Z184" i="3" s="1"/>
  <c r="AA184" i="3" s="1"/>
  <c r="AB183" i="3"/>
  <c r="AA183" i="3"/>
  <c r="AB182" i="3"/>
  <c r="V182" i="3"/>
  <c r="Y182" i="3" s="1"/>
  <c r="Z182" i="3" s="1"/>
  <c r="AA182" i="3" s="1"/>
  <c r="AB181" i="3"/>
  <c r="V181" i="3"/>
  <c r="Y181" i="3" s="1"/>
  <c r="Z181" i="3" s="1"/>
  <c r="AA181" i="3" s="1"/>
  <c r="AB180" i="3"/>
  <c r="V180" i="3"/>
  <c r="Y180" i="3" s="1"/>
  <c r="Z180" i="3" s="1"/>
  <c r="AA180" i="3" s="1"/>
  <c r="AB179" i="3"/>
  <c r="V179" i="3"/>
  <c r="Y179" i="3" s="1"/>
  <c r="Z179" i="3" s="1"/>
  <c r="AA179" i="3" s="1"/>
  <c r="AB178" i="3"/>
  <c r="V178" i="3"/>
  <c r="Y178" i="3" s="1"/>
  <c r="Z178" i="3" s="1"/>
  <c r="AA178" i="3" s="1"/>
  <c r="V177" i="3"/>
  <c r="Y177" i="3" s="1"/>
  <c r="Z177" i="3"/>
  <c r="AA177" i="3" s="1"/>
  <c r="AB177" i="3"/>
  <c r="AB176" i="3"/>
  <c r="V176" i="3"/>
  <c r="Y176" i="3" s="1"/>
  <c r="Z176" i="3" s="1"/>
  <c r="AA176" i="3" s="1"/>
  <c r="AB175" i="3"/>
  <c r="V175" i="3"/>
  <c r="Y175" i="3" s="1"/>
  <c r="Z175" i="3" s="1"/>
  <c r="AA175" i="3" s="1"/>
  <c r="V174" i="3"/>
  <c r="Y174" i="3" s="1"/>
  <c r="AB174" i="3"/>
  <c r="Z174" i="3"/>
  <c r="AA174" i="3" s="1"/>
  <c r="AB173" i="3"/>
  <c r="V173" i="3"/>
  <c r="Y173" i="3" s="1"/>
  <c r="Z173" i="3"/>
  <c r="AA173" i="3" s="1"/>
  <c r="AB172" i="3"/>
  <c r="V172" i="3"/>
  <c r="Y172" i="3" s="1"/>
  <c r="Z172" i="3" s="1"/>
  <c r="AA172" i="3" s="1"/>
  <c r="AB171" i="3"/>
  <c r="V171" i="3"/>
  <c r="Y171" i="3" s="1"/>
  <c r="Z171" i="3" s="1"/>
  <c r="AA171" i="3" s="1"/>
  <c r="AB170" i="3"/>
  <c r="V170" i="3"/>
  <c r="Y170" i="3" s="1"/>
  <c r="Z170" i="3" s="1"/>
  <c r="AA170" i="3" s="1"/>
  <c r="V169" i="3"/>
  <c r="Y169" i="3" s="1"/>
  <c r="AB169" i="3"/>
  <c r="Z169" i="3"/>
  <c r="AA169" i="3" s="1"/>
  <c r="V168" i="3"/>
  <c r="Y168" i="3" s="1"/>
  <c r="Z168" i="3"/>
  <c r="AA168" i="3" s="1"/>
  <c r="AB168" i="3"/>
  <c r="AB167" i="3"/>
  <c r="V167" i="3"/>
  <c r="Y167" i="3" s="1"/>
  <c r="Z167" i="3" s="1"/>
  <c r="AA167" i="3" s="1"/>
  <c r="AB166" i="3"/>
  <c r="V166" i="3"/>
  <c r="Y166" i="3" s="1"/>
  <c r="Z166" i="3" s="1"/>
  <c r="AA166" i="3" s="1"/>
  <c r="AB165" i="3"/>
  <c r="V165" i="3"/>
  <c r="Y165" i="3" s="1"/>
  <c r="Z165" i="3" s="1"/>
  <c r="AA165" i="3" s="1"/>
  <c r="AB164" i="3"/>
  <c r="V164" i="3"/>
  <c r="Y164" i="3" s="1"/>
  <c r="Z164" i="3" s="1"/>
  <c r="AA164" i="3" s="1"/>
  <c r="V163" i="3"/>
  <c r="Y163" i="3" s="1"/>
  <c r="Z163" i="3"/>
  <c r="AA163" i="3"/>
  <c r="AB163" i="3"/>
  <c r="AB162" i="3"/>
  <c r="V162" i="3"/>
  <c r="Y162" i="3" s="1"/>
  <c r="Z162" i="3" s="1"/>
  <c r="AA162" i="3" s="1"/>
  <c r="AB161" i="3"/>
  <c r="V161" i="3"/>
  <c r="Y161" i="3" s="1"/>
  <c r="Z161" i="3" s="1"/>
  <c r="AA161" i="3" s="1"/>
  <c r="V160" i="3"/>
  <c r="Y160" i="3" s="1"/>
  <c r="AB160" i="3"/>
  <c r="Z160" i="3"/>
  <c r="AA160" i="3" s="1"/>
  <c r="AB159" i="3"/>
  <c r="V159" i="3"/>
  <c r="Y159" i="3" s="1"/>
  <c r="Z159" i="3"/>
  <c r="AA159" i="3"/>
  <c r="V158" i="3"/>
  <c r="Y158" i="3" s="1"/>
  <c r="Z158" i="3" s="1"/>
  <c r="AA158" i="3" s="1"/>
  <c r="AB158" i="3"/>
  <c r="AB156" i="3"/>
  <c r="V156" i="3"/>
  <c r="Y156" i="3" s="1"/>
  <c r="Z156" i="3"/>
  <c r="AA156" i="3" s="1"/>
  <c r="AB155" i="3"/>
  <c r="V155" i="3"/>
  <c r="Y155" i="3" s="1"/>
  <c r="Z155" i="3" s="1"/>
  <c r="AA155" i="3" s="1"/>
  <c r="AB154" i="3"/>
  <c r="AA154" i="3"/>
  <c r="AB153" i="3"/>
  <c r="V153" i="3"/>
  <c r="Y153" i="3" s="1"/>
  <c r="Z153" i="3" s="1"/>
  <c r="AA153" i="3" s="1"/>
  <c r="AB152" i="3"/>
  <c r="V152" i="3"/>
  <c r="Y152" i="3" s="1"/>
  <c r="Z152" i="3" s="1"/>
  <c r="AA152" i="3" s="1"/>
  <c r="AB151" i="3"/>
  <c r="V151" i="3"/>
  <c r="Y151" i="3" s="1"/>
  <c r="Z151" i="3" s="1"/>
  <c r="AA151" i="3" s="1"/>
  <c r="AB150" i="3"/>
  <c r="V150" i="3"/>
  <c r="Y150" i="3" s="1"/>
  <c r="Z150" i="3" s="1"/>
  <c r="AA150" i="3" s="1"/>
  <c r="V149" i="3"/>
  <c r="Y149" i="3" s="1"/>
  <c r="Z149" i="3" s="1"/>
  <c r="AA149" i="3" s="1"/>
  <c r="AB149" i="3"/>
  <c r="V148" i="3"/>
  <c r="Y148" i="3" s="1"/>
  <c r="AB148" i="3"/>
  <c r="Z148" i="3"/>
  <c r="AA148" i="3" s="1"/>
  <c r="AB147" i="3"/>
  <c r="V147" i="3"/>
  <c r="Y147" i="3" s="1"/>
  <c r="Z147" i="3" s="1"/>
  <c r="AA147" i="3" s="1"/>
  <c r="V146" i="3"/>
  <c r="Y146" i="3" s="1"/>
  <c r="Z146" i="3"/>
  <c r="AA146" i="3" s="1"/>
  <c r="AB146" i="3"/>
  <c r="V145" i="3"/>
  <c r="Y145" i="3" s="1"/>
  <c r="Z145" i="3" s="1"/>
  <c r="AA145" i="3" s="1"/>
  <c r="AB145" i="3"/>
  <c r="AB144" i="3"/>
  <c r="V144" i="3"/>
  <c r="Y144" i="3" s="1"/>
  <c r="Z144" i="3" s="1"/>
  <c r="AA144" i="3" s="1"/>
  <c r="AB143" i="3"/>
  <c r="V143" i="3"/>
  <c r="Y143" i="3" s="1"/>
  <c r="Z143" i="3" s="1"/>
  <c r="AA143" i="3" s="1"/>
  <c r="AB142" i="3"/>
  <c r="V142" i="3"/>
  <c r="Y142" i="3" s="1"/>
  <c r="Z142" i="3" s="1"/>
  <c r="AA142" i="3" s="1"/>
  <c r="V141" i="3"/>
  <c r="Y141" i="3" s="1"/>
  <c r="Z141" i="3" s="1"/>
  <c r="AA141" i="3" s="1"/>
  <c r="AB141" i="3"/>
  <c r="AB140" i="3"/>
  <c r="V140" i="3"/>
  <c r="Y140" i="3" s="1"/>
  <c r="Z140" i="3" s="1"/>
  <c r="AA140" i="3" s="1"/>
  <c r="V139" i="3"/>
  <c r="Y139" i="3" s="1"/>
  <c r="AB139" i="3"/>
  <c r="Z139" i="3"/>
  <c r="AA139" i="3" s="1"/>
  <c r="AB138" i="3"/>
  <c r="V138" i="3"/>
  <c r="Y138" i="3" s="1"/>
  <c r="Z138" i="3" s="1"/>
  <c r="AA138" i="3" s="1"/>
  <c r="AB137" i="3"/>
  <c r="V137" i="3"/>
  <c r="Y137" i="3" s="1"/>
  <c r="Z137" i="3" s="1"/>
  <c r="AA137" i="3" s="1"/>
  <c r="AB136" i="3"/>
  <c r="V136" i="3"/>
  <c r="Y136" i="3" s="1"/>
  <c r="Z136" i="3" s="1"/>
  <c r="AA136" i="3" s="1"/>
  <c r="AB135" i="3"/>
  <c r="V135" i="3"/>
  <c r="Y135" i="3" s="1"/>
  <c r="Z135" i="3" s="1"/>
  <c r="AA135" i="3" s="1"/>
  <c r="AB134" i="3"/>
  <c r="V134" i="3"/>
  <c r="Y134" i="3" s="1"/>
  <c r="Z134" i="3" s="1"/>
  <c r="AA134" i="3" s="1"/>
  <c r="AB133" i="3"/>
  <c r="V133" i="3"/>
  <c r="Y133" i="3" s="1"/>
  <c r="Z133" i="3" s="1"/>
  <c r="AA133" i="3" s="1"/>
  <c r="AB132" i="3"/>
  <c r="V132" i="3"/>
  <c r="Y132" i="3" s="1"/>
  <c r="Z132" i="3" s="1"/>
  <c r="AA132" i="3" s="1"/>
  <c r="V131" i="3"/>
  <c r="Y131" i="3" s="1"/>
  <c r="AA131" i="3"/>
  <c r="Z131" i="3"/>
  <c r="AB131" i="3"/>
  <c r="AB130" i="3"/>
  <c r="V130" i="3"/>
  <c r="Y130" i="3" s="1"/>
  <c r="Z130" i="3" s="1"/>
  <c r="AA130" i="3" s="1"/>
  <c r="V129" i="3"/>
  <c r="Y129" i="3" s="1"/>
  <c r="Z129" i="3" s="1"/>
  <c r="AA129" i="3" s="1"/>
  <c r="AB129" i="3"/>
  <c r="AB128" i="3"/>
  <c r="V128" i="3"/>
  <c r="Y128" i="3" s="1"/>
  <c r="Z128" i="3" s="1"/>
  <c r="AA128" i="3" s="1"/>
  <c r="AB127" i="3"/>
  <c r="V127" i="3"/>
  <c r="Y127" i="3" s="1"/>
  <c r="Z127" i="3" s="1"/>
  <c r="AA127" i="3" s="1"/>
  <c r="AB126" i="3"/>
  <c r="V126" i="3"/>
  <c r="Y126" i="3" s="1"/>
  <c r="Z126" i="3" s="1"/>
  <c r="AA126" i="3" s="1"/>
  <c r="AB125" i="3"/>
  <c r="V125" i="3"/>
  <c r="Y125" i="3" s="1"/>
  <c r="Z125" i="3" s="1"/>
  <c r="AA125" i="3" s="1"/>
  <c r="AB124" i="3"/>
  <c r="V124" i="3"/>
  <c r="Y124" i="3" s="1"/>
  <c r="Z124" i="3" s="1"/>
  <c r="AA124" i="3" s="1"/>
  <c r="AB123" i="3"/>
  <c r="V123" i="3"/>
  <c r="Y123" i="3" s="1"/>
  <c r="Z123" i="3" s="1"/>
  <c r="AA123" i="3" s="1"/>
  <c r="V122" i="3"/>
  <c r="Y122" i="3" s="1"/>
  <c r="Z122" i="3" s="1"/>
  <c r="AA122" i="3" s="1"/>
  <c r="AB122" i="3"/>
  <c r="V121" i="3"/>
  <c r="Y121" i="3" s="1"/>
  <c r="AB121" i="3"/>
  <c r="Z121" i="3"/>
  <c r="AA121" i="3" s="1"/>
  <c r="V120" i="3"/>
  <c r="Y120" i="3" s="1"/>
  <c r="Z120" i="3" s="1"/>
  <c r="AA120" i="3" s="1"/>
  <c r="AB120" i="3"/>
  <c r="V119" i="3"/>
  <c r="Y119" i="3" s="1"/>
  <c r="Z119" i="3" s="1"/>
  <c r="AA119" i="3" s="1"/>
  <c r="AB119" i="3"/>
  <c r="AB118" i="3"/>
  <c r="V118" i="3"/>
  <c r="Y118" i="3" s="1"/>
  <c r="Z118" i="3" s="1"/>
  <c r="AA118" i="3" s="1"/>
  <c r="AB117" i="3"/>
  <c r="V117" i="3"/>
  <c r="Y117" i="3" s="1"/>
  <c r="Z117" i="3" s="1"/>
  <c r="AA117" i="3" s="1"/>
  <c r="AB116" i="3"/>
  <c r="V116" i="3"/>
  <c r="Y116" i="3" s="1"/>
  <c r="Z116" i="3" s="1"/>
  <c r="AA116" i="3" s="1"/>
  <c r="AB115" i="3"/>
  <c r="V115" i="3"/>
  <c r="Y115" i="3" s="1"/>
  <c r="Z115" i="3" s="1"/>
  <c r="AA115" i="3" s="1"/>
  <c r="V114" i="3"/>
  <c r="Y114" i="3" s="1"/>
  <c r="Z114" i="3" s="1"/>
  <c r="AA114" i="3" s="1"/>
  <c r="AB114" i="3"/>
  <c r="AB113" i="3"/>
  <c r="V113" i="3"/>
  <c r="Y113" i="3" s="1"/>
  <c r="Z113" i="3" s="1"/>
  <c r="AA113" i="3" s="1"/>
  <c r="AB112" i="3"/>
  <c r="V112" i="3"/>
  <c r="Y112" i="3" s="1"/>
  <c r="Z112" i="3" s="1"/>
  <c r="AA112" i="3" s="1"/>
  <c r="V111" i="3"/>
  <c r="Y111" i="3" s="1"/>
  <c r="Z111" i="3" s="1"/>
  <c r="AA111" i="3" s="1"/>
  <c r="AB111" i="3"/>
  <c r="AB110" i="3"/>
  <c r="V110" i="3"/>
  <c r="Y110" i="3" s="1"/>
  <c r="Z110" i="3" s="1"/>
  <c r="AA110" i="3" s="1"/>
  <c r="AB109" i="3"/>
  <c r="V109" i="3"/>
  <c r="Y109" i="3" s="1"/>
  <c r="Z109" i="3" s="1"/>
  <c r="AA109" i="3" s="1"/>
  <c r="AB108" i="3"/>
  <c r="V108" i="3"/>
  <c r="Y108" i="3" s="1"/>
  <c r="Z108" i="3" s="1"/>
  <c r="AA108" i="3" s="1"/>
  <c r="AB107" i="3"/>
  <c r="V107" i="3"/>
  <c r="Y107" i="3" s="1"/>
  <c r="Z107" i="3" s="1"/>
  <c r="AA107" i="3" s="1"/>
  <c r="AB106" i="3"/>
  <c r="V106" i="3"/>
  <c r="Y106" i="3" s="1"/>
  <c r="Z106" i="3" s="1"/>
  <c r="AA106" i="3" s="1"/>
  <c r="AB104" i="3"/>
  <c r="V104" i="3"/>
  <c r="Y104" i="3" s="1"/>
  <c r="Z104" i="3" s="1"/>
  <c r="AA104" i="3" s="1"/>
  <c r="AB103" i="3"/>
  <c r="V103" i="3"/>
  <c r="Y103" i="3" s="1"/>
  <c r="Z103" i="3" s="1"/>
  <c r="AA103" i="3" s="1"/>
  <c r="AB102" i="3"/>
  <c r="V102" i="3"/>
  <c r="Y102" i="3" s="1"/>
  <c r="Z102" i="3" s="1"/>
  <c r="AA102" i="3" s="1"/>
  <c r="AB101" i="3"/>
  <c r="V101" i="3"/>
  <c r="Y101" i="3" s="1"/>
  <c r="Z101" i="3" s="1"/>
  <c r="AA101" i="3" s="1"/>
  <c r="AB100" i="3"/>
  <c r="V100" i="3"/>
  <c r="Y100" i="3" s="1"/>
  <c r="Z100" i="3" s="1"/>
  <c r="AA100" i="3" s="1"/>
  <c r="AB99" i="3"/>
  <c r="V99" i="3"/>
  <c r="Y99" i="3" s="1"/>
  <c r="Z99" i="3" s="1"/>
  <c r="AA99" i="3" s="1"/>
  <c r="V98" i="3"/>
  <c r="Y98" i="3" s="1"/>
  <c r="Z98" i="3" s="1"/>
  <c r="AA98" i="3" s="1"/>
  <c r="AB98" i="3"/>
  <c r="AB97" i="3"/>
  <c r="V97" i="3"/>
  <c r="Y97" i="3" s="1"/>
  <c r="Z97" i="3" s="1"/>
  <c r="AA97" i="3" s="1"/>
  <c r="V96" i="3"/>
  <c r="Y96" i="3" s="1"/>
  <c r="Z96" i="3" s="1"/>
  <c r="AA96" i="3" s="1"/>
  <c r="AB96" i="3"/>
  <c r="V95" i="3"/>
  <c r="Y95" i="3" s="1"/>
  <c r="Z95" i="3" s="1"/>
  <c r="AA95" i="3" s="1"/>
  <c r="AB95" i="3"/>
  <c r="V94" i="3"/>
  <c r="Y94" i="3" s="1"/>
  <c r="Z94" i="3" s="1"/>
  <c r="AA94" i="3" s="1"/>
  <c r="AB94" i="3"/>
  <c r="V93" i="3"/>
  <c r="Y93" i="3" s="1"/>
  <c r="Z93" i="3" s="1"/>
  <c r="AA93" i="3" s="1"/>
  <c r="AB93" i="3"/>
  <c r="AB92" i="3"/>
  <c r="V92" i="3"/>
  <c r="Y92" i="3" s="1"/>
  <c r="Z92" i="3" s="1"/>
  <c r="AA92" i="3" s="1"/>
  <c r="AB91" i="3"/>
  <c r="V91" i="3"/>
  <c r="Y91" i="3" s="1"/>
  <c r="Z91" i="3" s="1"/>
  <c r="AA91" i="3" s="1"/>
  <c r="AB90" i="3"/>
  <c r="V90" i="3"/>
  <c r="Y90" i="3" s="1"/>
  <c r="Z90" i="3" s="1"/>
  <c r="AA90" i="3" s="1"/>
  <c r="V89" i="3"/>
  <c r="Y89" i="3" s="1"/>
  <c r="Z89" i="3" s="1"/>
  <c r="AA89" i="3" s="1"/>
  <c r="AB89" i="3"/>
  <c r="AB88" i="3"/>
  <c r="V88" i="3"/>
  <c r="Y88" i="3" s="1"/>
  <c r="Z88" i="3" s="1"/>
  <c r="AA88" i="3" s="1"/>
  <c r="AB87" i="3"/>
  <c r="V87" i="3"/>
  <c r="Y87" i="3" s="1"/>
  <c r="Z87" i="3" s="1"/>
  <c r="AA87" i="3" s="1"/>
  <c r="V86" i="3"/>
  <c r="Y86" i="3" s="1"/>
  <c r="Z86" i="3" s="1"/>
  <c r="AA86" i="3" s="1"/>
  <c r="AB86" i="3"/>
  <c r="V85" i="3"/>
  <c r="Y85" i="3" s="1"/>
  <c r="Z85" i="3" s="1"/>
  <c r="AA85" i="3" s="1"/>
  <c r="AB85" i="3"/>
  <c r="AB84" i="3"/>
  <c r="V84" i="3"/>
  <c r="Y84" i="3" s="1"/>
  <c r="Z84" i="3" s="1"/>
  <c r="AA84" i="3" s="1"/>
  <c r="AB83" i="3"/>
  <c r="V83" i="3"/>
  <c r="Y83" i="3" s="1"/>
  <c r="Z83" i="3" s="1"/>
  <c r="AA83" i="3" s="1"/>
  <c r="V82" i="3"/>
  <c r="Y82" i="3" s="1"/>
  <c r="Z82" i="3" s="1"/>
  <c r="AA82" i="3" s="1"/>
  <c r="AB82" i="3"/>
  <c r="V81" i="3"/>
  <c r="Y81" i="3" s="1"/>
  <c r="AB81" i="3"/>
  <c r="Z81" i="3"/>
  <c r="AA81" i="3" s="1"/>
  <c r="V80" i="3"/>
  <c r="Y80" i="3" s="1"/>
  <c r="Z80" i="3" s="1"/>
  <c r="AA80" i="3" s="1"/>
  <c r="AB80" i="3"/>
  <c r="V79" i="3"/>
  <c r="Y79" i="3" s="1"/>
  <c r="Z79" i="3" s="1"/>
  <c r="AA79" i="3" s="1"/>
  <c r="AB79" i="3"/>
  <c r="V78" i="3"/>
  <c r="Y78" i="3" s="1"/>
  <c r="Z78" i="3" s="1"/>
  <c r="AA78" i="3" s="1"/>
  <c r="AB78" i="3"/>
  <c r="V77" i="3"/>
  <c r="Y77" i="3" s="1"/>
  <c r="Z77" i="3" s="1"/>
  <c r="AA77" i="3" s="1"/>
  <c r="AB77" i="3"/>
  <c r="V76" i="3"/>
  <c r="Y76" i="3" s="1"/>
  <c r="Z76" i="3" s="1"/>
  <c r="AA76" i="3" s="1"/>
  <c r="AB76" i="3"/>
  <c r="AB75" i="3"/>
  <c r="V75" i="3"/>
  <c r="Y75" i="3" s="1"/>
  <c r="Z75" i="3" s="1"/>
  <c r="AA75" i="3" s="1"/>
  <c r="V74" i="3"/>
  <c r="Y74" i="3" s="1"/>
  <c r="Z74" i="3" s="1"/>
  <c r="AA74" i="3" s="1"/>
  <c r="AB74" i="3"/>
  <c r="AB73" i="3"/>
  <c r="V73" i="3"/>
  <c r="Y73" i="3" s="1"/>
  <c r="Z73" i="3" s="1"/>
  <c r="AA73" i="3" s="1"/>
  <c r="AB72" i="3"/>
  <c r="V72" i="3"/>
  <c r="Y72" i="3" s="1"/>
  <c r="Z72" i="3" s="1"/>
  <c r="AA72" i="3" s="1"/>
  <c r="V71" i="3"/>
  <c r="Y71" i="3" s="1"/>
  <c r="Z71" i="3" s="1"/>
  <c r="AA71" i="3" s="1"/>
  <c r="AB71" i="3"/>
  <c r="AB70" i="3"/>
  <c r="V70" i="3"/>
  <c r="Y70" i="3" s="1"/>
  <c r="Z70" i="3" s="1"/>
  <c r="AA70" i="3" s="1"/>
  <c r="AB69" i="3"/>
  <c r="V69" i="3"/>
  <c r="Y69" i="3" s="1"/>
  <c r="Z69" i="3" s="1"/>
  <c r="AA69" i="3" s="1"/>
  <c r="V68" i="3"/>
  <c r="Y68" i="3" s="1"/>
  <c r="Z68" i="3" s="1"/>
  <c r="AA68" i="3" s="1"/>
  <c r="AB68" i="3"/>
  <c r="V67" i="3"/>
  <c r="Y67" i="3" s="1"/>
  <c r="AB67" i="3"/>
  <c r="Z67" i="3"/>
  <c r="AA67" i="3" s="1"/>
  <c r="AB66" i="3"/>
  <c r="V66" i="3"/>
  <c r="Y66" i="3" s="1"/>
  <c r="Z66" i="3" s="1"/>
  <c r="AA66" i="3" s="1"/>
  <c r="AB65" i="3"/>
  <c r="V65" i="3"/>
  <c r="Y65" i="3" s="1"/>
  <c r="Z65" i="3" s="1"/>
  <c r="AA65" i="3" s="1"/>
  <c r="AB64" i="3"/>
  <c r="AA64" i="3"/>
  <c r="AB63" i="3"/>
  <c r="V63" i="3"/>
  <c r="Y63" i="3" s="1"/>
  <c r="Z63" i="3" s="1"/>
  <c r="AA63" i="3" s="1"/>
  <c r="AB62" i="3"/>
  <c r="V62" i="3"/>
  <c r="Y62" i="3" s="1"/>
  <c r="Z62" i="3" s="1"/>
  <c r="AA62" i="3" s="1"/>
  <c r="AB61" i="3"/>
  <c r="V61" i="3"/>
  <c r="Y61" i="3" s="1"/>
  <c r="Z61" i="3" s="1"/>
  <c r="AA61" i="3" s="1"/>
  <c r="V60" i="3"/>
  <c r="Y60" i="3" s="1"/>
  <c r="Z60" i="3" s="1"/>
  <c r="AA60" i="3" s="1"/>
  <c r="AB60" i="3"/>
  <c r="AB59" i="3"/>
  <c r="V59" i="3"/>
  <c r="Y59" i="3" s="1"/>
  <c r="Z59" i="3" s="1"/>
  <c r="AA59" i="3" s="1"/>
  <c r="V58" i="3"/>
  <c r="Y58" i="3" s="1"/>
  <c r="Z58" i="3" s="1"/>
  <c r="AA58" i="3" s="1"/>
  <c r="AB58" i="3"/>
  <c r="V57" i="3"/>
  <c r="Y57" i="3" s="1"/>
  <c r="Z57" i="3" s="1"/>
  <c r="AA57" i="3" s="1"/>
  <c r="AB57" i="3"/>
  <c r="AB56" i="3"/>
  <c r="V56" i="3"/>
  <c r="Y56" i="3" s="1"/>
  <c r="Z56" i="3" s="1"/>
  <c r="AA56" i="3" s="1"/>
  <c r="V55" i="3"/>
  <c r="Y55" i="3" s="1"/>
  <c r="Z55" i="3" s="1"/>
  <c r="AA55" i="3" s="1"/>
  <c r="AB55" i="3"/>
  <c r="V54" i="3"/>
  <c r="Y54" i="3" s="1"/>
  <c r="Z54" i="3" s="1"/>
  <c r="AA54" i="3" s="1"/>
  <c r="AB54" i="3"/>
  <c r="V53" i="3"/>
  <c r="Y53" i="3" s="1"/>
  <c r="Z53" i="3" s="1"/>
  <c r="AA53" i="3" s="1"/>
  <c r="AB52" i="3"/>
  <c r="V52" i="3"/>
  <c r="Y52" i="3" s="1"/>
  <c r="Z52" i="3" s="1"/>
  <c r="AA52" i="3" s="1"/>
  <c r="AB51" i="3"/>
  <c r="V51" i="3"/>
  <c r="Y51" i="3" s="1"/>
  <c r="Z51" i="3" s="1"/>
  <c r="AA51" i="3" s="1"/>
  <c r="V50" i="3"/>
  <c r="Y50" i="3" s="1"/>
  <c r="Z50" i="3" s="1"/>
  <c r="AA50" i="3" s="1"/>
  <c r="AB50" i="3"/>
  <c r="AB49" i="3"/>
  <c r="V49" i="3"/>
  <c r="Y49" i="3" s="1"/>
  <c r="Z49" i="3" s="1"/>
  <c r="AA49" i="3" s="1"/>
  <c r="AB48" i="3"/>
  <c r="V48" i="3"/>
  <c r="Y48" i="3" s="1"/>
  <c r="Z48" i="3"/>
  <c r="AA48" i="3" s="1"/>
  <c r="V47" i="3"/>
  <c r="Y47" i="3" s="1"/>
  <c r="Z47" i="3" s="1"/>
  <c r="AA47" i="3" s="1"/>
  <c r="AB47" i="3"/>
  <c r="V46" i="3"/>
  <c r="Y46" i="3" s="1"/>
  <c r="Z46" i="3"/>
  <c r="AA46" i="3"/>
  <c r="AB46" i="3"/>
  <c r="V45" i="3"/>
  <c r="Y45" i="3" s="1"/>
  <c r="Z45" i="3"/>
  <c r="AA45" i="3"/>
  <c r="AB45" i="3"/>
  <c r="V44" i="3"/>
  <c r="Y44" i="3" s="1"/>
  <c r="Z44" i="3"/>
  <c r="AA44" i="3"/>
  <c r="AB44" i="3"/>
  <c r="AB43" i="3"/>
  <c r="AA43" i="3"/>
  <c r="AB42" i="3"/>
  <c r="V42" i="3"/>
  <c r="Y42" i="3" s="1"/>
  <c r="Z42" i="3"/>
  <c r="AA42" i="3"/>
  <c r="AB41" i="3"/>
  <c r="V41" i="3"/>
  <c r="Y41" i="3" s="1"/>
  <c r="Z41" i="3" s="1"/>
  <c r="AA41" i="3" s="1"/>
  <c r="AB40" i="3"/>
  <c r="V40" i="3"/>
  <c r="Y40" i="3" s="1"/>
  <c r="Z40" i="3" s="1"/>
  <c r="AA40" i="3" s="1"/>
  <c r="V39" i="3"/>
  <c r="Y39" i="3" s="1"/>
  <c r="Z39" i="3"/>
  <c r="AA39" i="3"/>
  <c r="AB39" i="3"/>
  <c r="V38" i="3"/>
  <c r="Y38" i="3" s="1"/>
  <c r="Z38" i="3"/>
  <c r="AA38" i="3"/>
  <c r="AB38" i="3"/>
  <c r="V37" i="3"/>
  <c r="Y37" i="3" s="1"/>
  <c r="Z37" i="3"/>
  <c r="AA37" i="3"/>
  <c r="AB37" i="3"/>
  <c r="AB36" i="3"/>
  <c r="V36" i="3"/>
  <c r="Y36" i="3" s="1"/>
  <c r="Z36" i="3"/>
  <c r="AA36" i="3" s="1"/>
  <c r="V35" i="3"/>
  <c r="Y35" i="3" s="1"/>
  <c r="Z35" i="3" s="1"/>
  <c r="AA35" i="3" s="1"/>
  <c r="AB35" i="3"/>
  <c r="AB34" i="3"/>
  <c r="V34" i="3"/>
  <c r="Y34" i="3" s="1"/>
  <c r="Z34" i="3" s="1"/>
  <c r="AA34" i="3" s="1"/>
  <c r="AB33" i="3"/>
  <c r="V33" i="3"/>
  <c r="Y33" i="3" s="1"/>
  <c r="Z33" i="3" s="1"/>
  <c r="AA33" i="3" s="1"/>
  <c r="AB32" i="3"/>
  <c r="V32" i="3"/>
  <c r="Y32" i="3" s="1"/>
  <c r="Z32" i="3" s="1"/>
  <c r="AA32" i="3" s="1"/>
  <c r="V31" i="3"/>
  <c r="Y31" i="3" s="1"/>
  <c r="Z31" i="3" s="1"/>
  <c r="AA31" i="3" s="1"/>
  <c r="AB31" i="3"/>
  <c r="AB30" i="3"/>
  <c r="V30" i="3"/>
  <c r="Y30" i="3" s="1"/>
  <c r="Z30" i="3" s="1"/>
  <c r="AA30" i="3" s="1"/>
  <c r="V29" i="3"/>
  <c r="Y29" i="3" s="1"/>
  <c r="Z29" i="3" s="1"/>
  <c r="AA29" i="3" s="1"/>
  <c r="AB29" i="3"/>
  <c r="V28" i="3"/>
  <c r="Y28" i="3" s="1"/>
  <c r="Z28" i="3"/>
  <c r="AA28" i="3" s="1"/>
  <c r="AB28" i="3"/>
  <c r="AB27" i="3"/>
  <c r="V27" i="3"/>
  <c r="Y27" i="3" s="1"/>
  <c r="Z27" i="3" s="1"/>
  <c r="AA27" i="3" s="1"/>
  <c r="V26" i="3"/>
  <c r="Y26" i="3" s="1"/>
  <c r="Z26" i="3" s="1"/>
  <c r="AA26" i="3" s="1"/>
  <c r="AB26" i="3"/>
  <c r="AB25" i="3"/>
  <c r="V25" i="3"/>
  <c r="Y25" i="3" s="1"/>
  <c r="Z25" i="3" s="1"/>
  <c r="AA25" i="3" s="1"/>
  <c r="V24" i="3"/>
  <c r="Y24" i="3" s="1"/>
  <c r="AB24" i="3"/>
  <c r="Z24" i="3"/>
  <c r="AA24" i="3" s="1"/>
  <c r="AB23" i="3"/>
  <c r="V23" i="3"/>
  <c r="Y23" i="3" s="1"/>
  <c r="Z23" i="3"/>
  <c r="AA23" i="3"/>
  <c r="AB22" i="3"/>
  <c r="V22" i="3"/>
  <c r="Y22" i="3" s="1"/>
  <c r="Z22" i="3" s="1"/>
  <c r="AA22" i="3" s="1"/>
  <c r="AB21" i="3"/>
  <c r="V21" i="3"/>
  <c r="Y21" i="3" s="1"/>
  <c r="Z21" i="3" s="1"/>
  <c r="AA21" i="3" s="1"/>
  <c r="V20" i="3"/>
  <c r="Y20" i="3" s="1"/>
  <c r="AB20" i="3"/>
  <c r="Z20" i="3"/>
  <c r="AA20" i="3"/>
  <c r="V19" i="3"/>
  <c r="Y19" i="3" s="1"/>
  <c r="AB19" i="3"/>
  <c r="Z19" i="3"/>
  <c r="AA19" i="3" s="1"/>
  <c r="AB18" i="3"/>
  <c r="V18" i="3"/>
  <c r="Y18" i="3" s="1"/>
  <c r="Z18" i="3" s="1"/>
  <c r="AA18" i="3" s="1"/>
  <c r="V17" i="3"/>
  <c r="Y17" i="3" s="1"/>
  <c r="Z17" i="3" s="1"/>
  <c r="AA17" i="3" s="1"/>
  <c r="AB17" i="3"/>
  <c r="AB16" i="3"/>
  <c r="V16" i="3"/>
  <c r="Y16" i="3" s="1"/>
  <c r="Z16" i="3" s="1"/>
  <c r="AA16" i="3" s="1"/>
  <c r="V15" i="3"/>
  <c r="Y15" i="3" s="1"/>
  <c r="AB15" i="3"/>
  <c r="Z15" i="3"/>
  <c r="AA15" i="3" s="1"/>
  <c r="V14" i="3"/>
  <c r="Y14" i="3" s="1"/>
  <c r="Z14" i="3"/>
  <c r="AB14" i="3"/>
  <c r="AA14" i="3"/>
  <c r="V13" i="3"/>
  <c r="Y13" i="3" s="1"/>
  <c r="Z13" i="3"/>
  <c r="AB13" i="3"/>
  <c r="AA13" i="3"/>
  <c r="V12" i="3"/>
  <c r="Y12" i="3" s="1"/>
  <c r="Z12" i="3"/>
  <c r="AA12" i="3" s="1"/>
  <c r="AB12" i="3"/>
  <c r="V11" i="3"/>
  <c r="Y11" i="3" s="1"/>
  <c r="Z11" i="3" s="1"/>
  <c r="AA11" i="3" s="1"/>
  <c r="AB11" i="3"/>
  <c r="AB10" i="3"/>
  <c r="V10" i="3"/>
  <c r="Y10" i="3" s="1"/>
  <c r="Z10" i="3"/>
  <c r="AA10" i="3" s="1"/>
  <c r="V9" i="3"/>
  <c r="Y9" i="3" s="1"/>
  <c r="Z9" i="3"/>
  <c r="AA9" i="3" s="1"/>
  <c r="AB9" i="3"/>
  <c r="AB8" i="3"/>
  <c r="V8" i="3"/>
  <c r="Y8" i="3" s="1"/>
  <c r="Z8" i="3" s="1"/>
  <c r="AA8" i="3" s="1"/>
  <c r="AB7" i="3"/>
  <c r="V7" i="3"/>
  <c r="Y7" i="3" s="1"/>
  <c r="Z7" i="3" s="1"/>
  <c r="AA7" i="3" s="1"/>
  <c r="V6" i="3"/>
  <c r="Y6" i="3" s="1"/>
  <c r="AB6" i="3"/>
  <c r="Z6" i="3"/>
  <c r="AA6" i="3" s="1"/>
  <c r="AB5" i="3"/>
  <c r="V5" i="3"/>
  <c r="Y5" i="3" s="1"/>
  <c r="Z5" i="3"/>
  <c r="AA5" i="3" s="1"/>
  <c r="AB4" i="3"/>
  <c r="V4" i="3"/>
  <c r="Y4" i="3" s="1"/>
  <c r="Z4" i="3" s="1"/>
  <c r="AA4" i="3" s="1"/>
  <c r="V3" i="3"/>
  <c r="Y3" i="3" s="1"/>
  <c r="AB3" i="3"/>
  <c r="Z3" i="3"/>
  <c r="AA3" i="3"/>
  <c r="AB2" i="3"/>
  <c r="V2" i="3"/>
  <c r="Y2" i="3" s="1"/>
  <c r="Z2" i="3"/>
  <c r="AA2" i="3" s="1"/>
  <c r="Y364" i="3"/>
  <c r="Z364" i="3" s="1"/>
  <c r="AA364" i="3" s="1"/>
  <c r="C16" i="6" l="1"/>
  <c r="C17" i="6" s="1"/>
  <c r="C14" i="6"/>
  <c r="C19" i="6" s="1"/>
  <c r="H8" i="5"/>
  <c r="H13" i="5"/>
  <c r="C11" i="8" s="1"/>
  <c r="F6" i="8"/>
  <c r="F21" i="6"/>
  <c r="F18" i="6"/>
  <c r="E18" i="6"/>
  <c r="E21" i="6"/>
  <c r="D18" i="6"/>
  <c r="D21" i="6"/>
  <c r="C26" i="5"/>
  <c r="C20" i="8"/>
  <c r="C21" i="8" l="1"/>
  <c r="D6" i="8"/>
  <c r="C28" i="5"/>
  <c r="C27" i="5"/>
  <c r="C18" i="6"/>
  <c r="C21" i="6"/>
  <c r="H7" i="5" l="1"/>
  <c r="H11" i="5" s="1"/>
  <c r="C14" i="8"/>
  <c r="H12" i="5" l="1"/>
  <c r="C10" i="8" s="1"/>
  <c r="H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0" authorId="0" shapeId="0" xr:uid="{00000000-0006-0000-0400-000001000000}">
      <text>
        <r>
          <rPr>
            <sz val="10"/>
            <rFont val="Arial"/>
            <family val="2"/>
          </rPr>
          <t xml:space="preserve">Analyze dropshipping profitability using generated business data, product performance tracking, scenario analysis, and KPI dashboards to support data-driven business decisions.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CE3D7-2C31-4C46-AD3F-ACBBB54D82F5}" keepAlive="1" name="Query - sales_data_cleaned" description="Connection to the 'sales_data_cleaned' query in the workbook." type="5" refreshedVersion="8" background="1" saveData="1">
    <dbPr connection="Provider=Microsoft.Mashup.OleDb.1;Data Source=$Workbook$;Location=sales_data_cleaned;Extended Properties=&quot;&quot;" command="SELECT * FROM [sales_data_cleaned]"/>
  </connection>
</connections>
</file>

<file path=xl/sharedStrings.xml><?xml version="1.0" encoding="utf-8"?>
<sst xmlns="http://schemas.openxmlformats.org/spreadsheetml/2006/main" count="7701" uniqueCount="687">
  <si>
    <t>Ad Spend ($)</t>
  </si>
  <si>
    <t>Contribution Margin ($)</t>
  </si>
  <si>
    <t>Dropshipping Profit Optimization &amp; Analytics System</t>
  </si>
  <si>
    <t>Project Objective</t>
  </si>
  <si>
    <t>Analyze dropshipping profitability using generated business data, product performance tracking, scenario analysis, and KPI dashboards to support data-driven business decisions.</t>
  </si>
  <si>
    <t>How to use</t>
  </si>
  <si>
    <t>1</t>
  </si>
  <si>
    <t>Review Raw_Data for transaction-level records.</t>
  </si>
  <si>
    <t>2</t>
  </si>
  <si>
    <t>Explore Product Master for product information.</t>
  </si>
  <si>
    <t>3</t>
  </si>
  <si>
    <t>Use Profit Calculator to estimate profitability.</t>
  </si>
  <si>
    <t>4</t>
  </si>
  <si>
    <t>Test business cases in Scenario Analysis.</t>
  </si>
  <si>
    <t>5</t>
  </si>
  <si>
    <t>Review KPIs in Executive Dashboard.</t>
  </si>
  <si>
    <t>Tools &amp; Techniques Used</t>
  </si>
  <si>
    <t>Dataset Summary</t>
  </si>
  <si>
    <t>Excel Advanced Functions</t>
  </si>
  <si>
    <t>500 Generated Transactions</t>
  </si>
  <si>
    <t>Power Query (ETL)</t>
  </si>
  <si>
    <t>Multiple Product Categories</t>
  </si>
  <si>
    <t>Business Intelligence</t>
  </si>
  <si>
    <t>Marketing Channel Analysis</t>
  </si>
  <si>
    <t>KPI Dashboarding</t>
  </si>
  <si>
    <t>Revenue &amp; Profit Tracking</t>
  </si>
  <si>
    <t>Scenario Analysis</t>
  </si>
  <si>
    <t>Data Generation</t>
  </si>
  <si>
    <t>Order ID</t>
  </si>
  <si>
    <t>Order Date</t>
  </si>
  <si>
    <t>Year</t>
  </si>
  <si>
    <t>Month</t>
  </si>
  <si>
    <t>Country</t>
  </si>
  <si>
    <t>City</t>
  </si>
  <si>
    <t>Channel</t>
  </si>
  <si>
    <t>Campaign</t>
  </si>
  <si>
    <t>Product ID</t>
  </si>
  <si>
    <t>Product</t>
  </si>
  <si>
    <t>Category</t>
  </si>
  <si>
    <t>Supplier</t>
  </si>
  <si>
    <t>Sell Price</t>
  </si>
  <si>
    <t>Buy Cost</t>
  </si>
  <si>
    <t>Shipping Cost</t>
  </si>
  <si>
    <t>Fee %</t>
  </si>
  <si>
    <t>Ad Cost</t>
  </si>
  <si>
    <t>Units</t>
  </si>
  <si>
    <t>Revenue</t>
  </si>
  <si>
    <t>Product Cost</t>
  </si>
  <si>
    <t>Shipping Total</t>
  </si>
  <si>
    <t>Fees Cost</t>
  </si>
  <si>
    <t>Refund Flag</t>
  </si>
  <si>
    <t>Refund Cost</t>
  </si>
  <si>
    <t>Total Cost</t>
  </si>
  <si>
    <t>Net Profit</t>
  </si>
  <si>
    <t>Margin %</t>
  </si>
  <si>
    <t>ROAS</t>
  </si>
  <si>
    <t>Order Status</t>
  </si>
  <si>
    <t>ORD-00067</t>
  </si>
  <si>
    <t>Saudi Arabia</t>
  </si>
  <si>
    <t>Riyadh</t>
  </si>
  <si>
    <t>Influencer</t>
  </si>
  <si>
    <t>New Creative A/B</t>
  </si>
  <si>
    <t>P010</t>
  </si>
  <si>
    <t>Smart Water Bottle</t>
  </si>
  <si>
    <t>Lifestyle</t>
  </si>
  <si>
    <t>Shenzhen Smart Home</t>
  </si>
  <si>
    <t>No</t>
  </si>
  <si>
    <t>Delivered</t>
  </si>
  <si>
    <t>ORD-00475</t>
  </si>
  <si>
    <t>Oman</t>
  </si>
  <si>
    <t>Muscat</t>
  </si>
  <si>
    <t>Organic Search</t>
  </si>
  <si>
    <t>P009</t>
  </si>
  <si>
    <t>Car Vacuum Cleaner</t>
  </si>
  <si>
    <t>Automotive</t>
  </si>
  <si>
    <t>Dongguan Auto Tools</t>
  </si>
  <si>
    <t>ORD-00241</t>
  </si>
  <si>
    <t>UAE</t>
  </si>
  <si>
    <t>Dubai</t>
  </si>
  <si>
    <t>Email</t>
  </si>
  <si>
    <t>Retargeting</t>
  </si>
  <si>
    <t>P003</t>
  </si>
  <si>
    <t>LED Strip Lights</t>
  </si>
  <si>
    <t>Home Decor</t>
  </si>
  <si>
    <t>Yiwu Lighting Factory</t>
  </si>
  <si>
    <t>ORD-00459</t>
  </si>
  <si>
    <t>Summer Sale</t>
  </si>
  <si>
    <t>P005</t>
  </si>
  <si>
    <t>Mini Printer</t>
  </si>
  <si>
    <t>Electronics</t>
  </si>
  <si>
    <t>Shenzhen Print Tech</t>
  </si>
  <si>
    <t>ORD-00054</t>
  </si>
  <si>
    <t>Jeddah</t>
  </si>
  <si>
    <t>Google Ads</t>
  </si>
  <si>
    <t>ORD-00386</t>
  </si>
  <si>
    <t>Qatar</t>
  </si>
  <si>
    <t>Doha</t>
  </si>
  <si>
    <t>P006</t>
  </si>
  <si>
    <t>Posture Corrector</t>
  </si>
  <si>
    <t>Fitness</t>
  </si>
  <si>
    <t>Hangzhou Health Gear</t>
  </si>
  <si>
    <t>ORD-00040</t>
  </si>
  <si>
    <t>Abu Dhabi</t>
  </si>
  <si>
    <t>ORD-00203</t>
  </si>
  <si>
    <t>Sharjah</t>
  </si>
  <si>
    <t>TikTok Ads</t>
  </si>
  <si>
    <t>ORD-00038</t>
  </si>
  <si>
    <t>P007</t>
  </si>
  <si>
    <t>Pet Grooming Glove</t>
  </si>
  <si>
    <t>Pets</t>
  </si>
  <si>
    <t>Yiwu Pet Products</t>
  </si>
  <si>
    <t>ORD-00401</t>
  </si>
  <si>
    <t>Launch Test</t>
  </si>
  <si>
    <t>P008</t>
  </si>
  <si>
    <t>Portable Blender</t>
  </si>
  <si>
    <t>Kitchen</t>
  </si>
  <si>
    <t>Foshan Appliances</t>
  </si>
  <si>
    <t>ORD-00451</t>
  </si>
  <si>
    <t>ORD-00309</t>
  </si>
  <si>
    <t>ORD-00109</t>
  </si>
  <si>
    <t>ORD-00145</t>
  </si>
  <si>
    <t>ORD-00189</t>
  </si>
  <si>
    <t>Kuwait</t>
  </si>
  <si>
    <t>Kuwait City</t>
  </si>
  <si>
    <t>ORD-00256</t>
  </si>
  <si>
    <t>ORD-00088</t>
  </si>
  <si>
    <t>Meta Ads</t>
  </si>
  <si>
    <t>Bundle Promo</t>
  </si>
  <si>
    <t>ORD-00085</t>
  </si>
  <si>
    <t>ORD-00432</t>
  </si>
  <si>
    <t>ORD-00165</t>
  </si>
  <si>
    <t>ORD-00399</t>
  </si>
  <si>
    <t>ORD-00332</t>
  </si>
  <si>
    <t>P002</t>
  </si>
  <si>
    <t>Phone Case</t>
  </si>
  <si>
    <t>Accessories</t>
  </si>
  <si>
    <t>Guangzhou Cases Ltd.</t>
  </si>
  <si>
    <t>ORD-00187</t>
  </si>
  <si>
    <t>P001</t>
  </si>
  <si>
    <t>Wireless Earbuds</t>
  </si>
  <si>
    <t>Shenzhen Audio Co.</t>
  </si>
  <si>
    <t>ORD-00078</t>
  </si>
  <si>
    <t>ORD-00186</t>
  </si>
  <si>
    <t>ORD-00363</t>
  </si>
  <si>
    <t>ORD-00221</t>
  </si>
  <si>
    <t>ORD-00058</t>
  </si>
  <si>
    <t>ORD-00042</t>
  </si>
  <si>
    <t>P004</t>
  </si>
  <si>
    <t>Beauty Tool</t>
  </si>
  <si>
    <t>Beauty</t>
  </si>
  <si>
    <t>Ningbo Beauty Supply</t>
  </si>
  <si>
    <t>ORD-00317</t>
  </si>
  <si>
    <t>ORD-00396</t>
  </si>
  <si>
    <t>ORD-00233</t>
  </si>
  <si>
    <t>Yes</t>
  </si>
  <si>
    <t>Refunded</t>
  </si>
  <si>
    <t>ORD-00022</t>
  </si>
  <si>
    <t>ORD-00050</t>
  </si>
  <si>
    <t>ORD-00440</t>
  </si>
  <si>
    <t>ORD-00296</t>
  </si>
  <si>
    <t>ORD-00469</t>
  </si>
  <si>
    <t>ORD-00238</t>
  </si>
  <si>
    <t>ORD-00285</t>
  </si>
  <si>
    <t>ORD-00035</t>
  </si>
  <si>
    <t>ORD-00177</t>
  </si>
  <si>
    <t>ORD-00204</t>
  </si>
  <si>
    <t>Cancelled</t>
  </si>
  <si>
    <t>ORD-00134</t>
  </si>
  <si>
    <t>ORD-00366</t>
  </si>
  <si>
    <t>ORD-00272</t>
  </si>
  <si>
    <t>ORD-00294</t>
  </si>
  <si>
    <t>ORD-00381</t>
  </si>
  <si>
    <t>ORD-00251</t>
  </si>
  <si>
    <t>ORD-00458</t>
  </si>
  <si>
    <t>ORD-00274</t>
  </si>
  <si>
    <t>ORD-00017</t>
  </si>
  <si>
    <t>ORD-00245</t>
  </si>
  <si>
    <t>ORD-00250</t>
  </si>
  <si>
    <t>ORD-00375</t>
  </si>
  <si>
    <t>ORD-00113</t>
  </si>
  <si>
    <t>ORD-00302</t>
  </si>
  <si>
    <t>ORD-00403</t>
  </si>
  <si>
    <t>ORD-00074</t>
  </si>
  <si>
    <t>ORD-00497</t>
  </si>
  <si>
    <t>ORD-00300</t>
  </si>
  <si>
    <t>ORD-00485</t>
  </si>
  <si>
    <t>ORD-00149</t>
  </si>
  <si>
    <t>ORD-00222</t>
  </si>
  <si>
    <t>ORD-00060</t>
  </si>
  <si>
    <t>ORD-00397</t>
  </si>
  <si>
    <t>ORD-00275</t>
  </si>
  <si>
    <t>ORD-00389</t>
  </si>
  <si>
    <t>ORD-00395</t>
  </si>
  <si>
    <t>ORD-00336</t>
  </si>
  <si>
    <t>ORD-00393</t>
  </si>
  <si>
    <t>ORD-00150</t>
  </si>
  <si>
    <t>ORD-00211</t>
  </si>
  <si>
    <t>ORD-00273</t>
  </si>
  <si>
    <t>ORD-00495</t>
  </si>
  <si>
    <t>ORD-00112</t>
  </si>
  <si>
    <t>ORD-00249</t>
  </si>
  <si>
    <t>ORD-00013</t>
  </si>
  <si>
    <t>ORD-00195</t>
  </si>
  <si>
    <t>ORD-00384</t>
  </si>
  <si>
    <t>ORD-00027</t>
  </si>
  <si>
    <t>ORD-00467</t>
  </si>
  <si>
    <t>ORD-00356</t>
  </si>
  <si>
    <t>ORD-00326</t>
  </si>
  <si>
    <t>ORD-00014</t>
  </si>
  <si>
    <t>ORD-00481</t>
  </si>
  <si>
    <t>ORD-00144</t>
  </si>
  <si>
    <t>ORD-00412</t>
  </si>
  <si>
    <t>ORD-00390</t>
  </si>
  <si>
    <t>ORD-00016</t>
  </si>
  <si>
    <t>ORD-00031</t>
  </si>
  <si>
    <t>ORD-00071</t>
  </si>
  <si>
    <t>ORD-00430</t>
  </si>
  <si>
    <t>ORD-00471</t>
  </si>
  <si>
    <t>ORD-00209</t>
  </si>
  <si>
    <t>ORD-00280</t>
  </si>
  <si>
    <t>ORD-00276</t>
  </si>
  <si>
    <t>ORD-00499</t>
  </si>
  <si>
    <t>ORD-00154</t>
  </si>
  <si>
    <t>ORD-00169</t>
  </si>
  <si>
    <t>ORD-00183</t>
  </si>
  <si>
    <t>ORD-00434</t>
  </si>
  <si>
    <t>ORD-00083</t>
  </si>
  <si>
    <t>ORD-00439</t>
  </si>
  <si>
    <t>ORD-00369</t>
  </si>
  <si>
    <t>ORD-00385</t>
  </si>
  <si>
    <t>ORD-00039</t>
  </si>
  <si>
    <t>ORD-00152</t>
  </si>
  <si>
    <t>ORD-00310</t>
  </si>
  <si>
    <t>ORD-00119</t>
  </si>
  <si>
    <t>ORD-00362</t>
  </si>
  <si>
    <t>ORD-00491</t>
  </si>
  <si>
    <t>ORD-00367</t>
  </si>
  <si>
    <t>ORD-00077</t>
  </si>
  <si>
    <t>ORD-00266</t>
  </si>
  <si>
    <t>ORD-00382</t>
  </si>
  <si>
    <t>ORD-00018</t>
  </si>
  <si>
    <t>ORD-00255</t>
  </si>
  <si>
    <t>ORD-00286</t>
  </si>
  <si>
    <t>ORD-00335</t>
  </si>
  <si>
    <t>ORD-00333</t>
  </si>
  <si>
    <t>ORD-00345</t>
  </si>
  <si>
    <t>ORD-00425</t>
  </si>
  <si>
    <t>ORD-00226</t>
  </si>
  <si>
    <t>ORD-00254</t>
  </si>
  <si>
    <t>ORD-00407</t>
  </si>
  <si>
    <t>ORD-00173</t>
  </si>
  <si>
    <t>ORD-00346</t>
  </si>
  <si>
    <t>ORD-00404</t>
  </si>
  <si>
    <t>ORD-00210</t>
  </si>
  <si>
    <t>ORD-00408</t>
  </si>
  <si>
    <t>ORD-00023</t>
  </si>
  <si>
    <t>ORD-00110</t>
  </si>
  <si>
    <t>ORD-00117</t>
  </si>
  <si>
    <t>ORD-00157</t>
  </si>
  <si>
    <t>ORD-00229</t>
  </si>
  <si>
    <t>ORD-00438</t>
  </si>
  <si>
    <t>ORD-00147</t>
  </si>
  <si>
    <t>ORD-00295</t>
  </si>
  <si>
    <t>ORD-00421</t>
  </si>
  <si>
    <t>ORD-00449</t>
  </si>
  <si>
    <t>ORD-00380</t>
  </si>
  <si>
    <t>ORD-00422</t>
  </si>
  <si>
    <t>ORD-00301</t>
  </si>
  <si>
    <t>ORD-00337</t>
  </si>
  <si>
    <t>ORD-00436</t>
  </si>
  <si>
    <t>ORD-00190</t>
  </si>
  <si>
    <t>ORD-00325</t>
  </si>
  <si>
    <t>ORD-00248</t>
  </si>
  <si>
    <t>ORD-00252</t>
  </si>
  <si>
    <t>ORD-00400</t>
  </si>
  <si>
    <t>ORD-00199</t>
  </si>
  <si>
    <t>ORD-00311</t>
  </si>
  <si>
    <t>ORD-00313</t>
  </si>
  <si>
    <t>ORD-00415</t>
  </si>
  <si>
    <t>ORD-00418</t>
  </si>
  <si>
    <t>ORD-00454</t>
  </si>
  <si>
    <t>ORD-00003</t>
  </si>
  <si>
    <t>ORD-00330</t>
  </si>
  <si>
    <t>ORD-00344</t>
  </si>
  <si>
    <t>ORD-00240</t>
  </si>
  <si>
    <t>ORD-00073</t>
  </si>
  <si>
    <t>ORD-00089</t>
  </si>
  <si>
    <t>ORD-00161</t>
  </si>
  <si>
    <t>ORD-00244</t>
  </si>
  <si>
    <t>ORD-00289</t>
  </si>
  <si>
    <t>ORD-00464</t>
  </si>
  <si>
    <t>ORD-00170</t>
  </si>
  <si>
    <t>ORD-00151</t>
  </si>
  <si>
    <t>ORD-00340</t>
  </si>
  <si>
    <t>ORD-00095</t>
  </si>
  <si>
    <t>ORD-00234</t>
  </si>
  <si>
    <t>ORD-00292</t>
  </si>
  <si>
    <t>ORD-00433</t>
  </si>
  <si>
    <t>ORD-00474</t>
  </si>
  <si>
    <t>ORD-00057</t>
  </si>
  <si>
    <t>ORD-00278</t>
  </si>
  <si>
    <t>ORD-00489</t>
  </si>
  <si>
    <t>ORD-00164</t>
  </si>
  <si>
    <t>ORD-00351</t>
  </si>
  <si>
    <t>ORD-00093</t>
  </si>
  <si>
    <t>ORD-00378</t>
  </si>
  <si>
    <t>ORD-00488</t>
  </si>
  <si>
    <t>ORD-00498</t>
  </si>
  <si>
    <t>ORD-00082</t>
  </si>
  <si>
    <t>ORD-00135</t>
  </si>
  <si>
    <t>ORD-00206</t>
  </si>
  <si>
    <t>ORD-00293</t>
  </si>
  <si>
    <t>ORD-00486</t>
  </si>
  <si>
    <t>ORD-00009</t>
  </si>
  <si>
    <t>ORD-00417</t>
  </si>
  <si>
    <t>ORD-00044</t>
  </si>
  <si>
    <t>ORD-00426</t>
  </si>
  <si>
    <t>ORD-00428</t>
  </si>
  <si>
    <t>ORD-00033</t>
  </si>
  <si>
    <t>ORD-00365</t>
  </si>
  <si>
    <t>ORD-00320</t>
  </si>
  <si>
    <t>ORD-00352</t>
  </si>
  <si>
    <t>ORD-00482</t>
  </si>
  <si>
    <t>ORD-00343</t>
  </si>
  <si>
    <t>ORD-00045</t>
  </si>
  <si>
    <t>ORD-00200</t>
  </si>
  <si>
    <t>ORD-00063</t>
  </si>
  <si>
    <t>ORD-00424</t>
  </si>
  <si>
    <t>ORD-00387</t>
  </si>
  <si>
    <t>ORD-00494</t>
  </si>
  <si>
    <t>ORD-00004</t>
  </si>
  <si>
    <t>ORD-00140</t>
  </si>
  <si>
    <t>ORD-00315</t>
  </si>
  <si>
    <t>ORD-00155</t>
  </si>
  <si>
    <t>ORD-00080</t>
  </si>
  <si>
    <t>ORD-00010</t>
  </si>
  <si>
    <t>ORD-00084</t>
  </si>
  <si>
    <t>ORD-00055</t>
  </si>
  <si>
    <t>ORD-00163</t>
  </si>
  <si>
    <t>ORD-00267</t>
  </si>
  <si>
    <t>ORD-00269</t>
  </si>
  <si>
    <t>ORD-00441</t>
  </si>
  <si>
    <t>ORD-00290</t>
  </si>
  <si>
    <t>ORD-00091</t>
  </si>
  <si>
    <t>ORD-00191</t>
  </si>
  <si>
    <t>ORD-00478</t>
  </si>
  <si>
    <t>ORD-00172</t>
  </si>
  <si>
    <t>ORD-00312</t>
  </si>
  <si>
    <t>ORD-00108</t>
  </si>
  <si>
    <t>ORD-00160</t>
  </si>
  <si>
    <t>ORD-00237</t>
  </si>
  <si>
    <t>ORD-00029</t>
  </si>
  <si>
    <t>ORD-00061</t>
  </si>
  <si>
    <t>ORD-00159</t>
  </si>
  <si>
    <t>ORD-00435</t>
  </si>
  <si>
    <t>ORD-00116</t>
  </si>
  <si>
    <t>ORD-00462</t>
  </si>
  <si>
    <t>ORD-00015</t>
  </si>
  <si>
    <t>ORD-00102</t>
  </si>
  <si>
    <t>ORD-00166</t>
  </si>
  <si>
    <t>ORD-00262</t>
  </si>
  <si>
    <t>ORD-00146</t>
  </si>
  <si>
    <t>ORD-00072</t>
  </si>
  <si>
    <t>ORD-00347</t>
  </si>
  <si>
    <t>ORD-00075</t>
  </si>
  <si>
    <t>ORD-00279</t>
  </si>
  <si>
    <t>ORD-00005</t>
  </si>
  <si>
    <t>ORD-00205</t>
  </si>
  <si>
    <t>ORD-00053</t>
  </si>
  <si>
    <t>ORD-00132</t>
  </si>
  <si>
    <t>ORD-00265</t>
  </si>
  <si>
    <t>ORD-00342</t>
  </si>
  <si>
    <t>ORD-00288</t>
  </si>
  <si>
    <t>ORD-00383</t>
  </si>
  <si>
    <t>ORD-00388</t>
  </si>
  <si>
    <t>ORD-00124</t>
  </si>
  <si>
    <t>ORD-00442</t>
  </si>
  <si>
    <t>ORD-00268</t>
  </si>
  <si>
    <t>ORD-00111</t>
  </si>
  <si>
    <t>ORD-00230</t>
  </si>
  <si>
    <t>ORD-00056</t>
  </si>
  <si>
    <t>ORD-00258</t>
  </si>
  <si>
    <t>ORD-00158</t>
  </si>
  <si>
    <t>ORD-00358</t>
  </si>
  <si>
    <t>ORD-00398</t>
  </si>
  <si>
    <t>ORD-00043</t>
  </si>
  <si>
    <t>ORD-00360</t>
  </si>
  <si>
    <t>ORD-00460</t>
  </si>
  <si>
    <t>ORD-00052</t>
  </si>
  <si>
    <t>ORD-00213</t>
  </si>
  <si>
    <t>ORD-00225</t>
  </si>
  <si>
    <t>ORD-00329</t>
  </si>
  <si>
    <t>ORD-00423</t>
  </si>
  <si>
    <t>ORD-00002</t>
  </si>
  <si>
    <t>ORD-00064</t>
  </si>
  <si>
    <t>ORD-00143</t>
  </si>
  <si>
    <t>ORD-00291</t>
  </si>
  <si>
    <t>ORD-00006</t>
  </si>
  <si>
    <t>ORD-00350</t>
  </si>
  <si>
    <t>ORD-00277</t>
  </si>
  <si>
    <t>ORD-00020</t>
  </si>
  <si>
    <t>ORD-00127</t>
  </si>
  <si>
    <t>ORD-00231</t>
  </si>
  <si>
    <t>ORD-00492</t>
  </si>
  <si>
    <t>ORD-00034</t>
  </si>
  <si>
    <t>ORD-00032</t>
  </si>
  <si>
    <t>ORD-00228</t>
  </si>
  <si>
    <t>ORD-00094</t>
  </si>
  <si>
    <t>ORD-00427</t>
  </si>
  <si>
    <t>ORD-00259</t>
  </si>
  <si>
    <t>ORD-00453</t>
  </si>
  <si>
    <t>ORD-00253</t>
  </si>
  <si>
    <t>ORD-00046</t>
  </si>
  <si>
    <t>ORD-00224</t>
  </si>
  <si>
    <t>ORD-00123</t>
  </si>
  <si>
    <t>ORD-00466</t>
  </si>
  <si>
    <t>ORD-00181</t>
  </si>
  <si>
    <t>ORD-00364</t>
  </si>
  <si>
    <t>ORD-00178</t>
  </si>
  <si>
    <t>ORD-00100</t>
  </si>
  <si>
    <t>ORD-00153</t>
  </si>
  <si>
    <t>ORD-00308</t>
  </si>
  <si>
    <t>ORD-00377</t>
  </si>
  <si>
    <t>ORD-00115</t>
  </si>
  <si>
    <t>ORD-00139</t>
  </si>
  <si>
    <t>ORD-00306</t>
  </si>
  <si>
    <t>ORD-00062</t>
  </si>
  <si>
    <t>ORD-00479</t>
  </si>
  <si>
    <t>ORD-00202</t>
  </si>
  <si>
    <t>ORD-00028</t>
  </si>
  <si>
    <t>ORD-00076</t>
  </si>
  <si>
    <t>ORD-00318</t>
  </si>
  <si>
    <t>ORD-00001</t>
  </si>
  <si>
    <t>ORD-00024</t>
  </si>
  <si>
    <t>ORD-00122</t>
  </si>
  <si>
    <t>ORD-00394</t>
  </si>
  <si>
    <t>ORD-00437</t>
  </si>
  <si>
    <t>ORD-00086</t>
  </si>
  <si>
    <t>ORD-00168</t>
  </si>
  <si>
    <t>ORD-00361</t>
  </si>
  <si>
    <t>ORD-00120</t>
  </si>
  <si>
    <t>ORD-00373</t>
  </si>
  <si>
    <t>ORD-00413</t>
  </si>
  <si>
    <t>ORD-00305</t>
  </si>
  <si>
    <t>ORD-00323</t>
  </si>
  <si>
    <t>ORD-00328</t>
  </si>
  <si>
    <t>ORD-00402</t>
  </si>
  <si>
    <t>ORD-00319</t>
  </si>
  <si>
    <t>ORD-00450</t>
  </si>
  <si>
    <t>ORD-00443</t>
  </si>
  <si>
    <t>ORD-00101</t>
  </si>
  <si>
    <t>ORD-00214</t>
  </si>
  <si>
    <t>ORD-00026</t>
  </si>
  <si>
    <t>ORD-00261</t>
  </si>
  <si>
    <t>ORD-00487</t>
  </si>
  <si>
    <t>ORD-00008</t>
  </si>
  <si>
    <t>ORD-00270</t>
  </si>
  <si>
    <t>ORD-00148</t>
  </si>
  <si>
    <t>ORD-00411</t>
  </si>
  <si>
    <t>ORD-00445</t>
  </si>
  <si>
    <t>ORD-00167</t>
  </si>
  <si>
    <t>ORD-00030</t>
  </si>
  <si>
    <t>ORD-00070</t>
  </si>
  <si>
    <t>ORD-00103</t>
  </si>
  <si>
    <t>ORD-00297</t>
  </si>
  <si>
    <t>ORD-00371</t>
  </si>
  <si>
    <t>ORD-00322</t>
  </si>
  <si>
    <t>ORD-00355</t>
  </si>
  <si>
    <t>ORD-00447</t>
  </si>
  <si>
    <t>ORD-00339</t>
  </si>
  <si>
    <t>ORD-00287</t>
  </si>
  <si>
    <t>ORD-00316</t>
  </si>
  <si>
    <t>ORD-00452</t>
  </si>
  <si>
    <t>ORD-00457</t>
  </si>
  <si>
    <t>ORD-00327</t>
  </si>
  <si>
    <t>ORD-00348</t>
  </si>
  <si>
    <t>ORD-00099</t>
  </si>
  <si>
    <t>ORD-00264</t>
  </si>
  <si>
    <t>ORD-00182</t>
  </si>
  <si>
    <t>ORD-00059</t>
  </si>
  <si>
    <t>ORD-00104</t>
  </si>
  <si>
    <t>ORD-00455</t>
  </si>
  <si>
    <t>ORD-00391</t>
  </si>
  <si>
    <t>ORD-00021</t>
  </si>
  <si>
    <t>ORD-00220</t>
  </si>
  <si>
    <t>ORD-00338</t>
  </si>
  <si>
    <t>ORD-00456</t>
  </si>
  <si>
    <t>ORD-00097</t>
  </si>
  <si>
    <t>ORD-00065</t>
  </si>
  <si>
    <t>ORD-00217</t>
  </si>
  <si>
    <t>ORD-00419</t>
  </si>
  <si>
    <t>ORD-00472</t>
  </si>
  <si>
    <t>ORD-00484</t>
  </si>
  <si>
    <t>ORD-00243</t>
  </si>
  <si>
    <t>ORD-00468</t>
  </si>
  <si>
    <t>ORD-00126</t>
  </si>
  <si>
    <t>ORD-00176</t>
  </si>
  <si>
    <t>ORD-00372</t>
  </si>
  <si>
    <t>ORD-00298</t>
  </si>
  <si>
    <t>ORD-00128</t>
  </si>
  <si>
    <t>ORD-00184</t>
  </si>
  <si>
    <t>ORD-00207</t>
  </si>
  <si>
    <t>ORD-00406</t>
  </si>
  <si>
    <t>ORD-00049</t>
  </si>
  <si>
    <t>ORD-00174</t>
  </si>
  <si>
    <t>ORD-00247</t>
  </si>
  <si>
    <t>ORD-00405</t>
  </si>
  <si>
    <t>ORD-00069</t>
  </si>
  <si>
    <t>ORD-00096</t>
  </si>
  <si>
    <t>ORD-00129</t>
  </si>
  <si>
    <t>ORD-00121</t>
  </si>
  <si>
    <t>ORD-00087</t>
  </si>
  <si>
    <t>ORD-00444</t>
  </si>
  <si>
    <t>ORD-00125</t>
  </si>
  <si>
    <t>ORD-00208</t>
  </si>
  <si>
    <t>ORD-00283</t>
  </si>
  <si>
    <t>ORD-00198</t>
  </si>
  <si>
    <t>ORD-00307</t>
  </si>
  <si>
    <t>ORD-00357</t>
  </si>
  <si>
    <t>ORD-00490</t>
  </si>
  <si>
    <t>ORD-00133</t>
  </si>
  <si>
    <t>ORD-00235</t>
  </si>
  <si>
    <t>ORD-00107</t>
  </si>
  <si>
    <t>ORD-00136</t>
  </si>
  <si>
    <t>ORD-00334</t>
  </si>
  <si>
    <t>ORD-00037</t>
  </si>
  <si>
    <t>ORD-00414</t>
  </si>
  <si>
    <t>ORD-00105</t>
  </si>
  <si>
    <t>ORD-00081</t>
  </si>
  <si>
    <t>ORD-00185</t>
  </si>
  <si>
    <t>ORD-00429</t>
  </si>
  <si>
    <t>ORD-00216</t>
  </si>
  <si>
    <t>ORD-00236</t>
  </si>
  <si>
    <t>ORD-00007</t>
  </si>
  <si>
    <t>ORD-00232</t>
  </si>
  <si>
    <t>ORD-00263</t>
  </si>
  <si>
    <t>ORD-00324</t>
  </si>
  <si>
    <t>ORD-00175</t>
  </si>
  <si>
    <t>ORD-00446</t>
  </si>
  <si>
    <t>ORD-00036</t>
  </si>
  <si>
    <t>ORD-00246</t>
  </si>
  <si>
    <t>ORD-00500</t>
  </si>
  <si>
    <t>ORD-00201</t>
  </si>
  <si>
    <t>ORD-00257</t>
  </si>
  <si>
    <t>ORD-00461</t>
  </si>
  <si>
    <t>ORD-00066</t>
  </si>
  <si>
    <t>ORD-00416</t>
  </si>
  <si>
    <t>ORD-00048</t>
  </si>
  <si>
    <t>ORD-00271</t>
  </si>
  <si>
    <t>ORD-00420</t>
  </si>
  <si>
    <t>ORD-00041</t>
  </si>
  <si>
    <t>ORD-00353</t>
  </si>
  <si>
    <t>ORD-00098</t>
  </si>
  <si>
    <t>ORD-00473</t>
  </si>
  <si>
    <t>ORD-00304</t>
  </si>
  <si>
    <t>ORD-00131</t>
  </si>
  <si>
    <t>ORD-00239</t>
  </si>
  <si>
    <t>ORD-00349</t>
  </si>
  <si>
    <t>ORD-00281</t>
  </si>
  <si>
    <t>ORD-00483</t>
  </si>
  <si>
    <t>ORD-00370</t>
  </si>
  <si>
    <t>ORD-00470</t>
  </si>
  <si>
    <t>ORD-00106</t>
  </si>
  <si>
    <t>ORD-00118</t>
  </si>
  <si>
    <t>ORD-00019</t>
  </si>
  <si>
    <t>ORD-00130</t>
  </si>
  <si>
    <t>ORD-00179</t>
  </si>
  <si>
    <t>ORD-00218</t>
  </si>
  <si>
    <t>ORD-00012</t>
  </si>
  <si>
    <t>ORD-00092</t>
  </si>
  <si>
    <t>ORD-00410</t>
  </si>
  <si>
    <t>ORD-00188</t>
  </si>
  <si>
    <t>ORD-00227</t>
  </si>
  <si>
    <t>ORD-00260</t>
  </si>
  <si>
    <t>ORD-00284</t>
  </si>
  <si>
    <t>ORD-00368</t>
  </si>
  <si>
    <t>ORD-00141</t>
  </si>
  <si>
    <t>ORD-00321</t>
  </si>
  <si>
    <t>ORD-00359</t>
  </si>
  <si>
    <t>ORD-00409</t>
  </si>
  <si>
    <t>ORD-00493</t>
  </si>
  <si>
    <t>ORD-00282</t>
  </si>
  <si>
    <t>ORD-00477</t>
  </si>
  <si>
    <t>ORD-00299</t>
  </si>
  <si>
    <t>ORD-00303</t>
  </si>
  <si>
    <t>ORD-00025</t>
  </si>
  <si>
    <t>ORD-00196</t>
  </si>
  <si>
    <t>ORD-00137</t>
  </si>
  <si>
    <t>ORD-00223</t>
  </si>
  <si>
    <t>ORD-00376</t>
  </si>
  <si>
    <t>ORD-00242</t>
  </si>
  <si>
    <t>ORD-00162</t>
  </si>
  <si>
    <t>ORD-00011</t>
  </si>
  <si>
    <t>ORD-00194</t>
  </si>
  <si>
    <t>ORD-00392</t>
  </si>
  <si>
    <t>ORD-00463</t>
  </si>
  <si>
    <t>ORD-00114</t>
  </si>
  <si>
    <t>ORD-00142</t>
  </si>
  <si>
    <t>ORD-00193</t>
  </si>
  <si>
    <t>ORD-00180</t>
  </si>
  <si>
    <t>ORD-00354</t>
  </si>
  <si>
    <t>ORD-00192</t>
  </si>
  <si>
    <t>ORD-00480</t>
  </si>
  <si>
    <t>ORD-00090</t>
  </si>
  <si>
    <t>ORD-00331</t>
  </si>
  <si>
    <t>ORD-00374</t>
  </si>
  <si>
    <t>ORD-00341</t>
  </si>
  <si>
    <t>ORD-00219</t>
  </si>
  <si>
    <t>ORD-00138</t>
  </si>
  <si>
    <t>ORD-00171</t>
  </si>
  <si>
    <t>ORD-00047</t>
  </si>
  <si>
    <t>ORD-00079</t>
  </si>
  <si>
    <t>ORD-00197</t>
  </si>
  <si>
    <t>ORD-00476</t>
  </si>
  <si>
    <t>ORD-00212</t>
  </si>
  <si>
    <t>ORD-00379</t>
  </si>
  <si>
    <t>ORD-00051</t>
  </si>
  <si>
    <t>ORD-00215</t>
  </si>
  <si>
    <t>ORD-00068</t>
  </si>
  <si>
    <t>ORD-00156</t>
  </si>
  <si>
    <t>ORD-00431</t>
  </si>
  <si>
    <t>ORD-00465</t>
  </si>
  <si>
    <t>ORD-00496</t>
  </si>
  <si>
    <t>ORD-00314</t>
  </si>
  <si>
    <t>ORD-00448</t>
  </si>
  <si>
    <t>Profit per Unit</t>
  </si>
  <si>
    <t>Blue cells = inputs | Black cells = formulas | Designed for beginners and product testing</t>
  </si>
  <si>
    <t>Revenue Inputs</t>
  </si>
  <si>
    <t>Decision Engine</t>
  </si>
  <si>
    <t>Primary price customers pay</t>
  </si>
  <si>
    <t>Profitability Score</t>
  </si>
  <si>
    <t>Expected monthly unit sales</t>
  </si>
  <si>
    <t>ROAS Score</t>
  </si>
  <si>
    <t>Organic Sales %</t>
  </si>
  <si>
    <t>Share of units not from paid ads</t>
  </si>
  <si>
    <t>Margin Score</t>
  </si>
  <si>
    <t>Risk Score</t>
  </si>
  <si>
    <t>Revenue from Paid Ads ($)</t>
  </si>
  <si>
    <t>Winning Score /100</t>
  </si>
  <si>
    <t>Product Verdict</t>
  </si>
  <si>
    <t>Costs &amp; Fees</t>
  </si>
  <si>
    <t>Ad Safety Status</t>
  </si>
  <si>
    <t>Business note</t>
  </si>
  <si>
    <t>Platform / Payment Fee %</t>
  </si>
  <si>
    <t>Break-even ROAS is based on contribution margin before ads, so it is more accurate than total revenue/ad spend.</t>
  </si>
  <si>
    <t>Other Fixed Expenses ($)</t>
  </si>
  <si>
    <t>Total Costs ($)</t>
  </si>
  <si>
    <t>Unit Economics</t>
  </si>
  <si>
    <t>Contribution Margin %</t>
  </si>
  <si>
    <t>Net Profit ($)</t>
  </si>
  <si>
    <t>Net Profit Margin</t>
  </si>
  <si>
    <t>Profit per Unit ($)</t>
  </si>
  <si>
    <t>Marketing KPIs</t>
  </si>
  <si>
    <t>New Customers Acquired</t>
  </si>
  <si>
    <t>Average Order Value / AOV ($)</t>
  </si>
  <si>
    <t>CAC ($)</t>
  </si>
  <si>
    <t>LTV:CAC Ratio</t>
  </si>
  <si>
    <t>Break-even Logic</t>
  </si>
  <si>
    <t>Max Ad Cost per Unit at Break-even ($)</t>
  </si>
  <si>
    <t>Break-even ROAS (Paid Ads Only)</t>
  </si>
  <si>
    <t>Break-even CPA / CAC ($)</t>
  </si>
  <si>
    <t>Break-even Units</t>
  </si>
  <si>
    <t>Break-even Revenue ($)</t>
  </si>
  <si>
    <t>Business Scenario Analysis</t>
  </si>
  <si>
    <t>Metric</t>
  </si>
  <si>
    <t>Base Case</t>
  </si>
  <si>
    <t>Scenario A</t>
  </si>
  <si>
    <t>Scenario B</t>
  </si>
  <si>
    <t>Scenario C</t>
  </si>
  <si>
    <t>Selling Price ($)</t>
  </si>
  <si>
    <t>Product Cost ($)</t>
  </si>
  <si>
    <t>Shipping ($)</t>
  </si>
  <si>
    <t>Units Sold</t>
  </si>
  <si>
    <t>Revenue ($)</t>
  </si>
  <si>
    <t>Paid Ads Revenue ($)</t>
  </si>
  <si>
    <t>Profit Margin</t>
  </si>
  <si>
    <t>Break-even ROAS</t>
  </si>
  <si>
    <t>Decision</t>
  </si>
  <si>
    <t>Dashboard — Live Product Profitability</t>
  </si>
  <si>
    <t>Score</t>
  </si>
  <si>
    <t>Executive Summary</t>
  </si>
  <si>
    <t>Ad Safety</t>
  </si>
  <si>
    <t>Break-even CAC</t>
  </si>
  <si>
    <t>LTV:CAC</t>
  </si>
  <si>
    <t>Value</t>
  </si>
  <si>
    <t>Total Costs</t>
  </si>
  <si>
    <t>Ad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</si>
</sst>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$#,##0.00"/>
    <numFmt numFmtId="166" formatCode="0.0%"/>
    <numFmt numFmtId="167" formatCode="0.0"/>
    <numFmt numFmtId="168" formatCode="\$#,##0;&quot;($&quot;#,##0\);\-"/>
    <numFmt numFmtId="169" formatCode="0.0\x"/>
  </numFmts>
  <fonts count="13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8"/>
      <color rgb="FFFFFFFF"/>
      <name val="Arial"/>
      <charset val="1"/>
    </font>
    <font>
      <b/>
      <sz val="14"/>
      <color rgb="FF0B1F33"/>
      <name val="Arial"/>
      <charset val="1"/>
    </font>
    <font>
      <b/>
      <sz val="11"/>
      <color rgb="FFFFFFFF"/>
      <name val="Calibri"/>
      <charset val="1"/>
    </font>
    <font>
      <i/>
      <sz val="11"/>
      <color rgb="FF0B1F33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0B1F33"/>
      <name val="Arial"/>
      <charset val="1"/>
    </font>
    <font>
      <sz val="10"/>
      <name val="Arial"/>
      <family val="2"/>
    </font>
    <font>
      <b/>
      <sz val="1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F33"/>
        <bgColor rgb="FF0D1F2D"/>
      </patternFill>
    </fill>
    <fill>
      <patternFill patternType="solid">
        <fgColor rgb="FFD6A84F"/>
        <bgColor rgb="FFF5A623"/>
      </patternFill>
    </fill>
    <fill>
      <patternFill patternType="solid">
        <fgColor rgb="FFFFF2CC"/>
        <bgColor rgb="FFFCE4D6"/>
      </patternFill>
    </fill>
    <fill>
      <patternFill patternType="solid">
        <fgColor rgb="FF1B3A5C"/>
        <bgColor rgb="FF243447"/>
      </patternFill>
    </fill>
    <fill>
      <patternFill patternType="solid">
        <fgColor rgb="FF1F4E78"/>
        <bgColor rgb="FF2E4A62"/>
      </patternFill>
    </fill>
    <fill>
      <patternFill patternType="solid">
        <fgColor rgb="FFD9EAF7"/>
        <bgColor rgb="FFD9E2EC"/>
      </patternFill>
    </fill>
    <fill>
      <patternFill patternType="solid">
        <fgColor rgb="FFEEF2F7"/>
        <bgColor rgb="FFEBF4FA"/>
      </patternFill>
    </fill>
    <fill>
      <patternFill patternType="solid">
        <fgColor rgb="FFE0F7F7"/>
        <bgColor rgb="FFEBF4FA"/>
      </patternFill>
    </fill>
  </fills>
  <borders count="3">
    <border>
      <left/>
      <right/>
      <top/>
      <bottom/>
      <diagonal/>
    </border>
    <border>
      <left/>
      <right/>
      <top style="medium">
        <color rgb="FF0B1F33"/>
      </top>
      <bottom style="medium">
        <color rgb="FF0B1F33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4" fillId="5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6" fontId="8" fillId="7" borderId="2" xfId="0" applyNumberFormat="1" applyFont="1" applyFill="1" applyBorder="1" applyAlignment="1">
      <alignment horizontal="center" vertical="center"/>
    </xf>
    <xf numFmtId="167" fontId="9" fillId="8" borderId="2" xfId="0" applyNumberFormat="1" applyFont="1" applyFill="1" applyBorder="1" applyAlignment="1">
      <alignment horizontal="center" vertical="center"/>
    </xf>
    <xf numFmtId="168" fontId="9" fillId="8" borderId="2" xfId="0" applyNumberFormat="1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9" fillId="4" borderId="2" xfId="0" applyFont="1" applyFill="1" applyBorder="1" applyAlignment="1">
      <alignment horizontal="center" vertical="center"/>
    </xf>
    <xf numFmtId="168" fontId="8" fillId="7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68" fontId="9" fillId="9" borderId="2" xfId="0" applyNumberFormat="1" applyFont="1" applyFill="1" applyBorder="1" applyAlignment="1">
      <alignment horizontal="center" vertical="center"/>
    </xf>
    <xf numFmtId="166" fontId="9" fillId="9" borderId="2" xfId="0" applyNumberFormat="1" applyFont="1" applyFill="1" applyBorder="1" applyAlignment="1">
      <alignment horizontal="center" vertical="center"/>
    </xf>
    <xf numFmtId="169" fontId="9" fillId="9" borderId="2" xfId="0" applyNumberFormat="1" applyFont="1" applyFill="1" applyBorder="1" applyAlignment="1">
      <alignment horizontal="center" vertical="center"/>
    </xf>
    <xf numFmtId="168" fontId="9" fillId="4" borderId="2" xfId="0" applyNumberFormat="1" applyFont="1" applyFill="1" applyBorder="1" applyAlignment="1">
      <alignment horizontal="center" vertical="center"/>
    </xf>
    <xf numFmtId="169" fontId="9" fillId="4" borderId="2" xfId="0" applyNumberFormat="1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9" fillId="8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168" fontId="12" fillId="4" borderId="0" xfId="0" applyNumberFormat="1" applyFont="1" applyFill="1" applyAlignment="1">
      <alignment horizontal="center" vertical="center"/>
    </xf>
    <xf numFmtId="169" fontId="12" fillId="4" borderId="0" xfId="0" applyNumberFormat="1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F33"/>
      <rgbColor rgb="FF808000"/>
      <rgbColor rgb="FF800080"/>
      <rgbColor rgb="FF008080"/>
      <rgbColor rgb="FFD9E2EC"/>
      <rgbColor rgb="FF878787"/>
      <rgbColor rgb="FF9999FF"/>
      <rgbColor rgb="FF993366"/>
      <rgbColor rgb="FFFFF2CC"/>
      <rgbColor rgb="FFE0F7F7"/>
      <rgbColor rgb="FF660066"/>
      <rgbColor rgb="FFD6A84F"/>
      <rgbColor rgb="FF1F4E7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2FF"/>
      <rgbColor rgb="FFD9EAF7"/>
      <rgbColor rgb="FFE2F0D9"/>
      <rgbColor rgb="FFF7FBFE"/>
      <rgbColor rgb="FFEBF4FA"/>
      <rgbColor rgb="FFEEF2F7"/>
      <rgbColor rgb="FFCC99FF"/>
      <rgbColor rgb="FFFCE4D6"/>
      <rgbColor rgb="FF3366FF"/>
      <rgbColor rgb="FF33CCCC"/>
      <rgbColor rgb="FF99CC00"/>
      <rgbColor rgb="FFFFCC00"/>
      <rgbColor rgb="FFF5A623"/>
      <rgbColor rgb="FFFF6600"/>
      <rgbColor rgb="FF4F81BD"/>
      <rgbColor rgb="FFAAAAAA"/>
      <rgbColor rgb="FF1B3A5C"/>
      <rgbColor rgb="FF339966"/>
      <rgbColor rgb="FF0D1F2D"/>
      <rgbColor rgb="FF1B2A3B"/>
      <rgbColor rgb="FF993300"/>
      <rgbColor rgb="FF993366"/>
      <rgbColor rgb="FF2E4A62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'Scenario Analysis'!$C$5:$F$5</c:f>
              <c:strCache>
                <c:ptCount val="4"/>
                <c:pt idx="0">
                  <c:v>Base Case</c:v>
                </c:pt>
                <c:pt idx="1">
                  <c:v>Scenario A</c:v>
                </c:pt>
                <c:pt idx="2">
                  <c:v>Scenario B</c:v>
                </c:pt>
                <c:pt idx="3">
                  <c:v>Scenario C</c:v>
                </c:pt>
              </c:strCache>
            </c:strRef>
          </c:cat>
          <c:val>
            <c:numRef>
              <c:f>'Scenario Analysis'!$C$17:$F$17</c:f>
              <c:numCache>
                <c:formatCode>\$#,##0;"($"#,##0\);\-</c:formatCode>
                <c:ptCount val="4"/>
                <c:pt idx="0">
                  <c:v>2549.0300000000002</c:v>
                </c:pt>
                <c:pt idx="1">
                  <c:v>2549.0300000000002</c:v>
                </c:pt>
                <c:pt idx="2">
                  <c:v>3623.5450000000001</c:v>
                </c:pt>
                <c:pt idx="3">
                  <c:v>4972.8770000000013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A-4A57-A671-C023ADCAE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00986"/>
        <c:axId val="58727663"/>
      </c:barChart>
      <c:catAx>
        <c:axId val="566009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Business 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8727663"/>
        <c:crosses val="autoZero"/>
        <c:auto val="1"/>
        <c:lblAlgn val="ctr"/>
        <c:lblOffset val="100"/>
        <c:noMultiLvlLbl val="0"/>
      </c:catAx>
      <c:valAx>
        <c:axId val="587276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Net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66009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Unit Economics 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Dashboard'!$B$19:$B$22</c:f>
              <c:strCache>
                <c:ptCount val="4"/>
                <c:pt idx="0">
                  <c:v>Revenue</c:v>
                </c:pt>
                <c:pt idx="1">
                  <c:v>Total Costs</c:v>
                </c:pt>
                <c:pt idx="2">
                  <c:v>Net Profit</c:v>
                </c:pt>
                <c:pt idx="3">
                  <c:v>Ad Spend</c:v>
                </c:pt>
              </c:strCache>
            </c:strRef>
          </c:cat>
          <c:val>
            <c:numRef>
              <c:f>'Executive Dashboard'!$C$19:$C$22</c:f>
              <c:numCache>
                <c:formatCode>\$#,##0;"($"#,##0\);\-</c:formatCode>
                <c:ptCount val="4"/>
                <c:pt idx="0">
                  <c:v>4999</c:v>
                </c:pt>
                <c:pt idx="1">
                  <c:v>2599.9499999999998</c:v>
                </c:pt>
                <c:pt idx="2">
                  <c:v>2399.0500000000002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C-445D-8AA1-E7909821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2899"/>
        <c:axId val="17755287"/>
      </c:barChart>
      <c:catAx>
        <c:axId val="176528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755287"/>
        <c:crosses val="autoZero"/>
        <c:auto val="1"/>
        <c:lblAlgn val="ctr"/>
        <c:lblOffset val="100"/>
        <c:noMultiLvlLbl val="0"/>
      </c:catAx>
      <c:valAx>
        <c:axId val="177552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6528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4</xdr:col>
      <xdr:colOff>104760</xdr:colOff>
      <xdr:row>36</xdr:row>
      <xdr:rowOff>42480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160560</xdr:rowOff>
    </xdr:from>
    <xdr:to>
      <xdr:col>8</xdr:col>
      <xdr:colOff>386640</xdr:colOff>
      <xdr:row>23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C363C4-6732-470A-8BB9-84DD4F61907A}" autoFormatId="16" applyNumberFormats="0" applyBorderFormats="0" applyFontFormats="0" applyPatternFormats="0" applyAlignmentFormats="0" applyWidthHeightFormats="0">
  <queryTableRefresh nextId="20">
    <queryTableFields count="19">
      <queryTableField id="1" name="Category" tableColumnId="1"/>
      <queryTableField id="2" name="Supplier" tableColumnId="2"/>
      <queryTableField id="3" name="Sell Price" tableColumnId="3"/>
      <queryTableField id="4" name="Buy Cost" tableColumnId="4"/>
      <queryTableField id="5" name="Shipping Cost" tableColumnId="5"/>
      <queryTableField id="6" name="Fee %" tableColumnId="6"/>
      <queryTableField id="7" name="Ad Cost" tableColumnId="7"/>
      <queryTableField id="8" name="Units" tableColumnId="8"/>
      <queryTableField id="9" name="Revenue" tableColumnId="9"/>
      <queryTableField id="10" name="Product Cost" tableColumnId="10"/>
      <queryTableField id="11" name="Shipping Total" tableColumnId="11"/>
      <queryTableField id="12" name="Fees Cost" tableColumnId="12"/>
      <queryTableField id="13" name="Refund Flag" tableColumnId="13"/>
      <queryTableField id="14" name="Refund Cost" tableColumnId="14"/>
      <queryTableField id="15" name="Total Cost" tableColumnId="15"/>
      <queryTableField id="16" name="Net Profit" tableColumnId="16"/>
      <queryTableField id="17" name="Margin %" tableColumnId="17"/>
      <queryTableField id="18" name="ROAS" tableColumnId="18"/>
      <queryTableField id="19" name="Order Status" tableColumnId="1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orders" displayName="tbl_orders" ref="A1:AC501" totalsRowShown="0">
  <tableColumns count="29">
    <tableColumn id="1" xr3:uid="{00000000-0010-0000-0000-000001000000}" name="Order ID"/>
    <tableColumn id="2" xr3:uid="{00000000-0010-0000-0000-000002000000}" name="Order Date"/>
    <tableColumn id="3" xr3:uid="{00000000-0010-0000-0000-000003000000}" name="Year"/>
    <tableColumn id="4" xr3:uid="{00000000-0010-0000-0000-000004000000}" name="Month"/>
    <tableColumn id="5" xr3:uid="{00000000-0010-0000-0000-000005000000}" name="Country"/>
    <tableColumn id="6" xr3:uid="{00000000-0010-0000-0000-000006000000}" name="City"/>
    <tableColumn id="7" xr3:uid="{00000000-0010-0000-0000-000007000000}" name="Channel"/>
    <tableColumn id="8" xr3:uid="{00000000-0010-0000-0000-000008000000}" name="Campaign"/>
    <tableColumn id="9" xr3:uid="{00000000-0010-0000-0000-000009000000}" name="Product ID"/>
    <tableColumn id="10" xr3:uid="{00000000-0010-0000-0000-00000A000000}" name="Product"/>
    <tableColumn id="11" xr3:uid="{00000000-0010-0000-0000-00000B000000}" name="Category"/>
    <tableColumn id="12" xr3:uid="{00000000-0010-0000-0000-00000C000000}" name="Supplier"/>
    <tableColumn id="13" xr3:uid="{00000000-0010-0000-0000-00000D000000}" name="Sell Price"/>
    <tableColumn id="14" xr3:uid="{00000000-0010-0000-0000-00000E000000}" name="Buy Cost"/>
    <tableColumn id="15" xr3:uid="{00000000-0010-0000-0000-00000F000000}" name="Shipping Cost"/>
    <tableColumn id="16" xr3:uid="{00000000-0010-0000-0000-000010000000}" name="Fee %"/>
    <tableColumn id="17" xr3:uid="{00000000-0010-0000-0000-000011000000}" name="Ad Cost"/>
    <tableColumn id="18" xr3:uid="{00000000-0010-0000-0000-000012000000}" name="Units"/>
    <tableColumn id="19" xr3:uid="{00000000-0010-0000-0000-000013000000}" name="Revenue"/>
    <tableColumn id="20" xr3:uid="{00000000-0010-0000-0000-000014000000}" name="Product Cost"/>
    <tableColumn id="21" xr3:uid="{00000000-0010-0000-0000-000015000000}" name="Shipping Total"/>
    <tableColumn id="22" xr3:uid="{00000000-0010-0000-0000-000016000000}" name="Fees Cost"/>
    <tableColumn id="23" xr3:uid="{00000000-0010-0000-0000-000017000000}" name="Refund Flag"/>
    <tableColumn id="24" xr3:uid="{00000000-0010-0000-0000-000018000000}" name="Refund Cost"/>
    <tableColumn id="25" xr3:uid="{00000000-0010-0000-0000-000019000000}" name="Total Cost"/>
    <tableColumn id="26" xr3:uid="{00000000-0010-0000-0000-00001A000000}" name="Net Profit"/>
    <tableColumn id="27" xr3:uid="{00000000-0010-0000-0000-00001B000000}" name="Margin %"/>
    <tableColumn id="28" xr3:uid="{00000000-0010-0000-0000-00001C000000}" name="ROAS"/>
    <tableColumn id="29" xr3:uid="{00000000-0010-0000-0000-00001D000000}" name="Order 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uctMasterTable" displayName="ProductMasterTable" ref="A1:J11" totalsRowShown="0">
  <tableColumns count="10">
    <tableColumn id="1" xr3:uid="{00000000-0010-0000-0100-000001000000}" name="Product ID"/>
    <tableColumn id="2" xr3:uid="{00000000-0010-0000-0100-000002000000}" name="Product"/>
    <tableColumn id="3" xr3:uid="{00000000-0010-0000-0100-000003000000}" name="Category"/>
    <tableColumn id="4" xr3:uid="{00000000-0010-0000-0100-000004000000}" name="Supplier"/>
    <tableColumn id="5" xr3:uid="{00000000-0010-0000-0100-000005000000}" name="Sell Price"/>
    <tableColumn id="6" xr3:uid="{00000000-0010-0000-0100-000006000000}" name="Buy Cost"/>
    <tableColumn id="7" xr3:uid="{00000000-0010-0000-0100-000007000000}" name="Shipping Cost"/>
    <tableColumn id="8" xr3:uid="{00000000-0010-0000-0100-000008000000}" name="Fee %"/>
    <tableColumn id="9" xr3:uid="{00000000-0010-0000-0100-000009000000}" name="Profit per Unit"/>
    <tableColumn id="10" xr3:uid="{00000000-0010-0000-0100-00000A000000}" name="Margin %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9C2A74-351C-40D2-A51C-93F725C686FC}" name="sales_data_cleaned" displayName="sales_data_cleaned" ref="A1:S501" tableType="queryTable" totalsRowShown="0">
  <autoFilter ref="A1:S501" xr:uid="{A49C2A74-351C-40D2-A51C-93F725C686FC}"/>
  <tableColumns count="19">
    <tableColumn id="1" xr3:uid="{ABDCDEC5-D0EE-4252-80CB-F10CC67BBE8C}" uniqueName="1" name="Category" queryTableFieldId="1" dataDxfId="3"/>
    <tableColumn id="2" xr3:uid="{BF616BF5-C87B-448E-902C-44F0C48FFE2D}" uniqueName="2" name="Supplier" queryTableFieldId="2" dataDxfId="2"/>
    <tableColumn id="3" xr3:uid="{42322E99-8E17-4FD1-BBB5-2BE527CF835C}" uniqueName="3" name="Sell Price" queryTableFieldId="3"/>
    <tableColumn id="4" xr3:uid="{D7BA8D9D-79CA-4ADF-BD38-B7E05EA1AB9F}" uniqueName="4" name="Buy Cost" queryTableFieldId="4"/>
    <tableColumn id="5" xr3:uid="{A83C7E8C-30A0-4CCB-BA88-CDC20B49F190}" uniqueName="5" name="Shipping Cost" queryTableFieldId="5"/>
    <tableColumn id="6" xr3:uid="{1BFE0C37-C04D-4178-BE0C-3E82AAE8983B}" uniqueName="6" name="Fee %" queryTableFieldId="6"/>
    <tableColumn id="7" xr3:uid="{E73D7285-6228-4247-9D85-74061FBE774A}" uniqueName="7" name="Ad Cost" queryTableFieldId="7"/>
    <tableColumn id="8" xr3:uid="{03585A04-8EB4-41B6-BCFC-1BFAABF79785}" uniqueName="8" name="Units" queryTableFieldId="8"/>
    <tableColumn id="9" xr3:uid="{080196DB-B966-4504-8AAE-A16C1741640F}" uniqueName="9" name="Revenue" queryTableFieldId="9"/>
    <tableColumn id="10" xr3:uid="{6D959685-620D-4EB1-8D73-DE6CB52EC88E}" uniqueName="10" name="Product Cost" queryTableFieldId="10"/>
    <tableColumn id="11" xr3:uid="{99ED8AA1-30A6-469F-9EE7-474352E5BE6F}" uniqueName="11" name="Shipping Total" queryTableFieldId="11"/>
    <tableColumn id="12" xr3:uid="{C8873612-68F2-4803-BA37-4C3A4AE17559}" uniqueName="12" name="Fees Cost" queryTableFieldId="12"/>
    <tableColumn id="13" xr3:uid="{8E5B5610-E450-499D-9B6B-31CCE85CD3C1}" uniqueName="13" name="Refund Flag" queryTableFieldId="13" dataDxfId="1"/>
    <tableColumn id="14" xr3:uid="{2E7B084F-83FB-4C93-87C8-D881E8907ECA}" uniqueName="14" name="Refund Cost" queryTableFieldId="14"/>
    <tableColumn id="15" xr3:uid="{B37E9F5D-AEA0-471B-82B4-3A91F19DEA2B}" uniqueName="15" name="Total Cost" queryTableFieldId="15"/>
    <tableColumn id="16" xr3:uid="{4B5DD3B1-94E0-447D-92D3-1C8F59E5B046}" uniqueName="16" name="Net Profit" queryTableFieldId="16"/>
    <tableColumn id="17" xr3:uid="{4EA57AA9-DCDA-49C3-AEBB-0150BBFC8A83}" uniqueName="17" name="Margin %" queryTableFieldId="17"/>
    <tableColumn id="18" xr3:uid="{B93100AE-8485-4329-9ECE-F12636C08DE6}" uniqueName="18" name="ROAS" queryTableFieldId="18"/>
    <tableColumn id="19" xr3:uid="{4296BFE9-3FBB-4736-BED2-67C36A430FFC}" uniqueName="19" name="Order Statu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3"/>
  <sheetViews>
    <sheetView showGridLines="0" tabSelected="1" topLeftCell="A2" zoomScaleNormal="100" workbookViewId="0">
      <selection activeCell="D30" sqref="D30"/>
    </sheetView>
  </sheetViews>
  <sheetFormatPr defaultColWidth="8.6640625" defaultRowHeight="14.25" x14ac:dyDescent="0.45"/>
  <cols>
    <col min="1" max="1" width="4" customWidth="1"/>
    <col min="2" max="2" width="28" customWidth="1"/>
    <col min="3" max="3" width="68" customWidth="1"/>
    <col min="4" max="5" width="22" customWidth="1"/>
  </cols>
  <sheetData>
    <row r="2" spans="2:5" ht="14.25" customHeight="1" x14ac:dyDescent="0.45">
      <c r="B2" s="4" t="s">
        <v>2</v>
      </c>
      <c r="C2" s="4"/>
      <c r="D2" s="4"/>
      <c r="E2" s="4"/>
    </row>
    <row r="3" spans="2:5" ht="14.25" customHeight="1" x14ac:dyDescent="0.45">
      <c r="B3" s="4"/>
      <c r="C3" s="4"/>
      <c r="D3" s="4"/>
      <c r="E3" s="4"/>
    </row>
    <row r="5" spans="2:5" ht="17.25" customHeight="1" x14ac:dyDescent="0.45">
      <c r="B5" s="5" t="s">
        <v>3</v>
      </c>
      <c r="C5" s="6" t="s">
        <v>4</v>
      </c>
    </row>
    <row r="7" spans="2:5" ht="17.25" customHeight="1" x14ac:dyDescent="0.45">
      <c r="B7" s="5" t="s">
        <v>5</v>
      </c>
    </row>
    <row r="8" spans="2:5" ht="14.25" customHeight="1" x14ac:dyDescent="0.45">
      <c r="B8" s="7" t="s">
        <v>6</v>
      </c>
      <c r="C8" s="8" t="s">
        <v>7</v>
      </c>
    </row>
    <row r="9" spans="2:5" ht="14.25" customHeight="1" x14ac:dyDescent="0.45">
      <c r="B9" s="7" t="s">
        <v>8</v>
      </c>
      <c r="C9" s="8" t="s">
        <v>9</v>
      </c>
    </row>
    <row r="10" spans="2:5" ht="14.25" customHeight="1" x14ac:dyDescent="0.45">
      <c r="B10" s="7" t="s">
        <v>10</v>
      </c>
      <c r="C10" s="8" t="s">
        <v>11</v>
      </c>
    </row>
    <row r="11" spans="2:5" ht="14.25" customHeight="1" x14ac:dyDescent="0.45">
      <c r="B11" s="7" t="s">
        <v>12</v>
      </c>
      <c r="C11" s="8" t="s">
        <v>13</v>
      </c>
    </row>
    <row r="12" spans="2:5" ht="14.25" customHeight="1" x14ac:dyDescent="0.45">
      <c r="B12" s="7" t="s">
        <v>14</v>
      </c>
      <c r="C12" s="8" t="s">
        <v>15</v>
      </c>
    </row>
    <row r="17" spans="2:3" ht="14.25" customHeight="1" x14ac:dyDescent="0.45">
      <c r="B17" s="7" t="s">
        <v>16</v>
      </c>
      <c r="C17" s="7" t="s">
        <v>17</v>
      </c>
    </row>
    <row r="18" spans="2:3" ht="14.25" customHeight="1" x14ac:dyDescent="0.45">
      <c r="B18" t="s">
        <v>18</v>
      </c>
      <c r="C18" t="s">
        <v>19</v>
      </c>
    </row>
    <row r="19" spans="2:3" ht="14.25" customHeight="1" x14ac:dyDescent="0.45">
      <c r="B19" t="s">
        <v>20</v>
      </c>
      <c r="C19" t="s">
        <v>21</v>
      </c>
    </row>
    <row r="20" spans="2:3" ht="14.25" customHeight="1" x14ac:dyDescent="0.45">
      <c r="B20" t="s">
        <v>22</v>
      </c>
      <c r="C20" t="s">
        <v>23</v>
      </c>
    </row>
    <row r="21" spans="2:3" ht="14.25" customHeight="1" x14ac:dyDescent="0.45">
      <c r="B21" t="s">
        <v>24</v>
      </c>
      <c r="C21" t="s">
        <v>25</v>
      </c>
    </row>
    <row r="22" spans="2:3" ht="14.25" customHeight="1" x14ac:dyDescent="0.45">
      <c r="B22" t="s">
        <v>26</v>
      </c>
    </row>
    <row r="23" spans="2:3" ht="14.25" customHeight="1" x14ac:dyDescent="0.45">
      <c r="B23" t="s">
        <v>27</v>
      </c>
    </row>
  </sheetData>
  <mergeCells count="1">
    <mergeCell ref="B2:E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01"/>
  <sheetViews>
    <sheetView topLeftCell="M467" zoomScale="85" zoomScaleNormal="85" workbookViewId="0">
      <selection activeCell="R502" sqref="R502"/>
    </sheetView>
  </sheetViews>
  <sheetFormatPr defaultColWidth="8.6640625" defaultRowHeight="14.25" x14ac:dyDescent="0.45"/>
  <cols>
    <col min="1" max="1" width="9.53125" customWidth="1"/>
    <col min="2" max="2" width="11.73046875" customWidth="1"/>
    <col min="3" max="3" width="6.19921875" customWidth="1"/>
    <col min="4" max="4" width="8.19921875" customWidth="1"/>
    <col min="5" max="5" width="9.9296875" customWidth="1"/>
    <col min="6" max="6" width="8.86328125" customWidth="1"/>
    <col min="7" max="7" width="11.86328125" customWidth="1"/>
    <col min="8" max="8" width="14" customWidth="1"/>
    <col min="9" max="9" width="11.33203125" customWidth="1"/>
    <col min="10" max="10" width="16" customWidth="1"/>
    <col min="11" max="11" width="9.9296875" customWidth="1"/>
    <col min="12" max="12" width="18.1328125" customWidth="1"/>
    <col min="13" max="13" width="9.9296875" customWidth="1"/>
    <col min="14" max="14" width="9.6640625" customWidth="1"/>
    <col min="15" max="15" width="13.73046875" customWidth="1"/>
    <col min="16" max="16" width="7.3984375" customWidth="1"/>
    <col min="17" max="17" width="8.86328125" customWidth="1"/>
    <col min="18" max="18" width="6.86328125" customWidth="1"/>
    <col min="19" max="19" width="9.6640625" customWidth="1"/>
    <col min="20" max="20" width="13.06640625" customWidth="1"/>
    <col min="21" max="21" width="14.1328125" customWidth="1"/>
    <col min="22" max="22" width="10.19921875" customWidth="1"/>
    <col min="23" max="23" width="12.265625" customWidth="1"/>
    <col min="24" max="24" width="12.53125" customWidth="1"/>
    <col min="25" max="26" width="10.59765625" customWidth="1"/>
    <col min="27" max="27" width="10.33203125" customWidth="1"/>
    <col min="28" max="28" width="7.1328125" customWidth="1"/>
    <col min="29" max="29" width="12.9296875" customWidth="1"/>
  </cols>
  <sheetData>
    <row r="1" spans="1:29" ht="14.25" customHeight="1" x14ac:dyDescent="0.4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9" t="s">
        <v>52</v>
      </c>
      <c r="Z1" s="9" t="s">
        <v>53</v>
      </c>
      <c r="AA1" s="9" t="s">
        <v>54</v>
      </c>
      <c r="AB1" s="9" t="s">
        <v>55</v>
      </c>
      <c r="AC1" s="9" t="s">
        <v>56</v>
      </c>
    </row>
    <row r="2" spans="1:29" ht="14.25" customHeight="1" x14ac:dyDescent="0.45">
      <c r="A2" t="s">
        <v>57</v>
      </c>
      <c r="B2" s="10">
        <v>45659</v>
      </c>
      <c r="C2">
        <v>2025</v>
      </c>
      <c r="D2">
        <v>1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s="11">
        <v>36.229999999999997</v>
      </c>
      <c r="N2" s="11">
        <v>10.63</v>
      </c>
      <c r="O2" s="11">
        <v>3.93</v>
      </c>
      <c r="P2" s="11">
        <v>0.03</v>
      </c>
      <c r="Q2" s="11">
        <v>18.350000000000001</v>
      </c>
      <c r="R2" s="11">
        <v>2</v>
      </c>
      <c r="S2" s="11">
        <f t="shared" ref="S2:S65" si="0">IF(AC2="Cancelled",0,M2*R2)</f>
        <v>72.459999999999994</v>
      </c>
      <c r="T2" s="11">
        <f t="shared" ref="T2:T65" si="1">IF(AC2="Cancelled",0,N2*R2)</f>
        <v>21.26</v>
      </c>
      <c r="U2" s="11">
        <f t="shared" ref="U2:U65" si="2">IF(AC2="Cancelled",0,O2*R2)</f>
        <v>7.86</v>
      </c>
      <c r="V2" s="11">
        <f t="shared" ref="V2:V65" si="3">IF(AC2="Cancelled",0,ROUND(P2*S2,2))</f>
        <v>2.17</v>
      </c>
      <c r="W2" s="11" t="s">
        <v>66</v>
      </c>
      <c r="X2" s="11">
        <v>0</v>
      </c>
      <c r="Y2" s="11">
        <f t="shared" ref="Y2:Y65" si="4">IF(AC2="Cancelled",0,T2+U2+V2+Q2+X2)</f>
        <v>49.64</v>
      </c>
      <c r="Z2" s="11">
        <f t="shared" ref="Z2:Z65" si="5">IF(AC2="Cancelled",-Q2,S2-Y2)</f>
        <v>22.819999999999993</v>
      </c>
      <c r="AA2" s="12">
        <f t="shared" ref="AA2:AA65" si="6">IF(OR(AC2="Cancelled",S2=0),0,Z2/S2)</f>
        <v>0.31493237648357708</v>
      </c>
      <c r="AB2" s="13">
        <f t="shared" ref="AB2:AB65" si="7">IFERROR(S2/Q2,0)</f>
        <v>3.9487738419618523</v>
      </c>
      <c r="AC2" t="s">
        <v>67</v>
      </c>
    </row>
    <row r="3" spans="1:29" ht="14.25" customHeight="1" x14ac:dyDescent="0.45">
      <c r="A3" t="s">
        <v>68</v>
      </c>
      <c r="B3" s="10">
        <v>45659</v>
      </c>
      <c r="C3">
        <v>2025</v>
      </c>
      <c r="D3">
        <v>1</v>
      </c>
      <c r="E3" t="s">
        <v>69</v>
      </c>
      <c r="F3" t="s">
        <v>70</v>
      </c>
      <c r="G3" t="s">
        <v>71</v>
      </c>
      <c r="H3" t="s">
        <v>61</v>
      </c>
      <c r="I3" t="s">
        <v>72</v>
      </c>
      <c r="J3" t="s">
        <v>73</v>
      </c>
      <c r="K3" t="s">
        <v>74</v>
      </c>
      <c r="L3" t="s">
        <v>75</v>
      </c>
      <c r="M3" s="11">
        <v>46.71</v>
      </c>
      <c r="N3" s="11">
        <v>13.78</v>
      </c>
      <c r="O3" s="11">
        <v>6</v>
      </c>
      <c r="P3" s="11">
        <v>0.03</v>
      </c>
      <c r="Q3" s="11">
        <v>0</v>
      </c>
      <c r="R3" s="11">
        <v>3</v>
      </c>
      <c r="S3" s="11">
        <f t="shared" si="0"/>
        <v>140.13</v>
      </c>
      <c r="T3" s="11">
        <f t="shared" si="1"/>
        <v>41.339999999999996</v>
      </c>
      <c r="U3" s="11">
        <f t="shared" si="2"/>
        <v>18</v>
      </c>
      <c r="V3" s="11">
        <f t="shared" si="3"/>
        <v>4.2</v>
      </c>
      <c r="W3" s="11" t="s">
        <v>66</v>
      </c>
      <c r="X3" s="11">
        <v>0</v>
      </c>
      <c r="Y3" s="11">
        <f t="shared" si="4"/>
        <v>63.54</v>
      </c>
      <c r="Z3" s="11">
        <f t="shared" si="5"/>
        <v>76.59</v>
      </c>
      <c r="AA3" s="12">
        <f t="shared" si="6"/>
        <v>0.54656390494540785</v>
      </c>
      <c r="AB3" s="13">
        <f t="shared" si="7"/>
        <v>0</v>
      </c>
      <c r="AC3" t="s">
        <v>67</v>
      </c>
    </row>
    <row r="4" spans="1:29" ht="14.25" customHeight="1" x14ac:dyDescent="0.45">
      <c r="A4" t="s">
        <v>76</v>
      </c>
      <c r="B4" s="10">
        <v>45660</v>
      </c>
      <c r="C4">
        <v>2025</v>
      </c>
      <c r="D4">
        <v>1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 s="11">
        <v>27.16</v>
      </c>
      <c r="N4" s="11">
        <v>5.99</v>
      </c>
      <c r="O4" s="11">
        <v>3.73</v>
      </c>
      <c r="P4" s="11">
        <v>0.03</v>
      </c>
      <c r="Q4" s="11">
        <v>22.04</v>
      </c>
      <c r="R4" s="11">
        <v>3</v>
      </c>
      <c r="S4" s="11">
        <f t="shared" si="0"/>
        <v>81.48</v>
      </c>
      <c r="T4" s="11">
        <f t="shared" si="1"/>
        <v>17.97</v>
      </c>
      <c r="U4" s="11">
        <f t="shared" si="2"/>
        <v>11.19</v>
      </c>
      <c r="V4" s="11">
        <f t="shared" si="3"/>
        <v>2.44</v>
      </c>
      <c r="W4" s="11" t="s">
        <v>66</v>
      </c>
      <c r="X4" s="11">
        <v>0</v>
      </c>
      <c r="Y4" s="11">
        <f t="shared" si="4"/>
        <v>53.64</v>
      </c>
      <c r="Z4" s="11">
        <f t="shared" si="5"/>
        <v>27.840000000000003</v>
      </c>
      <c r="AA4" s="12">
        <f t="shared" si="6"/>
        <v>0.34167893961708395</v>
      </c>
      <c r="AB4" s="13">
        <f t="shared" si="7"/>
        <v>3.6969147005444651</v>
      </c>
      <c r="AC4" t="s">
        <v>67</v>
      </c>
    </row>
    <row r="5" spans="1:29" ht="14.25" customHeight="1" x14ac:dyDescent="0.45">
      <c r="A5" t="s">
        <v>85</v>
      </c>
      <c r="B5" s="10">
        <v>45660</v>
      </c>
      <c r="C5">
        <v>2025</v>
      </c>
      <c r="D5">
        <v>1</v>
      </c>
      <c r="E5" t="s">
        <v>69</v>
      </c>
      <c r="F5" t="s">
        <v>70</v>
      </c>
      <c r="G5" t="s">
        <v>79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s="11">
        <v>65.77</v>
      </c>
      <c r="N5" s="11">
        <v>21.01</v>
      </c>
      <c r="O5" s="11">
        <v>7.19</v>
      </c>
      <c r="P5" s="11">
        <v>0.03</v>
      </c>
      <c r="Q5" s="11">
        <v>9.6199999999999992</v>
      </c>
      <c r="R5" s="11">
        <v>1</v>
      </c>
      <c r="S5" s="11">
        <f t="shared" si="0"/>
        <v>65.77</v>
      </c>
      <c r="T5" s="11">
        <f t="shared" si="1"/>
        <v>21.01</v>
      </c>
      <c r="U5" s="11">
        <f t="shared" si="2"/>
        <v>7.19</v>
      </c>
      <c r="V5" s="11">
        <f t="shared" si="3"/>
        <v>1.97</v>
      </c>
      <c r="W5" s="11" t="s">
        <v>66</v>
      </c>
      <c r="X5" s="11">
        <v>0</v>
      </c>
      <c r="Y5" s="11">
        <f t="shared" si="4"/>
        <v>39.79</v>
      </c>
      <c r="Z5" s="11">
        <f t="shared" si="5"/>
        <v>25.979999999999997</v>
      </c>
      <c r="AA5" s="12">
        <f t="shared" si="6"/>
        <v>0.39501292382545233</v>
      </c>
      <c r="AB5" s="13">
        <f t="shared" si="7"/>
        <v>6.8367983367983367</v>
      </c>
      <c r="AC5" t="s">
        <v>67</v>
      </c>
    </row>
    <row r="6" spans="1:29" ht="14.25" customHeight="1" x14ac:dyDescent="0.45">
      <c r="A6" t="s">
        <v>91</v>
      </c>
      <c r="B6" s="10">
        <v>45661</v>
      </c>
      <c r="C6">
        <v>2025</v>
      </c>
      <c r="D6">
        <v>1</v>
      </c>
      <c r="E6" t="s">
        <v>58</v>
      </c>
      <c r="F6" t="s">
        <v>92</v>
      </c>
      <c r="G6" t="s">
        <v>93</v>
      </c>
      <c r="H6" t="s">
        <v>80</v>
      </c>
      <c r="I6" t="s">
        <v>72</v>
      </c>
      <c r="J6" t="s">
        <v>73</v>
      </c>
      <c r="K6" t="s">
        <v>74</v>
      </c>
      <c r="L6" t="s">
        <v>75</v>
      </c>
      <c r="M6" s="11">
        <v>41.33</v>
      </c>
      <c r="N6" s="11">
        <v>15.02</v>
      </c>
      <c r="O6" s="11">
        <v>7.07</v>
      </c>
      <c r="P6" s="11">
        <v>0.03</v>
      </c>
      <c r="Q6" s="11">
        <v>27.25</v>
      </c>
      <c r="R6" s="11">
        <v>3</v>
      </c>
      <c r="S6" s="11">
        <f t="shared" si="0"/>
        <v>123.99</v>
      </c>
      <c r="T6" s="11">
        <f t="shared" si="1"/>
        <v>45.06</v>
      </c>
      <c r="U6" s="11">
        <f t="shared" si="2"/>
        <v>21.21</v>
      </c>
      <c r="V6" s="11">
        <f t="shared" si="3"/>
        <v>3.72</v>
      </c>
      <c r="W6" s="11" t="s">
        <v>66</v>
      </c>
      <c r="X6" s="11">
        <v>0</v>
      </c>
      <c r="Y6" s="11">
        <f t="shared" si="4"/>
        <v>97.240000000000009</v>
      </c>
      <c r="Z6" s="11">
        <f t="shared" si="5"/>
        <v>26.749999999999986</v>
      </c>
      <c r="AA6" s="12">
        <f t="shared" si="6"/>
        <v>0.21574320509718514</v>
      </c>
      <c r="AB6" s="13">
        <f t="shared" si="7"/>
        <v>4.5500917431192658</v>
      </c>
      <c r="AC6" t="s">
        <v>67</v>
      </c>
    </row>
    <row r="7" spans="1:29" ht="14.25" customHeight="1" x14ac:dyDescent="0.45">
      <c r="A7" t="s">
        <v>94</v>
      </c>
      <c r="B7" s="10">
        <v>45661</v>
      </c>
      <c r="C7">
        <v>2025</v>
      </c>
      <c r="D7">
        <v>1</v>
      </c>
      <c r="E7" t="s">
        <v>95</v>
      </c>
      <c r="F7" t="s">
        <v>96</v>
      </c>
      <c r="G7" t="s">
        <v>79</v>
      </c>
      <c r="H7" t="s">
        <v>80</v>
      </c>
      <c r="I7" t="s">
        <v>97</v>
      </c>
      <c r="J7" t="s">
        <v>98</v>
      </c>
      <c r="K7" t="s">
        <v>99</v>
      </c>
      <c r="L7" t="s">
        <v>100</v>
      </c>
      <c r="M7" s="11">
        <v>36.04</v>
      </c>
      <c r="N7" s="11">
        <v>8.56</v>
      </c>
      <c r="O7" s="11">
        <v>3.75</v>
      </c>
      <c r="P7" s="11">
        <v>0.03</v>
      </c>
      <c r="Q7" s="11">
        <v>8.57</v>
      </c>
      <c r="R7" s="11">
        <v>1</v>
      </c>
      <c r="S7" s="11">
        <f t="shared" si="0"/>
        <v>36.04</v>
      </c>
      <c r="T7" s="11">
        <f t="shared" si="1"/>
        <v>8.56</v>
      </c>
      <c r="U7" s="11">
        <f t="shared" si="2"/>
        <v>3.75</v>
      </c>
      <c r="V7" s="11">
        <f t="shared" si="3"/>
        <v>1.08</v>
      </c>
      <c r="W7" s="11" t="s">
        <v>66</v>
      </c>
      <c r="X7" s="11">
        <v>0</v>
      </c>
      <c r="Y7" s="11">
        <f t="shared" si="4"/>
        <v>21.96</v>
      </c>
      <c r="Z7" s="11">
        <f t="shared" si="5"/>
        <v>14.079999999999998</v>
      </c>
      <c r="AA7" s="12">
        <f t="shared" si="6"/>
        <v>0.39067702552719197</v>
      </c>
      <c r="AB7" s="13">
        <f t="shared" si="7"/>
        <v>4.2053675612602097</v>
      </c>
      <c r="AC7" t="s">
        <v>67</v>
      </c>
    </row>
    <row r="8" spans="1:29" ht="14.25" customHeight="1" x14ac:dyDescent="0.45">
      <c r="A8" t="s">
        <v>101</v>
      </c>
      <c r="B8" s="10">
        <v>45664</v>
      </c>
      <c r="C8">
        <v>2025</v>
      </c>
      <c r="D8">
        <v>1</v>
      </c>
      <c r="E8" t="s">
        <v>77</v>
      </c>
      <c r="F8" t="s">
        <v>102</v>
      </c>
      <c r="G8" t="s">
        <v>79</v>
      </c>
      <c r="H8" t="s">
        <v>86</v>
      </c>
      <c r="I8" t="s">
        <v>81</v>
      </c>
      <c r="J8" t="s">
        <v>82</v>
      </c>
      <c r="K8" t="s">
        <v>83</v>
      </c>
      <c r="L8" t="s">
        <v>84</v>
      </c>
      <c r="M8" s="11">
        <v>26.71</v>
      </c>
      <c r="N8" s="11">
        <v>6.12</v>
      </c>
      <c r="O8" s="11">
        <v>3.4</v>
      </c>
      <c r="P8" s="11">
        <v>0.03</v>
      </c>
      <c r="Q8" s="11">
        <v>6.87</v>
      </c>
      <c r="R8" s="11">
        <v>1</v>
      </c>
      <c r="S8" s="11">
        <f t="shared" si="0"/>
        <v>26.71</v>
      </c>
      <c r="T8" s="11">
        <f t="shared" si="1"/>
        <v>6.12</v>
      </c>
      <c r="U8" s="11">
        <f t="shared" si="2"/>
        <v>3.4</v>
      </c>
      <c r="V8" s="11">
        <f t="shared" si="3"/>
        <v>0.8</v>
      </c>
      <c r="W8" s="11" t="s">
        <v>66</v>
      </c>
      <c r="X8" s="11">
        <v>0</v>
      </c>
      <c r="Y8" s="11">
        <f t="shared" si="4"/>
        <v>17.190000000000001</v>
      </c>
      <c r="Z8" s="11">
        <f t="shared" si="5"/>
        <v>9.52</v>
      </c>
      <c r="AA8" s="12">
        <f t="shared" si="6"/>
        <v>0.35642081617371768</v>
      </c>
      <c r="AB8" s="13">
        <f t="shared" si="7"/>
        <v>3.8879184861717615</v>
      </c>
      <c r="AC8" t="s">
        <v>67</v>
      </c>
    </row>
    <row r="9" spans="1:29" ht="14.25" customHeight="1" x14ac:dyDescent="0.45">
      <c r="A9" t="s">
        <v>103</v>
      </c>
      <c r="B9" s="10">
        <v>45664</v>
      </c>
      <c r="C9">
        <v>2025</v>
      </c>
      <c r="D9">
        <v>1</v>
      </c>
      <c r="E9" t="s">
        <v>77</v>
      </c>
      <c r="F9" t="s">
        <v>104</v>
      </c>
      <c r="G9" t="s">
        <v>105</v>
      </c>
      <c r="H9" t="s">
        <v>86</v>
      </c>
      <c r="I9" t="s">
        <v>97</v>
      </c>
      <c r="J9" t="s">
        <v>98</v>
      </c>
      <c r="K9" t="s">
        <v>99</v>
      </c>
      <c r="L9" t="s">
        <v>100</v>
      </c>
      <c r="M9" s="11">
        <v>33.08</v>
      </c>
      <c r="N9" s="11">
        <v>9.7100000000000009</v>
      </c>
      <c r="O9" s="11">
        <v>3.77</v>
      </c>
      <c r="P9" s="11">
        <v>0.03</v>
      </c>
      <c r="Q9" s="11">
        <v>3.96</v>
      </c>
      <c r="R9" s="11">
        <v>2</v>
      </c>
      <c r="S9" s="11">
        <f t="shared" si="0"/>
        <v>66.16</v>
      </c>
      <c r="T9" s="11">
        <f t="shared" si="1"/>
        <v>19.420000000000002</v>
      </c>
      <c r="U9" s="11">
        <f t="shared" si="2"/>
        <v>7.54</v>
      </c>
      <c r="V9" s="11">
        <f t="shared" si="3"/>
        <v>1.98</v>
      </c>
      <c r="W9" s="11" t="s">
        <v>66</v>
      </c>
      <c r="X9" s="11">
        <v>0</v>
      </c>
      <c r="Y9" s="11">
        <f t="shared" si="4"/>
        <v>32.9</v>
      </c>
      <c r="Z9" s="11">
        <f t="shared" si="5"/>
        <v>33.26</v>
      </c>
      <c r="AA9" s="12">
        <f t="shared" si="6"/>
        <v>0.50272067714631197</v>
      </c>
      <c r="AB9" s="13">
        <f t="shared" si="7"/>
        <v>16.707070707070706</v>
      </c>
      <c r="AC9" t="s">
        <v>67</v>
      </c>
    </row>
    <row r="10" spans="1:29" ht="14.25" customHeight="1" x14ac:dyDescent="0.45">
      <c r="A10" t="s">
        <v>106</v>
      </c>
      <c r="B10" s="10">
        <v>45665</v>
      </c>
      <c r="C10">
        <v>2025</v>
      </c>
      <c r="D10">
        <v>1</v>
      </c>
      <c r="E10" t="s">
        <v>77</v>
      </c>
      <c r="F10" t="s">
        <v>104</v>
      </c>
      <c r="G10" t="s">
        <v>93</v>
      </c>
      <c r="H10" t="s">
        <v>86</v>
      </c>
      <c r="I10" t="s">
        <v>107</v>
      </c>
      <c r="J10" t="s">
        <v>108</v>
      </c>
      <c r="K10" t="s">
        <v>109</v>
      </c>
      <c r="L10" t="s">
        <v>110</v>
      </c>
      <c r="M10" s="11">
        <v>20.420000000000002</v>
      </c>
      <c r="N10" s="11">
        <v>3.35</v>
      </c>
      <c r="O10" s="11">
        <v>2.4900000000000002</v>
      </c>
      <c r="P10" s="11">
        <v>0.03</v>
      </c>
      <c r="Q10" s="11">
        <v>16.079999999999998</v>
      </c>
      <c r="R10" s="11">
        <v>3</v>
      </c>
      <c r="S10" s="11">
        <f t="shared" si="0"/>
        <v>61.260000000000005</v>
      </c>
      <c r="T10" s="11">
        <f t="shared" si="1"/>
        <v>10.050000000000001</v>
      </c>
      <c r="U10" s="11">
        <f t="shared" si="2"/>
        <v>7.4700000000000006</v>
      </c>
      <c r="V10" s="11">
        <f t="shared" si="3"/>
        <v>1.84</v>
      </c>
      <c r="W10" s="11" t="s">
        <v>66</v>
      </c>
      <c r="X10" s="11">
        <v>0</v>
      </c>
      <c r="Y10" s="11">
        <f t="shared" si="4"/>
        <v>35.44</v>
      </c>
      <c r="Z10" s="11">
        <f t="shared" si="5"/>
        <v>25.820000000000007</v>
      </c>
      <c r="AA10" s="12">
        <f t="shared" si="6"/>
        <v>0.42148220698661454</v>
      </c>
      <c r="AB10" s="13">
        <f t="shared" si="7"/>
        <v>3.809701492537314</v>
      </c>
      <c r="AC10" t="s">
        <v>67</v>
      </c>
    </row>
    <row r="11" spans="1:29" ht="14.25" customHeight="1" x14ac:dyDescent="0.45">
      <c r="A11" t="s">
        <v>111</v>
      </c>
      <c r="B11" s="10">
        <v>45666</v>
      </c>
      <c r="C11">
        <v>2025</v>
      </c>
      <c r="D11">
        <v>1</v>
      </c>
      <c r="E11" t="s">
        <v>77</v>
      </c>
      <c r="F11" t="s">
        <v>78</v>
      </c>
      <c r="G11" t="s">
        <v>93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s="11">
        <v>53.18</v>
      </c>
      <c r="N11" s="11">
        <v>16.82</v>
      </c>
      <c r="O11" s="11">
        <v>5.87</v>
      </c>
      <c r="P11" s="11">
        <v>0.03</v>
      </c>
      <c r="Q11" s="11">
        <v>5.9</v>
      </c>
      <c r="R11" s="11">
        <v>1</v>
      </c>
      <c r="S11" s="11">
        <f t="shared" si="0"/>
        <v>53.18</v>
      </c>
      <c r="T11" s="11">
        <f t="shared" si="1"/>
        <v>16.82</v>
      </c>
      <c r="U11" s="11">
        <f t="shared" si="2"/>
        <v>5.87</v>
      </c>
      <c r="V11" s="11">
        <f t="shared" si="3"/>
        <v>1.6</v>
      </c>
      <c r="W11" s="11" t="s">
        <v>66</v>
      </c>
      <c r="X11" s="11">
        <v>0</v>
      </c>
      <c r="Y11" s="11">
        <f t="shared" si="4"/>
        <v>30.190000000000005</v>
      </c>
      <c r="Z11" s="11">
        <f t="shared" si="5"/>
        <v>22.989999999999995</v>
      </c>
      <c r="AA11" s="12">
        <f t="shared" si="6"/>
        <v>0.43230537796163965</v>
      </c>
      <c r="AB11" s="13">
        <f t="shared" si="7"/>
        <v>9.0135593220338972</v>
      </c>
      <c r="AC11" t="s">
        <v>67</v>
      </c>
    </row>
    <row r="12" spans="1:29" ht="14.25" customHeight="1" x14ac:dyDescent="0.45">
      <c r="A12" t="s">
        <v>117</v>
      </c>
      <c r="B12" s="10">
        <v>45667</v>
      </c>
      <c r="C12">
        <v>2025</v>
      </c>
      <c r="D12">
        <v>1</v>
      </c>
      <c r="E12" t="s">
        <v>77</v>
      </c>
      <c r="F12" t="s">
        <v>78</v>
      </c>
      <c r="G12" t="s">
        <v>105</v>
      </c>
      <c r="H12" t="s">
        <v>112</v>
      </c>
      <c r="I12" t="s">
        <v>81</v>
      </c>
      <c r="J12" t="s">
        <v>82</v>
      </c>
      <c r="K12" t="s">
        <v>83</v>
      </c>
      <c r="L12" t="s">
        <v>84</v>
      </c>
      <c r="M12" s="11">
        <v>24.36</v>
      </c>
      <c r="N12" s="11">
        <v>6.05</v>
      </c>
      <c r="O12" s="11">
        <v>3.32</v>
      </c>
      <c r="P12" s="11">
        <v>0.03</v>
      </c>
      <c r="Q12" s="11">
        <v>3.24</v>
      </c>
      <c r="R12" s="11">
        <v>1</v>
      </c>
      <c r="S12" s="11">
        <f t="shared" si="0"/>
        <v>24.36</v>
      </c>
      <c r="T12" s="11">
        <f t="shared" si="1"/>
        <v>6.05</v>
      </c>
      <c r="U12" s="11">
        <f t="shared" si="2"/>
        <v>3.32</v>
      </c>
      <c r="V12" s="11">
        <f t="shared" si="3"/>
        <v>0.73</v>
      </c>
      <c r="W12" s="11" t="s">
        <v>66</v>
      </c>
      <c r="X12" s="11">
        <v>0</v>
      </c>
      <c r="Y12" s="11">
        <f t="shared" si="4"/>
        <v>13.34</v>
      </c>
      <c r="Z12" s="11">
        <f t="shared" si="5"/>
        <v>11.02</v>
      </c>
      <c r="AA12" s="12">
        <f t="shared" si="6"/>
        <v>0.45238095238095238</v>
      </c>
      <c r="AB12" s="13">
        <f t="shared" si="7"/>
        <v>7.5185185185185182</v>
      </c>
      <c r="AC12" t="s">
        <v>67</v>
      </c>
    </row>
    <row r="13" spans="1:29" ht="14.25" customHeight="1" x14ac:dyDescent="0.45">
      <c r="A13" t="s">
        <v>118</v>
      </c>
      <c r="B13" s="10">
        <v>45668</v>
      </c>
      <c r="C13">
        <v>2025</v>
      </c>
      <c r="D13">
        <v>1</v>
      </c>
      <c r="E13" t="s">
        <v>69</v>
      </c>
      <c r="F13" t="s">
        <v>70</v>
      </c>
      <c r="G13" t="s">
        <v>105</v>
      </c>
      <c r="H13" t="s">
        <v>112</v>
      </c>
      <c r="I13" t="s">
        <v>72</v>
      </c>
      <c r="J13" t="s">
        <v>73</v>
      </c>
      <c r="K13" t="s">
        <v>74</v>
      </c>
      <c r="L13" t="s">
        <v>75</v>
      </c>
      <c r="M13" s="11">
        <v>45.62</v>
      </c>
      <c r="N13" s="11">
        <v>13.94</v>
      </c>
      <c r="O13" s="11">
        <v>7.25</v>
      </c>
      <c r="P13" s="11">
        <v>0.03</v>
      </c>
      <c r="Q13" s="11">
        <v>4.62</v>
      </c>
      <c r="R13" s="11">
        <v>2</v>
      </c>
      <c r="S13" s="11">
        <f t="shared" si="0"/>
        <v>91.24</v>
      </c>
      <c r="T13" s="11">
        <f t="shared" si="1"/>
        <v>27.88</v>
      </c>
      <c r="U13" s="11">
        <f t="shared" si="2"/>
        <v>14.5</v>
      </c>
      <c r="V13" s="11">
        <f t="shared" si="3"/>
        <v>2.74</v>
      </c>
      <c r="W13" s="11" t="s">
        <v>66</v>
      </c>
      <c r="X13" s="11">
        <v>0</v>
      </c>
      <c r="Y13" s="11">
        <f t="shared" si="4"/>
        <v>49.739999999999995</v>
      </c>
      <c r="Z13" s="11">
        <f t="shared" si="5"/>
        <v>41.5</v>
      </c>
      <c r="AA13" s="12">
        <f t="shared" si="6"/>
        <v>0.45484436650591847</v>
      </c>
      <c r="AB13" s="13">
        <f t="shared" si="7"/>
        <v>19.748917748917748</v>
      </c>
      <c r="AC13" t="s">
        <v>67</v>
      </c>
    </row>
    <row r="14" spans="1:29" ht="14.25" customHeight="1" x14ac:dyDescent="0.45">
      <c r="A14" t="s">
        <v>119</v>
      </c>
      <c r="B14" s="10">
        <v>45669</v>
      </c>
      <c r="C14">
        <v>2025</v>
      </c>
      <c r="D14">
        <v>1</v>
      </c>
      <c r="E14" t="s">
        <v>77</v>
      </c>
      <c r="F14" t="s">
        <v>104</v>
      </c>
      <c r="G14" t="s">
        <v>71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s="11">
        <v>53.29</v>
      </c>
      <c r="N14" s="11">
        <v>15.27</v>
      </c>
      <c r="O14" s="11">
        <v>6.29</v>
      </c>
      <c r="P14" s="11">
        <v>0.03</v>
      </c>
      <c r="Q14" s="11">
        <v>0</v>
      </c>
      <c r="R14" s="11">
        <v>2</v>
      </c>
      <c r="S14" s="11">
        <f t="shared" si="0"/>
        <v>106.58</v>
      </c>
      <c r="T14" s="11">
        <f t="shared" si="1"/>
        <v>30.54</v>
      </c>
      <c r="U14" s="11">
        <f t="shared" si="2"/>
        <v>12.58</v>
      </c>
      <c r="V14" s="11">
        <f t="shared" si="3"/>
        <v>3.2</v>
      </c>
      <c r="W14" s="11" t="s">
        <v>66</v>
      </c>
      <c r="X14" s="11">
        <v>0</v>
      </c>
      <c r="Y14" s="11">
        <f t="shared" si="4"/>
        <v>46.32</v>
      </c>
      <c r="Z14" s="11">
        <f t="shared" si="5"/>
        <v>60.26</v>
      </c>
      <c r="AA14" s="12">
        <f t="shared" si="6"/>
        <v>0.56539688496903728</v>
      </c>
      <c r="AB14" s="13">
        <f t="shared" si="7"/>
        <v>0</v>
      </c>
      <c r="AC14" t="s">
        <v>67</v>
      </c>
    </row>
    <row r="15" spans="1:29" ht="14.25" customHeight="1" x14ac:dyDescent="0.45">
      <c r="A15" t="s">
        <v>120</v>
      </c>
      <c r="B15" s="10">
        <v>45670</v>
      </c>
      <c r="C15">
        <v>2025</v>
      </c>
      <c r="D15">
        <v>1</v>
      </c>
      <c r="E15" t="s">
        <v>77</v>
      </c>
      <c r="F15" t="s">
        <v>102</v>
      </c>
      <c r="G15" t="s">
        <v>105</v>
      </c>
      <c r="H15" t="s">
        <v>86</v>
      </c>
      <c r="I15" t="s">
        <v>107</v>
      </c>
      <c r="J15" t="s">
        <v>108</v>
      </c>
      <c r="K15" t="s">
        <v>109</v>
      </c>
      <c r="L15" t="s">
        <v>110</v>
      </c>
      <c r="M15" s="11">
        <v>19.670000000000002</v>
      </c>
      <c r="N15" s="11">
        <v>3.4</v>
      </c>
      <c r="O15" s="11">
        <v>2.82</v>
      </c>
      <c r="P15" s="11">
        <v>0.03</v>
      </c>
      <c r="Q15" s="11">
        <v>4.76</v>
      </c>
      <c r="R15" s="11">
        <v>2</v>
      </c>
      <c r="S15" s="11">
        <f t="shared" si="0"/>
        <v>39.340000000000003</v>
      </c>
      <c r="T15" s="11">
        <f t="shared" si="1"/>
        <v>6.8</v>
      </c>
      <c r="U15" s="11">
        <f t="shared" si="2"/>
        <v>5.64</v>
      </c>
      <c r="V15" s="11">
        <f t="shared" si="3"/>
        <v>1.18</v>
      </c>
      <c r="W15" s="11" t="s">
        <v>66</v>
      </c>
      <c r="X15" s="11">
        <v>0</v>
      </c>
      <c r="Y15" s="11">
        <f t="shared" si="4"/>
        <v>18.38</v>
      </c>
      <c r="Z15" s="11">
        <f t="shared" si="5"/>
        <v>20.960000000000004</v>
      </c>
      <c r="AA15" s="12">
        <f t="shared" si="6"/>
        <v>0.53279105236400615</v>
      </c>
      <c r="AB15" s="13">
        <f t="shared" si="7"/>
        <v>8.264705882352942</v>
      </c>
      <c r="AC15" t="s">
        <v>67</v>
      </c>
    </row>
    <row r="16" spans="1:29" ht="14.25" customHeight="1" x14ac:dyDescent="0.45">
      <c r="A16" t="s">
        <v>121</v>
      </c>
      <c r="B16" s="10">
        <v>45670</v>
      </c>
      <c r="C16">
        <v>2025</v>
      </c>
      <c r="D16">
        <v>1</v>
      </c>
      <c r="E16" t="s">
        <v>122</v>
      </c>
      <c r="F16" t="s">
        <v>123</v>
      </c>
      <c r="G16" t="s">
        <v>79</v>
      </c>
      <c r="H16" t="s">
        <v>80</v>
      </c>
      <c r="I16" t="s">
        <v>81</v>
      </c>
      <c r="J16" t="s">
        <v>82</v>
      </c>
      <c r="K16" t="s">
        <v>83</v>
      </c>
      <c r="L16" t="s">
        <v>84</v>
      </c>
      <c r="M16" s="11">
        <v>23.74</v>
      </c>
      <c r="N16" s="11">
        <v>6.17</v>
      </c>
      <c r="O16" s="11">
        <v>3.56</v>
      </c>
      <c r="P16" s="11">
        <v>0.03</v>
      </c>
      <c r="Q16" s="11">
        <v>16.489999999999998</v>
      </c>
      <c r="R16" s="11">
        <v>2</v>
      </c>
      <c r="S16" s="11">
        <f t="shared" si="0"/>
        <v>47.48</v>
      </c>
      <c r="T16" s="11">
        <f t="shared" si="1"/>
        <v>12.34</v>
      </c>
      <c r="U16" s="11">
        <f t="shared" si="2"/>
        <v>7.12</v>
      </c>
      <c r="V16" s="11">
        <f t="shared" si="3"/>
        <v>1.42</v>
      </c>
      <c r="W16" s="11" t="s">
        <v>66</v>
      </c>
      <c r="X16" s="11">
        <v>0</v>
      </c>
      <c r="Y16" s="11">
        <f t="shared" si="4"/>
        <v>37.370000000000005</v>
      </c>
      <c r="Z16" s="11">
        <f t="shared" si="5"/>
        <v>10.109999999999992</v>
      </c>
      <c r="AA16" s="12">
        <f t="shared" si="6"/>
        <v>0.21293176074136463</v>
      </c>
      <c r="AB16" s="13">
        <f t="shared" si="7"/>
        <v>2.8793208004851425</v>
      </c>
      <c r="AC16" t="s">
        <v>67</v>
      </c>
    </row>
    <row r="17" spans="1:29" ht="14.25" customHeight="1" x14ac:dyDescent="0.45">
      <c r="A17" t="s">
        <v>124</v>
      </c>
      <c r="B17" s="10">
        <v>45671</v>
      </c>
      <c r="C17">
        <v>2025</v>
      </c>
      <c r="D17">
        <v>1</v>
      </c>
      <c r="E17" t="s">
        <v>58</v>
      </c>
      <c r="F17" t="s">
        <v>59</v>
      </c>
      <c r="G17" t="s">
        <v>71</v>
      </c>
      <c r="H17" t="s">
        <v>80</v>
      </c>
      <c r="I17" t="s">
        <v>113</v>
      </c>
      <c r="J17" t="s">
        <v>114</v>
      </c>
      <c r="K17" t="s">
        <v>115</v>
      </c>
      <c r="L17" t="s">
        <v>116</v>
      </c>
      <c r="M17" s="11">
        <v>48.78</v>
      </c>
      <c r="N17" s="11">
        <v>17.16</v>
      </c>
      <c r="O17" s="11">
        <v>5.65</v>
      </c>
      <c r="P17" s="11">
        <v>0.03</v>
      </c>
      <c r="Q17" s="11">
        <v>0</v>
      </c>
      <c r="R17" s="11">
        <v>3</v>
      </c>
      <c r="S17" s="11">
        <f t="shared" si="0"/>
        <v>146.34</v>
      </c>
      <c r="T17" s="11">
        <f t="shared" si="1"/>
        <v>51.480000000000004</v>
      </c>
      <c r="U17" s="11">
        <f t="shared" si="2"/>
        <v>16.950000000000003</v>
      </c>
      <c r="V17" s="11">
        <f t="shared" si="3"/>
        <v>4.3899999999999997</v>
      </c>
      <c r="W17" s="11" t="s">
        <v>66</v>
      </c>
      <c r="X17" s="11">
        <v>0</v>
      </c>
      <c r="Y17" s="11">
        <f t="shared" si="4"/>
        <v>72.820000000000007</v>
      </c>
      <c r="Z17" s="11">
        <f t="shared" si="5"/>
        <v>73.52</v>
      </c>
      <c r="AA17" s="12">
        <f t="shared" si="6"/>
        <v>0.50239169058357247</v>
      </c>
      <c r="AB17" s="13">
        <f t="shared" si="7"/>
        <v>0</v>
      </c>
      <c r="AC17" t="s">
        <v>67</v>
      </c>
    </row>
    <row r="18" spans="1:29" ht="14.25" customHeight="1" x14ac:dyDescent="0.45">
      <c r="A18" t="s">
        <v>125</v>
      </c>
      <c r="B18" s="10">
        <v>45672</v>
      </c>
      <c r="C18">
        <v>2025</v>
      </c>
      <c r="D18">
        <v>1</v>
      </c>
      <c r="E18" t="s">
        <v>69</v>
      </c>
      <c r="F18" t="s">
        <v>70</v>
      </c>
      <c r="G18" t="s">
        <v>126</v>
      </c>
      <c r="H18" t="s">
        <v>127</v>
      </c>
      <c r="I18" t="s">
        <v>87</v>
      </c>
      <c r="J18" t="s">
        <v>88</v>
      </c>
      <c r="K18" t="s">
        <v>89</v>
      </c>
      <c r="L18" t="s">
        <v>90</v>
      </c>
      <c r="M18" s="11">
        <v>60.22</v>
      </c>
      <c r="N18" s="11">
        <v>21.76</v>
      </c>
      <c r="O18" s="11">
        <v>7.97</v>
      </c>
      <c r="P18" s="11">
        <v>0.03</v>
      </c>
      <c r="Q18" s="11">
        <v>5.71</v>
      </c>
      <c r="R18" s="11">
        <v>1</v>
      </c>
      <c r="S18" s="11">
        <f t="shared" si="0"/>
        <v>60.22</v>
      </c>
      <c r="T18" s="11">
        <f t="shared" si="1"/>
        <v>21.76</v>
      </c>
      <c r="U18" s="11">
        <f t="shared" si="2"/>
        <v>7.97</v>
      </c>
      <c r="V18" s="11">
        <f t="shared" si="3"/>
        <v>1.81</v>
      </c>
      <c r="W18" s="11" t="s">
        <v>66</v>
      </c>
      <c r="X18" s="11">
        <v>0</v>
      </c>
      <c r="Y18" s="11">
        <f t="shared" si="4"/>
        <v>37.25</v>
      </c>
      <c r="Z18" s="11">
        <f t="shared" si="5"/>
        <v>22.97</v>
      </c>
      <c r="AA18" s="12">
        <f t="shared" si="6"/>
        <v>0.38143473928927263</v>
      </c>
      <c r="AB18" s="13">
        <f t="shared" si="7"/>
        <v>10.546409807355516</v>
      </c>
      <c r="AC18" t="s">
        <v>67</v>
      </c>
    </row>
    <row r="19" spans="1:29" ht="14.25" customHeight="1" x14ac:dyDescent="0.45">
      <c r="A19" t="s">
        <v>128</v>
      </c>
      <c r="B19" s="10">
        <v>45673</v>
      </c>
      <c r="C19">
        <v>2025</v>
      </c>
      <c r="D19">
        <v>1</v>
      </c>
      <c r="E19" t="s">
        <v>58</v>
      </c>
      <c r="F19" t="s">
        <v>92</v>
      </c>
      <c r="G19" t="s">
        <v>126</v>
      </c>
      <c r="H19" t="s">
        <v>86</v>
      </c>
      <c r="I19" t="s">
        <v>62</v>
      </c>
      <c r="J19" t="s">
        <v>63</v>
      </c>
      <c r="K19" t="s">
        <v>64</v>
      </c>
      <c r="L19" t="s">
        <v>65</v>
      </c>
      <c r="M19" s="11">
        <v>34.03</v>
      </c>
      <c r="N19" s="11">
        <v>10.130000000000001</v>
      </c>
      <c r="O19" s="11">
        <v>3.84</v>
      </c>
      <c r="P19" s="11">
        <v>0.03</v>
      </c>
      <c r="Q19" s="11">
        <v>6.13</v>
      </c>
      <c r="R19" s="11">
        <v>1</v>
      </c>
      <c r="S19" s="11">
        <f t="shared" si="0"/>
        <v>34.03</v>
      </c>
      <c r="T19" s="11">
        <f t="shared" si="1"/>
        <v>10.130000000000001</v>
      </c>
      <c r="U19" s="11">
        <f t="shared" si="2"/>
        <v>3.84</v>
      </c>
      <c r="V19" s="11">
        <f t="shared" si="3"/>
        <v>1.02</v>
      </c>
      <c r="W19" s="11" t="s">
        <v>66</v>
      </c>
      <c r="X19" s="11">
        <v>0</v>
      </c>
      <c r="Y19" s="11">
        <f t="shared" si="4"/>
        <v>21.12</v>
      </c>
      <c r="Z19" s="11">
        <f t="shared" si="5"/>
        <v>12.91</v>
      </c>
      <c r="AA19" s="12">
        <f t="shared" si="6"/>
        <v>0.37937114310902142</v>
      </c>
      <c r="AB19" s="13">
        <f t="shared" si="7"/>
        <v>5.5513866231647642</v>
      </c>
      <c r="AC19" t="s">
        <v>67</v>
      </c>
    </row>
    <row r="20" spans="1:29" ht="14.25" customHeight="1" x14ac:dyDescent="0.45">
      <c r="A20" t="s">
        <v>129</v>
      </c>
      <c r="B20" s="10">
        <v>45673</v>
      </c>
      <c r="C20">
        <v>2025</v>
      </c>
      <c r="D20">
        <v>1</v>
      </c>
      <c r="E20" t="s">
        <v>77</v>
      </c>
      <c r="F20" t="s">
        <v>78</v>
      </c>
      <c r="G20" t="s">
        <v>79</v>
      </c>
      <c r="H20" t="s">
        <v>127</v>
      </c>
      <c r="I20" t="s">
        <v>72</v>
      </c>
      <c r="J20" t="s">
        <v>73</v>
      </c>
      <c r="K20" t="s">
        <v>74</v>
      </c>
      <c r="L20" t="s">
        <v>75</v>
      </c>
      <c r="M20" s="11">
        <v>49.68</v>
      </c>
      <c r="N20" s="11">
        <v>13.59</v>
      </c>
      <c r="O20" s="11">
        <v>6.24</v>
      </c>
      <c r="P20" s="11">
        <v>0.03</v>
      </c>
      <c r="Q20" s="11">
        <v>1.98</v>
      </c>
      <c r="R20" s="11">
        <v>1</v>
      </c>
      <c r="S20" s="11">
        <f t="shared" si="0"/>
        <v>49.68</v>
      </c>
      <c r="T20" s="11">
        <f t="shared" si="1"/>
        <v>13.59</v>
      </c>
      <c r="U20" s="11">
        <f t="shared" si="2"/>
        <v>6.24</v>
      </c>
      <c r="V20" s="11">
        <f t="shared" si="3"/>
        <v>1.49</v>
      </c>
      <c r="W20" s="11" t="s">
        <v>66</v>
      </c>
      <c r="X20" s="11">
        <v>0</v>
      </c>
      <c r="Y20" s="11">
        <f t="shared" si="4"/>
        <v>23.299999999999997</v>
      </c>
      <c r="Z20" s="11">
        <f t="shared" si="5"/>
        <v>26.380000000000003</v>
      </c>
      <c r="AA20" s="12">
        <f t="shared" si="6"/>
        <v>0.53099838969404189</v>
      </c>
      <c r="AB20" s="13">
        <f t="shared" si="7"/>
        <v>25.09090909090909</v>
      </c>
      <c r="AC20" t="s">
        <v>67</v>
      </c>
    </row>
    <row r="21" spans="1:29" ht="14.25" customHeight="1" x14ac:dyDescent="0.45">
      <c r="A21" t="s">
        <v>130</v>
      </c>
      <c r="B21" s="10">
        <v>45675</v>
      </c>
      <c r="C21">
        <v>2025</v>
      </c>
      <c r="D21">
        <v>1</v>
      </c>
      <c r="E21" t="s">
        <v>69</v>
      </c>
      <c r="F21" t="s">
        <v>70</v>
      </c>
      <c r="G21" t="s">
        <v>93</v>
      </c>
      <c r="H21" t="s">
        <v>86</v>
      </c>
      <c r="I21" t="s">
        <v>107</v>
      </c>
      <c r="J21" t="s">
        <v>108</v>
      </c>
      <c r="K21" t="s">
        <v>109</v>
      </c>
      <c r="L21" t="s">
        <v>110</v>
      </c>
      <c r="M21" s="11">
        <v>18.7</v>
      </c>
      <c r="N21" s="11">
        <v>3.67</v>
      </c>
      <c r="O21" s="11">
        <v>2.54</v>
      </c>
      <c r="P21" s="11">
        <v>0.03</v>
      </c>
      <c r="Q21" s="11">
        <v>19.91</v>
      </c>
      <c r="R21" s="11">
        <v>3</v>
      </c>
      <c r="S21" s="11">
        <f t="shared" si="0"/>
        <v>56.099999999999994</v>
      </c>
      <c r="T21" s="11">
        <f t="shared" si="1"/>
        <v>11.01</v>
      </c>
      <c r="U21" s="11">
        <f t="shared" si="2"/>
        <v>7.62</v>
      </c>
      <c r="V21" s="11">
        <f t="shared" si="3"/>
        <v>1.68</v>
      </c>
      <c r="W21" s="11" t="s">
        <v>66</v>
      </c>
      <c r="X21" s="11">
        <v>0</v>
      </c>
      <c r="Y21" s="11">
        <f t="shared" si="4"/>
        <v>40.22</v>
      </c>
      <c r="Z21" s="11">
        <f t="shared" si="5"/>
        <v>15.879999999999995</v>
      </c>
      <c r="AA21" s="12">
        <f t="shared" si="6"/>
        <v>0.28306595365418891</v>
      </c>
      <c r="AB21" s="13">
        <f t="shared" si="7"/>
        <v>2.8176795580110494</v>
      </c>
      <c r="AC21" t="s">
        <v>67</v>
      </c>
    </row>
    <row r="22" spans="1:29" ht="14.25" customHeight="1" x14ac:dyDescent="0.45">
      <c r="A22" t="s">
        <v>131</v>
      </c>
      <c r="B22" s="10">
        <v>45678</v>
      </c>
      <c r="C22">
        <v>2025</v>
      </c>
      <c r="D22">
        <v>1</v>
      </c>
      <c r="E22" t="s">
        <v>95</v>
      </c>
      <c r="F22" t="s">
        <v>96</v>
      </c>
      <c r="G22" t="s">
        <v>93</v>
      </c>
      <c r="H22" t="s">
        <v>127</v>
      </c>
      <c r="I22" t="s">
        <v>81</v>
      </c>
      <c r="J22" t="s">
        <v>82</v>
      </c>
      <c r="K22" t="s">
        <v>83</v>
      </c>
      <c r="L22" t="s">
        <v>84</v>
      </c>
      <c r="M22" s="11">
        <v>23.6</v>
      </c>
      <c r="N22" s="11">
        <v>6.07</v>
      </c>
      <c r="O22" s="11">
        <v>3.61</v>
      </c>
      <c r="P22" s="11">
        <v>0.03</v>
      </c>
      <c r="Q22" s="11">
        <v>2.25</v>
      </c>
      <c r="R22" s="11">
        <v>2</v>
      </c>
      <c r="S22" s="11">
        <f t="shared" si="0"/>
        <v>47.2</v>
      </c>
      <c r="T22" s="11">
        <f t="shared" si="1"/>
        <v>12.14</v>
      </c>
      <c r="U22" s="11">
        <f t="shared" si="2"/>
        <v>7.22</v>
      </c>
      <c r="V22" s="11">
        <f t="shared" si="3"/>
        <v>1.42</v>
      </c>
      <c r="W22" s="11" t="s">
        <v>66</v>
      </c>
      <c r="X22" s="11">
        <v>0</v>
      </c>
      <c r="Y22" s="11">
        <f t="shared" si="4"/>
        <v>23.03</v>
      </c>
      <c r="Z22" s="11">
        <f t="shared" si="5"/>
        <v>24.17</v>
      </c>
      <c r="AA22" s="12">
        <f t="shared" si="6"/>
        <v>0.51207627118644072</v>
      </c>
      <c r="AB22" s="13">
        <f t="shared" si="7"/>
        <v>20.977777777777778</v>
      </c>
      <c r="AC22" t="s">
        <v>67</v>
      </c>
    </row>
    <row r="23" spans="1:29" ht="14.25" customHeight="1" x14ac:dyDescent="0.45">
      <c r="A23" t="s">
        <v>132</v>
      </c>
      <c r="B23" s="10">
        <v>45680</v>
      </c>
      <c r="C23">
        <v>2025</v>
      </c>
      <c r="D23">
        <v>1</v>
      </c>
      <c r="E23" t="s">
        <v>122</v>
      </c>
      <c r="F23" t="s">
        <v>123</v>
      </c>
      <c r="G23" t="s">
        <v>105</v>
      </c>
      <c r="H23" t="s">
        <v>112</v>
      </c>
      <c r="I23" t="s">
        <v>133</v>
      </c>
      <c r="J23" t="s">
        <v>134</v>
      </c>
      <c r="K23" t="s">
        <v>135</v>
      </c>
      <c r="L23" t="s">
        <v>136</v>
      </c>
      <c r="M23" s="11">
        <v>16.170000000000002</v>
      </c>
      <c r="N23" s="11">
        <v>1.98</v>
      </c>
      <c r="O23" s="11">
        <v>1.97</v>
      </c>
      <c r="P23" s="11">
        <v>0.03</v>
      </c>
      <c r="Q23" s="11">
        <v>5.8</v>
      </c>
      <c r="R23" s="11">
        <v>1</v>
      </c>
      <c r="S23" s="11">
        <f t="shared" si="0"/>
        <v>16.170000000000002</v>
      </c>
      <c r="T23" s="11">
        <f t="shared" si="1"/>
        <v>1.98</v>
      </c>
      <c r="U23" s="11">
        <f t="shared" si="2"/>
        <v>1.97</v>
      </c>
      <c r="V23" s="11">
        <f t="shared" si="3"/>
        <v>0.49</v>
      </c>
      <c r="W23" s="11" t="s">
        <v>66</v>
      </c>
      <c r="X23" s="11">
        <v>0</v>
      </c>
      <c r="Y23" s="11">
        <f t="shared" si="4"/>
        <v>10.24</v>
      </c>
      <c r="Z23" s="11">
        <f t="shared" si="5"/>
        <v>5.9300000000000015</v>
      </c>
      <c r="AA23" s="12">
        <f t="shared" si="6"/>
        <v>0.36672850958565251</v>
      </c>
      <c r="AB23" s="13">
        <f t="shared" si="7"/>
        <v>2.7879310344827588</v>
      </c>
      <c r="AC23" t="s">
        <v>67</v>
      </c>
    </row>
    <row r="24" spans="1:29" ht="14.25" customHeight="1" x14ac:dyDescent="0.45">
      <c r="A24" t="s">
        <v>137</v>
      </c>
      <c r="B24" s="10">
        <v>45681</v>
      </c>
      <c r="C24">
        <v>2025</v>
      </c>
      <c r="D24">
        <v>1</v>
      </c>
      <c r="E24" t="s">
        <v>77</v>
      </c>
      <c r="F24" t="s">
        <v>78</v>
      </c>
      <c r="G24" t="s">
        <v>60</v>
      </c>
      <c r="H24" t="s">
        <v>112</v>
      </c>
      <c r="I24" t="s">
        <v>138</v>
      </c>
      <c r="J24" t="s">
        <v>139</v>
      </c>
      <c r="K24" t="s">
        <v>89</v>
      </c>
      <c r="L24" t="s">
        <v>140</v>
      </c>
      <c r="M24" s="11">
        <v>43.81</v>
      </c>
      <c r="N24" s="11">
        <v>8.61</v>
      </c>
      <c r="O24" s="11">
        <v>4.21</v>
      </c>
      <c r="P24" s="11">
        <v>0.03</v>
      </c>
      <c r="Q24" s="11">
        <v>2.85</v>
      </c>
      <c r="R24" s="11">
        <v>1</v>
      </c>
      <c r="S24" s="11">
        <f t="shared" si="0"/>
        <v>43.81</v>
      </c>
      <c r="T24" s="11">
        <f t="shared" si="1"/>
        <v>8.61</v>
      </c>
      <c r="U24" s="11">
        <f t="shared" si="2"/>
        <v>4.21</v>
      </c>
      <c r="V24" s="11">
        <f t="shared" si="3"/>
        <v>1.31</v>
      </c>
      <c r="W24" s="11" t="s">
        <v>66</v>
      </c>
      <c r="X24" s="11">
        <v>0</v>
      </c>
      <c r="Y24" s="11">
        <f t="shared" si="4"/>
        <v>16.98</v>
      </c>
      <c r="Z24" s="11">
        <f t="shared" si="5"/>
        <v>26.830000000000002</v>
      </c>
      <c r="AA24" s="12">
        <f t="shared" si="6"/>
        <v>0.61241725633417032</v>
      </c>
      <c r="AB24" s="13">
        <f t="shared" si="7"/>
        <v>15.371929824561404</v>
      </c>
      <c r="AC24" t="s">
        <v>67</v>
      </c>
    </row>
    <row r="25" spans="1:29" ht="14.25" customHeight="1" x14ac:dyDescent="0.45">
      <c r="A25" t="s">
        <v>141</v>
      </c>
      <c r="B25" s="10">
        <v>45683</v>
      </c>
      <c r="C25">
        <v>2025</v>
      </c>
      <c r="D25">
        <v>1</v>
      </c>
      <c r="E25" t="s">
        <v>95</v>
      </c>
      <c r="F25" t="s">
        <v>96</v>
      </c>
      <c r="G25" t="s">
        <v>126</v>
      </c>
      <c r="H25" t="s">
        <v>127</v>
      </c>
      <c r="I25" t="s">
        <v>72</v>
      </c>
      <c r="J25" t="s">
        <v>73</v>
      </c>
      <c r="K25" t="s">
        <v>74</v>
      </c>
      <c r="L25" t="s">
        <v>75</v>
      </c>
      <c r="M25" s="11">
        <v>44.19</v>
      </c>
      <c r="N25" s="11">
        <v>14.17</v>
      </c>
      <c r="O25" s="11">
        <v>6.31</v>
      </c>
      <c r="P25" s="11">
        <v>0.03</v>
      </c>
      <c r="Q25" s="11">
        <v>20.54</v>
      </c>
      <c r="R25" s="11">
        <v>2</v>
      </c>
      <c r="S25" s="11">
        <f t="shared" si="0"/>
        <v>88.38</v>
      </c>
      <c r="T25" s="11">
        <f t="shared" si="1"/>
        <v>28.34</v>
      </c>
      <c r="U25" s="11">
        <f t="shared" si="2"/>
        <v>12.62</v>
      </c>
      <c r="V25" s="11">
        <f t="shared" si="3"/>
        <v>2.65</v>
      </c>
      <c r="W25" s="11" t="s">
        <v>66</v>
      </c>
      <c r="X25" s="11">
        <v>0</v>
      </c>
      <c r="Y25" s="11">
        <f t="shared" si="4"/>
        <v>64.150000000000006</v>
      </c>
      <c r="Z25" s="11">
        <f t="shared" si="5"/>
        <v>24.22999999999999</v>
      </c>
      <c r="AA25" s="12">
        <f t="shared" si="6"/>
        <v>0.27415704910613253</v>
      </c>
      <c r="AB25" s="13">
        <f t="shared" si="7"/>
        <v>4.3028237585199607</v>
      </c>
      <c r="AC25" t="s">
        <v>67</v>
      </c>
    </row>
    <row r="26" spans="1:29" ht="14.25" customHeight="1" x14ac:dyDescent="0.45">
      <c r="A26" t="s">
        <v>142</v>
      </c>
      <c r="B26" s="10">
        <v>45684</v>
      </c>
      <c r="C26">
        <v>2025</v>
      </c>
      <c r="D26">
        <v>1</v>
      </c>
      <c r="E26" t="s">
        <v>95</v>
      </c>
      <c r="F26" t="s">
        <v>96</v>
      </c>
      <c r="G26" t="s">
        <v>126</v>
      </c>
      <c r="H26" t="s">
        <v>86</v>
      </c>
      <c r="I26" t="s">
        <v>133</v>
      </c>
      <c r="J26" t="s">
        <v>134</v>
      </c>
      <c r="K26" t="s">
        <v>135</v>
      </c>
      <c r="L26" t="s">
        <v>136</v>
      </c>
      <c r="M26" s="11">
        <v>16.73</v>
      </c>
      <c r="N26" s="11">
        <v>2.02</v>
      </c>
      <c r="O26" s="11">
        <v>2.1800000000000002</v>
      </c>
      <c r="P26" s="11">
        <v>0.03</v>
      </c>
      <c r="Q26" s="11">
        <v>3.74</v>
      </c>
      <c r="R26" s="11">
        <v>2</v>
      </c>
      <c r="S26" s="11">
        <f t="shared" si="0"/>
        <v>33.46</v>
      </c>
      <c r="T26" s="11">
        <f t="shared" si="1"/>
        <v>4.04</v>
      </c>
      <c r="U26" s="11">
        <f t="shared" si="2"/>
        <v>4.3600000000000003</v>
      </c>
      <c r="V26" s="11">
        <f t="shared" si="3"/>
        <v>1</v>
      </c>
      <c r="W26" s="11" t="s">
        <v>66</v>
      </c>
      <c r="X26" s="11">
        <v>0</v>
      </c>
      <c r="Y26" s="11">
        <f t="shared" si="4"/>
        <v>13.14</v>
      </c>
      <c r="Z26" s="11">
        <f t="shared" si="5"/>
        <v>20.32</v>
      </c>
      <c r="AA26" s="12">
        <f t="shared" si="6"/>
        <v>0.60729228930065748</v>
      </c>
      <c r="AB26" s="13">
        <f t="shared" si="7"/>
        <v>8.9465240641711219</v>
      </c>
      <c r="AC26" t="s">
        <v>67</v>
      </c>
    </row>
    <row r="27" spans="1:29" ht="14.25" customHeight="1" x14ac:dyDescent="0.45">
      <c r="A27" t="s">
        <v>143</v>
      </c>
      <c r="B27" s="10">
        <v>45685</v>
      </c>
      <c r="C27">
        <v>2025</v>
      </c>
      <c r="D27">
        <v>1</v>
      </c>
      <c r="E27" t="s">
        <v>58</v>
      </c>
      <c r="F27" t="s">
        <v>92</v>
      </c>
      <c r="G27" t="s">
        <v>105</v>
      </c>
      <c r="H27" t="s">
        <v>127</v>
      </c>
      <c r="I27" t="s">
        <v>138</v>
      </c>
      <c r="J27" t="s">
        <v>139</v>
      </c>
      <c r="K27" t="s">
        <v>89</v>
      </c>
      <c r="L27" t="s">
        <v>140</v>
      </c>
      <c r="M27" s="11">
        <v>43.14</v>
      </c>
      <c r="N27" s="11">
        <v>8.83</v>
      </c>
      <c r="O27" s="11">
        <v>4.57</v>
      </c>
      <c r="P27" s="11">
        <v>0.03</v>
      </c>
      <c r="Q27" s="11">
        <v>9.57</v>
      </c>
      <c r="R27" s="11">
        <v>1</v>
      </c>
      <c r="S27" s="11">
        <f t="shared" si="0"/>
        <v>43.14</v>
      </c>
      <c r="T27" s="11">
        <f t="shared" si="1"/>
        <v>8.83</v>
      </c>
      <c r="U27" s="11">
        <f t="shared" si="2"/>
        <v>4.57</v>
      </c>
      <c r="V27" s="11">
        <f t="shared" si="3"/>
        <v>1.29</v>
      </c>
      <c r="W27" s="11" t="s">
        <v>66</v>
      </c>
      <c r="X27" s="11">
        <v>0</v>
      </c>
      <c r="Y27" s="11">
        <f t="shared" si="4"/>
        <v>24.26</v>
      </c>
      <c r="Z27" s="11">
        <f t="shared" si="5"/>
        <v>18.88</v>
      </c>
      <c r="AA27" s="12">
        <f t="shared" si="6"/>
        <v>0.43764487714418171</v>
      </c>
      <c r="AB27" s="13">
        <f t="shared" si="7"/>
        <v>4.507836990595611</v>
      </c>
      <c r="AC27" t="s">
        <v>67</v>
      </c>
    </row>
    <row r="28" spans="1:29" ht="14.25" customHeight="1" x14ac:dyDescent="0.45">
      <c r="A28" t="s">
        <v>144</v>
      </c>
      <c r="B28" s="10">
        <v>45686</v>
      </c>
      <c r="C28">
        <v>2025</v>
      </c>
      <c r="D28">
        <v>1</v>
      </c>
      <c r="E28" t="s">
        <v>77</v>
      </c>
      <c r="F28" t="s">
        <v>78</v>
      </c>
      <c r="G28" t="s">
        <v>71</v>
      </c>
      <c r="H28" t="s">
        <v>86</v>
      </c>
      <c r="I28" t="s">
        <v>138</v>
      </c>
      <c r="J28" t="s">
        <v>139</v>
      </c>
      <c r="K28" t="s">
        <v>89</v>
      </c>
      <c r="L28" t="s">
        <v>140</v>
      </c>
      <c r="M28" s="11">
        <v>42.78</v>
      </c>
      <c r="N28" s="11">
        <v>8.43</v>
      </c>
      <c r="O28" s="11">
        <v>4.0599999999999996</v>
      </c>
      <c r="P28" s="11">
        <v>0.03</v>
      </c>
      <c r="Q28" s="11">
        <v>0</v>
      </c>
      <c r="R28" s="11">
        <v>1</v>
      </c>
      <c r="S28" s="11">
        <f t="shared" si="0"/>
        <v>42.78</v>
      </c>
      <c r="T28" s="11">
        <f t="shared" si="1"/>
        <v>8.43</v>
      </c>
      <c r="U28" s="11">
        <f t="shared" si="2"/>
        <v>4.0599999999999996</v>
      </c>
      <c r="V28" s="11">
        <f t="shared" si="3"/>
        <v>1.28</v>
      </c>
      <c r="W28" s="11" t="s">
        <v>66</v>
      </c>
      <c r="X28" s="11">
        <v>0</v>
      </c>
      <c r="Y28" s="11">
        <f t="shared" si="4"/>
        <v>13.769999999999998</v>
      </c>
      <c r="Z28" s="11">
        <f t="shared" si="5"/>
        <v>29.010000000000005</v>
      </c>
      <c r="AA28" s="12">
        <f t="shared" si="6"/>
        <v>0.67812061711079952</v>
      </c>
      <c r="AB28" s="13">
        <f t="shared" si="7"/>
        <v>0</v>
      </c>
      <c r="AC28" t="s">
        <v>67</v>
      </c>
    </row>
    <row r="29" spans="1:29" ht="14.25" customHeight="1" x14ac:dyDescent="0.45">
      <c r="A29" t="s">
        <v>145</v>
      </c>
      <c r="B29" s="10">
        <v>45687</v>
      </c>
      <c r="C29">
        <v>2025</v>
      </c>
      <c r="D29">
        <v>1</v>
      </c>
      <c r="E29" t="s">
        <v>58</v>
      </c>
      <c r="F29" t="s">
        <v>92</v>
      </c>
      <c r="G29" t="s">
        <v>105</v>
      </c>
      <c r="H29" t="s">
        <v>80</v>
      </c>
      <c r="I29" t="s">
        <v>81</v>
      </c>
      <c r="J29" t="s">
        <v>82</v>
      </c>
      <c r="K29" t="s">
        <v>83</v>
      </c>
      <c r="L29" t="s">
        <v>84</v>
      </c>
      <c r="M29" s="11">
        <v>23.41</v>
      </c>
      <c r="N29" s="11">
        <v>5.95</v>
      </c>
      <c r="O29" s="11">
        <v>3.59</v>
      </c>
      <c r="P29" s="11">
        <v>0.03</v>
      </c>
      <c r="Q29" s="11">
        <v>2.68</v>
      </c>
      <c r="R29" s="11">
        <v>2</v>
      </c>
      <c r="S29" s="11">
        <f t="shared" si="0"/>
        <v>46.82</v>
      </c>
      <c r="T29" s="11">
        <f t="shared" si="1"/>
        <v>11.9</v>
      </c>
      <c r="U29" s="11">
        <f t="shared" si="2"/>
        <v>7.18</v>
      </c>
      <c r="V29" s="11">
        <f t="shared" si="3"/>
        <v>1.4</v>
      </c>
      <c r="W29" s="11" t="s">
        <v>66</v>
      </c>
      <c r="X29" s="11">
        <v>0</v>
      </c>
      <c r="Y29" s="11">
        <f t="shared" si="4"/>
        <v>23.159999999999997</v>
      </c>
      <c r="Z29" s="11">
        <f t="shared" si="5"/>
        <v>23.660000000000004</v>
      </c>
      <c r="AA29" s="12">
        <f t="shared" si="6"/>
        <v>0.50533959846219567</v>
      </c>
      <c r="AB29" s="13">
        <f t="shared" si="7"/>
        <v>17.470149253731343</v>
      </c>
      <c r="AC29" t="s">
        <v>67</v>
      </c>
    </row>
    <row r="30" spans="1:29" ht="14.25" customHeight="1" x14ac:dyDescent="0.45">
      <c r="A30" t="s">
        <v>146</v>
      </c>
      <c r="B30" s="10">
        <v>45688</v>
      </c>
      <c r="C30">
        <v>2025</v>
      </c>
      <c r="D30">
        <v>1</v>
      </c>
      <c r="E30" t="s">
        <v>77</v>
      </c>
      <c r="F30" t="s">
        <v>78</v>
      </c>
      <c r="G30" t="s">
        <v>105</v>
      </c>
      <c r="H30" t="s">
        <v>112</v>
      </c>
      <c r="I30" t="s">
        <v>147</v>
      </c>
      <c r="J30" t="s">
        <v>148</v>
      </c>
      <c r="K30" t="s">
        <v>149</v>
      </c>
      <c r="L30" t="s">
        <v>150</v>
      </c>
      <c r="M30" s="11">
        <v>31.55</v>
      </c>
      <c r="N30" s="11">
        <v>7.03</v>
      </c>
      <c r="O30" s="11">
        <v>5.0199999999999996</v>
      </c>
      <c r="P30" s="11">
        <v>0.03</v>
      </c>
      <c r="Q30" s="11">
        <v>9.11</v>
      </c>
      <c r="R30" s="11">
        <v>2</v>
      </c>
      <c r="S30" s="11">
        <f t="shared" si="0"/>
        <v>63.1</v>
      </c>
      <c r="T30" s="11">
        <f t="shared" si="1"/>
        <v>14.06</v>
      </c>
      <c r="U30" s="11">
        <f t="shared" si="2"/>
        <v>10.039999999999999</v>
      </c>
      <c r="V30" s="11">
        <f t="shared" si="3"/>
        <v>1.89</v>
      </c>
      <c r="W30" s="11" t="s">
        <v>66</v>
      </c>
      <c r="X30" s="11">
        <v>0</v>
      </c>
      <c r="Y30" s="11">
        <f t="shared" si="4"/>
        <v>35.1</v>
      </c>
      <c r="Z30" s="11">
        <f t="shared" si="5"/>
        <v>28</v>
      </c>
      <c r="AA30" s="12">
        <f t="shared" si="6"/>
        <v>0.44374009508716322</v>
      </c>
      <c r="AB30" s="13">
        <f t="shared" si="7"/>
        <v>6.9264544456641062</v>
      </c>
      <c r="AC30" t="s">
        <v>67</v>
      </c>
    </row>
    <row r="31" spans="1:29" ht="14.25" customHeight="1" x14ac:dyDescent="0.45">
      <c r="A31" t="s">
        <v>151</v>
      </c>
      <c r="B31" s="10">
        <v>45688</v>
      </c>
      <c r="C31">
        <v>2025</v>
      </c>
      <c r="D31">
        <v>1</v>
      </c>
      <c r="E31" t="s">
        <v>122</v>
      </c>
      <c r="F31" t="s">
        <v>123</v>
      </c>
      <c r="G31" t="s">
        <v>93</v>
      </c>
      <c r="H31" t="s">
        <v>80</v>
      </c>
      <c r="I31" t="s">
        <v>133</v>
      </c>
      <c r="J31" t="s">
        <v>134</v>
      </c>
      <c r="K31" t="s">
        <v>135</v>
      </c>
      <c r="L31" t="s">
        <v>136</v>
      </c>
      <c r="M31" s="11">
        <v>15.35</v>
      </c>
      <c r="N31" s="11">
        <v>2.02</v>
      </c>
      <c r="O31" s="11">
        <v>2.02</v>
      </c>
      <c r="P31" s="11">
        <v>0.03</v>
      </c>
      <c r="Q31" s="11">
        <v>12.66</v>
      </c>
      <c r="R31" s="11">
        <v>3</v>
      </c>
      <c r="S31" s="11">
        <f t="shared" si="0"/>
        <v>46.05</v>
      </c>
      <c r="T31" s="11">
        <f t="shared" si="1"/>
        <v>6.0600000000000005</v>
      </c>
      <c r="U31" s="11">
        <f t="shared" si="2"/>
        <v>6.0600000000000005</v>
      </c>
      <c r="V31" s="11">
        <f t="shared" si="3"/>
        <v>1.38</v>
      </c>
      <c r="W31" s="11" t="s">
        <v>66</v>
      </c>
      <c r="X31" s="11">
        <v>0</v>
      </c>
      <c r="Y31" s="11">
        <f t="shared" si="4"/>
        <v>26.16</v>
      </c>
      <c r="Z31" s="11">
        <f t="shared" si="5"/>
        <v>19.889999999999997</v>
      </c>
      <c r="AA31" s="12">
        <f t="shared" si="6"/>
        <v>0.43192182410423446</v>
      </c>
      <c r="AB31" s="13">
        <f t="shared" si="7"/>
        <v>3.6374407582938386</v>
      </c>
      <c r="AC31" t="s">
        <v>67</v>
      </c>
    </row>
    <row r="32" spans="1:29" ht="14.25" customHeight="1" x14ac:dyDescent="0.45">
      <c r="A32" t="s">
        <v>152</v>
      </c>
      <c r="B32" s="10">
        <v>45688</v>
      </c>
      <c r="C32">
        <v>2025</v>
      </c>
      <c r="D32">
        <v>1</v>
      </c>
      <c r="E32" t="s">
        <v>95</v>
      </c>
      <c r="F32" t="s">
        <v>96</v>
      </c>
      <c r="G32" t="s">
        <v>93</v>
      </c>
      <c r="H32" t="s">
        <v>86</v>
      </c>
      <c r="I32" t="s">
        <v>62</v>
      </c>
      <c r="J32" t="s">
        <v>63</v>
      </c>
      <c r="K32" t="s">
        <v>64</v>
      </c>
      <c r="L32" t="s">
        <v>65</v>
      </c>
      <c r="M32" s="11">
        <v>31.41</v>
      </c>
      <c r="N32" s="11">
        <v>9.76</v>
      </c>
      <c r="O32" s="11">
        <v>3.84</v>
      </c>
      <c r="P32" s="11">
        <v>0.03</v>
      </c>
      <c r="Q32" s="11">
        <v>16.43</v>
      </c>
      <c r="R32" s="11">
        <v>2</v>
      </c>
      <c r="S32" s="11">
        <f t="shared" si="0"/>
        <v>62.82</v>
      </c>
      <c r="T32" s="11">
        <f t="shared" si="1"/>
        <v>19.52</v>
      </c>
      <c r="U32" s="11">
        <f t="shared" si="2"/>
        <v>7.68</v>
      </c>
      <c r="V32" s="11">
        <f t="shared" si="3"/>
        <v>1.88</v>
      </c>
      <c r="W32" s="11" t="s">
        <v>66</v>
      </c>
      <c r="X32" s="11">
        <v>0</v>
      </c>
      <c r="Y32" s="11">
        <f t="shared" si="4"/>
        <v>45.51</v>
      </c>
      <c r="Z32" s="11">
        <f t="shared" si="5"/>
        <v>17.310000000000002</v>
      </c>
      <c r="AA32" s="12">
        <f t="shared" si="6"/>
        <v>0.27554918815663804</v>
      </c>
      <c r="AB32" s="13">
        <f t="shared" si="7"/>
        <v>3.8234936092513694</v>
      </c>
      <c r="AC32" t="s">
        <v>67</v>
      </c>
    </row>
    <row r="33" spans="1:29" ht="14.25" customHeight="1" x14ac:dyDescent="0.45">
      <c r="A33" t="s">
        <v>153</v>
      </c>
      <c r="B33" s="10">
        <v>45689</v>
      </c>
      <c r="C33">
        <v>2025</v>
      </c>
      <c r="D33">
        <v>2</v>
      </c>
      <c r="E33" t="s">
        <v>77</v>
      </c>
      <c r="F33" t="s">
        <v>104</v>
      </c>
      <c r="G33" t="s">
        <v>126</v>
      </c>
      <c r="H33" t="s">
        <v>80</v>
      </c>
      <c r="I33" t="s">
        <v>133</v>
      </c>
      <c r="J33" t="s">
        <v>134</v>
      </c>
      <c r="K33" t="s">
        <v>135</v>
      </c>
      <c r="L33" t="s">
        <v>136</v>
      </c>
      <c r="M33" s="11">
        <v>15.14</v>
      </c>
      <c r="N33" s="11">
        <v>2.1</v>
      </c>
      <c r="O33" s="11">
        <v>1.87</v>
      </c>
      <c r="P33" s="11">
        <v>0.03</v>
      </c>
      <c r="Q33" s="11">
        <v>9.65</v>
      </c>
      <c r="R33" s="11">
        <v>1</v>
      </c>
      <c r="S33" s="11">
        <f t="shared" si="0"/>
        <v>15.14</v>
      </c>
      <c r="T33" s="11">
        <f t="shared" si="1"/>
        <v>2.1</v>
      </c>
      <c r="U33" s="11">
        <f t="shared" si="2"/>
        <v>1.87</v>
      </c>
      <c r="V33" s="11">
        <f t="shared" si="3"/>
        <v>0.45</v>
      </c>
      <c r="W33" s="11" t="s">
        <v>154</v>
      </c>
      <c r="X33" s="11">
        <v>7.2</v>
      </c>
      <c r="Y33" s="11">
        <f t="shared" si="4"/>
        <v>21.27</v>
      </c>
      <c r="Z33" s="11">
        <f t="shared" si="5"/>
        <v>-6.129999999999999</v>
      </c>
      <c r="AA33" s="12">
        <f t="shared" si="6"/>
        <v>-0.40488771466314388</v>
      </c>
      <c r="AB33" s="13">
        <f t="shared" si="7"/>
        <v>1.5689119170984456</v>
      </c>
      <c r="AC33" t="s">
        <v>155</v>
      </c>
    </row>
    <row r="34" spans="1:29" ht="14.25" customHeight="1" x14ac:dyDescent="0.45">
      <c r="A34" t="s">
        <v>156</v>
      </c>
      <c r="B34" s="10">
        <v>45691</v>
      </c>
      <c r="C34">
        <v>2025</v>
      </c>
      <c r="D34">
        <v>2</v>
      </c>
      <c r="E34" t="s">
        <v>58</v>
      </c>
      <c r="F34" t="s">
        <v>92</v>
      </c>
      <c r="G34" t="s">
        <v>105</v>
      </c>
      <c r="H34" t="s">
        <v>80</v>
      </c>
      <c r="I34" t="s">
        <v>62</v>
      </c>
      <c r="J34" t="s">
        <v>63</v>
      </c>
      <c r="K34" t="s">
        <v>64</v>
      </c>
      <c r="L34" t="s">
        <v>65</v>
      </c>
      <c r="M34" s="11">
        <v>32.03</v>
      </c>
      <c r="N34" s="11">
        <v>10.46</v>
      </c>
      <c r="O34" s="11">
        <v>4.21</v>
      </c>
      <c r="P34" s="11">
        <v>0.03</v>
      </c>
      <c r="Q34" s="11">
        <v>11.05</v>
      </c>
      <c r="R34" s="11">
        <v>3</v>
      </c>
      <c r="S34" s="11">
        <f t="shared" si="0"/>
        <v>96.09</v>
      </c>
      <c r="T34" s="11">
        <f t="shared" si="1"/>
        <v>31.380000000000003</v>
      </c>
      <c r="U34" s="11">
        <f t="shared" si="2"/>
        <v>12.629999999999999</v>
      </c>
      <c r="V34" s="11">
        <f t="shared" si="3"/>
        <v>2.88</v>
      </c>
      <c r="W34" s="11" t="s">
        <v>66</v>
      </c>
      <c r="X34" s="11">
        <v>0</v>
      </c>
      <c r="Y34" s="11">
        <f t="shared" si="4"/>
        <v>57.940000000000012</v>
      </c>
      <c r="Z34" s="11">
        <f t="shared" si="5"/>
        <v>38.149999999999991</v>
      </c>
      <c r="AA34" s="12">
        <f t="shared" si="6"/>
        <v>0.39702362368612748</v>
      </c>
      <c r="AB34" s="13">
        <f t="shared" si="7"/>
        <v>8.6959276018099541</v>
      </c>
      <c r="AC34" t="s">
        <v>67</v>
      </c>
    </row>
    <row r="35" spans="1:29" ht="14.25" customHeight="1" x14ac:dyDescent="0.45">
      <c r="A35" t="s">
        <v>157</v>
      </c>
      <c r="B35" s="10">
        <v>45692</v>
      </c>
      <c r="C35">
        <v>2025</v>
      </c>
      <c r="D35">
        <v>2</v>
      </c>
      <c r="E35" t="s">
        <v>77</v>
      </c>
      <c r="F35" t="s">
        <v>104</v>
      </c>
      <c r="G35" t="s">
        <v>71</v>
      </c>
      <c r="H35" t="s">
        <v>80</v>
      </c>
      <c r="I35" t="s">
        <v>72</v>
      </c>
      <c r="J35" t="s">
        <v>73</v>
      </c>
      <c r="K35" t="s">
        <v>74</v>
      </c>
      <c r="L35" t="s">
        <v>75</v>
      </c>
      <c r="M35" s="11">
        <v>41.78</v>
      </c>
      <c r="N35" s="11">
        <v>14.5</v>
      </c>
      <c r="O35" s="11">
        <v>6.59</v>
      </c>
      <c r="P35" s="11">
        <v>0.03</v>
      </c>
      <c r="Q35" s="11">
        <v>0</v>
      </c>
      <c r="R35" s="11">
        <v>3</v>
      </c>
      <c r="S35" s="11">
        <f t="shared" si="0"/>
        <v>125.34</v>
      </c>
      <c r="T35" s="11">
        <f t="shared" si="1"/>
        <v>43.5</v>
      </c>
      <c r="U35" s="11">
        <f t="shared" si="2"/>
        <v>19.77</v>
      </c>
      <c r="V35" s="11">
        <f t="shared" si="3"/>
        <v>3.76</v>
      </c>
      <c r="W35" s="11" t="s">
        <v>66</v>
      </c>
      <c r="X35" s="11">
        <v>0</v>
      </c>
      <c r="Y35" s="11">
        <f t="shared" si="4"/>
        <v>67.03</v>
      </c>
      <c r="Z35" s="11">
        <f t="shared" si="5"/>
        <v>58.31</v>
      </c>
      <c r="AA35" s="12">
        <f t="shared" si="6"/>
        <v>0.46521461624381683</v>
      </c>
      <c r="AB35" s="13">
        <f t="shared" si="7"/>
        <v>0</v>
      </c>
      <c r="AC35" t="s">
        <v>67</v>
      </c>
    </row>
    <row r="36" spans="1:29" ht="14.25" customHeight="1" x14ac:dyDescent="0.45">
      <c r="A36" t="s">
        <v>158</v>
      </c>
      <c r="B36" s="10">
        <v>45692</v>
      </c>
      <c r="C36">
        <v>2025</v>
      </c>
      <c r="D36">
        <v>2</v>
      </c>
      <c r="E36" t="s">
        <v>77</v>
      </c>
      <c r="F36" t="s">
        <v>104</v>
      </c>
      <c r="G36" t="s">
        <v>79</v>
      </c>
      <c r="H36" t="s">
        <v>112</v>
      </c>
      <c r="I36" t="s">
        <v>62</v>
      </c>
      <c r="J36" t="s">
        <v>63</v>
      </c>
      <c r="K36" t="s">
        <v>64</v>
      </c>
      <c r="L36" t="s">
        <v>65</v>
      </c>
      <c r="M36" s="11">
        <v>32.19</v>
      </c>
      <c r="N36" s="11">
        <v>9.83</v>
      </c>
      <c r="O36" s="11">
        <v>4.0999999999999996</v>
      </c>
      <c r="P36" s="11">
        <v>0.03</v>
      </c>
      <c r="Q36" s="11">
        <v>10.31</v>
      </c>
      <c r="R36" s="11">
        <v>1</v>
      </c>
      <c r="S36" s="11">
        <f t="shared" si="0"/>
        <v>32.19</v>
      </c>
      <c r="T36" s="11">
        <f t="shared" si="1"/>
        <v>9.83</v>
      </c>
      <c r="U36" s="11">
        <f t="shared" si="2"/>
        <v>4.0999999999999996</v>
      </c>
      <c r="V36" s="11">
        <f t="shared" si="3"/>
        <v>0.97</v>
      </c>
      <c r="W36" s="11" t="s">
        <v>66</v>
      </c>
      <c r="X36" s="11">
        <v>0</v>
      </c>
      <c r="Y36" s="11">
        <f t="shared" si="4"/>
        <v>25.21</v>
      </c>
      <c r="Z36" s="11">
        <f t="shared" si="5"/>
        <v>6.9799999999999969</v>
      </c>
      <c r="AA36" s="12">
        <f t="shared" si="6"/>
        <v>0.21683752718235469</v>
      </c>
      <c r="AB36" s="13">
        <f t="shared" si="7"/>
        <v>3.1222114451988356</v>
      </c>
      <c r="AC36" t="s">
        <v>67</v>
      </c>
    </row>
    <row r="37" spans="1:29" ht="14.25" customHeight="1" x14ac:dyDescent="0.45">
      <c r="A37" t="s">
        <v>159</v>
      </c>
      <c r="B37" s="10">
        <v>45694</v>
      </c>
      <c r="C37">
        <v>2025</v>
      </c>
      <c r="D37">
        <v>2</v>
      </c>
      <c r="E37" t="s">
        <v>58</v>
      </c>
      <c r="F37" t="s">
        <v>59</v>
      </c>
      <c r="G37" t="s">
        <v>93</v>
      </c>
      <c r="H37" t="s">
        <v>80</v>
      </c>
      <c r="I37" t="s">
        <v>81</v>
      </c>
      <c r="J37" t="s">
        <v>82</v>
      </c>
      <c r="K37" t="s">
        <v>83</v>
      </c>
      <c r="L37" t="s">
        <v>84</v>
      </c>
      <c r="M37" s="11">
        <v>25.43</v>
      </c>
      <c r="N37" s="11">
        <v>6.39</v>
      </c>
      <c r="O37" s="11">
        <v>3.55</v>
      </c>
      <c r="P37" s="11">
        <v>0.03</v>
      </c>
      <c r="Q37" s="11">
        <v>6.71</v>
      </c>
      <c r="R37" s="11">
        <v>1</v>
      </c>
      <c r="S37" s="11">
        <f t="shared" si="0"/>
        <v>25.43</v>
      </c>
      <c r="T37" s="11">
        <f t="shared" si="1"/>
        <v>6.39</v>
      </c>
      <c r="U37" s="11">
        <f t="shared" si="2"/>
        <v>3.55</v>
      </c>
      <c r="V37" s="11">
        <f t="shared" si="3"/>
        <v>0.76</v>
      </c>
      <c r="W37" s="11" t="s">
        <v>66</v>
      </c>
      <c r="X37" s="11">
        <v>0</v>
      </c>
      <c r="Y37" s="11">
        <f t="shared" si="4"/>
        <v>17.41</v>
      </c>
      <c r="Z37" s="11">
        <f t="shared" si="5"/>
        <v>8.02</v>
      </c>
      <c r="AA37" s="12">
        <f t="shared" si="6"/>
        <v>0.31537554069996065</v>
      </c>
      <c r="AB37" s="13">
        <f t="shared" si="7"/>
        <v>3.7898658718330851</v>
      </c>
      <c r="AC37" t="s">
        <v>67</v>
      </c>
    </row>
    <row r="38" spans="1:29" ht="14.25" customHeight="1" x14ac:dyDescent="0.45">
      <c r="A38" t="s">
        <v>160</v>
      </c>
      <c r="B38" s="10">
        <v>45694</v>
      </c>
      <c r="C38">
        <v>2025</v>
      </c>
      <c r="D38">
        <v>2</v>
      </c>
      <c r="E38" t="s">
        <v>58</v>
      </c>
      <c r="F38" t="s">
        <v>92</v>
      </c>
      <c r="G38" t="s">
        <v>60</v>
      </c>
      <c r="H38" t="s">
        <v>80</v>
      </c>
      <c r="I38" t="s">
        <v>97</v>
      </c>
      <c r="J38" t="s">
        <v>98</v>
      </c>
      <c r="K38" t="s">
        <v>99</v>
      </c>
      <c r="L38" t="s">
        <v>100</v>
      </c>
      <c r="M38" s="11">
        <v>31.5</v>
      </c>
      <c r="N38" s="11">
        <v>8.85</v>
      </c>
      <c r="O38" s="11">
        <v>3.85</v>
      </c>
      <c r="P38" s="11">
        <v>0.03</v>
      </c>
      <c r="Q38" s="11">
        <v>14.87</v>
      </c>
      <c r="R38" s="11">
        <v>2</v>
      </c>
      <c r="S38" s="11">
        <f t="shared" si="0"/>
        <v>63</v>
      </c>
      <c r="T38" s="11">
        <f t="shared" si="1"/>
        <v>17.7</v>
      </c>
      <c r="U38" s="11">
        <f t="shared" si="2"/>
        <v>7.7</v>
      </c>
      <c r="V38" s="11">
        <f t="shared" si="3"/>
        <v>1.89</v>
      </c>
      <c r="W38" s="11" t="s">
        <v>66</v>
      </c>
      <c r="X38" s="11">
        <v>0</v>
      </c>
      <c r="Y38" s="11">
        <f t="shared" si="4"/>
        <v>42.16</v>
      </c>
      <c r="Z38" s="11">
        <f t="shared" si="5"/>
        <v>20.840000000000003</v>
      </c>
      <c r="AA38" s="12">
        <f t="shared" si="6"/>
        <v>0.33079365079365086</v>
      </c>
      <c r="AB38" s="13">
        <f t="shared" si="7"/>
        <v>4.2367182246133153</v>
      </c>
      <c r="AC38" t="s">
        <v>67</v>
      </c>
    </row>
    <row r="39" spans="1:29" ht="14.25" customHeight="1" x14ac:dyDescent="0.45">
      <c r="A39" t="s">
        <v>161</v>
      </c>
      <c r="B39" s="10">
        <v>45695</v>
      </c>
      <c r="C39">
        <v>2025</v>
      </c>
      <c r="D39">
        <v>2</v>
      </c>
      <c r="E39" t="s">
        <v>69</v>
      </c>
      <c r="F39" t="s">
        <v>70</v>
      </c>
      <c r="G39" t="s">
        <v>93</v>
      </c>
      <c r="H39" t="s">
        <v>112</v>
      </c>
      <c r="I39" t="s">
        <v>138</v>
      </c>
      <c r="J39" t="s">
        <v>139</v>
      </c>
      <c r="K39" t="s">
        <v>89</v>
      </c>
      <c r="L39" t="s">
        <v>140</v>
      </c>
      <c r="M39" s="11">
        <v>44.13</v>
      </c>
      <c r="N39" s="11">
        <v>8.48</v>
      </c>
      <c r="O39" s="11">
        <v>3.92</v>
      </c>
      <c r="P39" s="11">
        <v>0.03</v>
      </c>
      <c r="Q39" s="11">
        <v>3.98</v>
      </c>
      <c r="R39" s="11">
        <v>1</v>
      </c>
      <c r="S39" s="11">
        <f t="shared" si="0"/>
        <v>44.13</v>
      </c>
      <c r="T39" s="11">
        <f t="shared" si="1"/>
        <v>8.48</v>
      </c>
      <c r="U39" s="11">
        <f t="shared" si="2"/>
        <v>3.92</v>
      </c>
      <c r="V39" s="11">
        <f t="shared" si="3"/>
        <v>1.32</v>
      </c>
      <c r="W39" s="11" t="s">
        <v>66</v>
      </c>
      <c r="X39" s="11">
        <v>0</v>
      </c>
      <c r="Y39" s="11">
        <f t="shared" si="4"/>
        <v>17.7</v>
      </c>
      <c r="Z39" s="11">
        <f t="shared" si="5"/>
        <v>26.430000000000003</v>
      </c>
      <c r="AA39" s="12">
        <f t="shared" si="6"/>
        <v>0.59891230455472466</v>
      </c>
      <c r="AB39" s="13">
        <f t="shared" si="7"/>
        <v>11.087939698492463</v>
      </c>
      <c r="AC39" t="s">
        <v>67</v>
      </c>
    </row>
    <row r="40" spans="1:29" ht="14.25" customHeight="1" x14ac:dyDescent="0.45">
      <c r="A40" t="s">
        <v>162</v>
      </c>
      <c r="B40" s="10">
        <v>45695</v>
      </c>
      <c r="C40">
        <v>2025</v>
      </c>
      <c r="D40">
        <v>2</v>
      </c>
      <c r="E40" t="s">
        <v>58</v>
      </c>
      <c r="F40" t="s">
        <v>59</v>
      </c>
      <c r="G40" t="s">
        <v>71</v>
      </c>
      <c r="H40" t="s">
        <v>127</v>
      </c>
      <c r="I40" t="s">
        <v>147</v>
      </c>
      <c r="J40" t="s">
        <v>148</v>
      </c>
      <c r="K40" t="s">
        <v>149</v>
      </c>
      <c r="L40" t="s">
        <v>150</v>
      </c>
      <c r="M40" s="11">
        <v>28.29</v>
      </c>
      <c r="N40" s="11">
        <v>7.51</v>
      </c>
      <c r="O40" s="11">
        <v>5.14</v>
      </c>
      <c r="P40" s="11">
        <v>0.03</v>
      </c>
      <c r="Q40" s="11">
        <v>0</v>
      </c>
      <c r="R40" s="11">
        <v>2</v>
      </c>
      <c r="S40" s="11">
        <f t="shared" si="0"/>
        <v>56.58</v>
      </c>
      <c r="T40" s="11">
        <f t="shared" si="1"/>
        <v>15.02</v>
      </c>
      <c r="U40" s="11">
        <f t="shared" si="2"/>
        <v>10.28</v>
      </c>
      <c r="V40" s="11">
        <f t="shared" si="3"/>
        <v>1.7</v>
      </c>
      <c r="W40" s="11" t="s">
        <v>66</v>
      </c>
      <c r="X40" s="11">
        <v>0</v>
      </c>
      <c r="Y40" s="11">
        <f t="shared" si="4"/>
        <v>26.999999999999996</v>
      </c>
      <c r="Z40" s="11">
        <f t="shared" si="5"/>
        <v>29.580000000000002</v>
      </c>
      <c r="AA40" s="12">
        <f t="shared" si="6"/>
        <v>0.52279957582184522</v>
      </c>
      <c r="AB40" s="13">
        <f t="shared" si="7"/>
        <v>0</v>
      </c>
      <c r="AC40" t="s">
        <v>67</v>
      </c>
    </row>
    <row r="41" spans="1:29" ht="14.25" customHeight="1" x14ac:dyDescent="0.45">
      <c r="A41" t="s">
        <v>163</v>
      </c>
      <c r="B41" s="10">
        <v>45696</v>
      </c>
      <c r="C41">
        <v>2025</v>
      </c>
      <c r="D41">
        <v>2</v>
      </c>
      <c r="E41" t="s">
        <v>77</v>
      </c>
      <c r="F41" t="s">
        <v>78</v>
      </c>
      <c r="G41" t="s">
        <v>93</v>
      </c>
      <c r="H41" t="s">
        <v>127</v>
      </c>
      <c r="I41" t="s">
        <v>107</v>
      </c>
      <c r="J41" t="s">
        <v>108</v>
      </c>
      <c r="K41" t="s">
        <v>109</v>
      </c>
      <c r="L41" t="s">
        <v>110</v>
      </c>
      <c r="M41" s="11">
        <v>21.66</v>
      </c>
      <c r="N41" s="11">
        <v>3.41</v>
      </c>
      <c r="O41" s="11">
        <v>2.2799999999999998</v>
      </c>
      <c r="P41" s="11">
        <v>0.03</v>
      </c>
      <c r="Q41" s="11">
        <v>4.08</v>
      </c>
      <c r="R41" s="11">
        <v>1</v>
      </c>
      <c r="S41" s="11">
        <f t="shared" si="0"/>
        <v>21.66</v>
      </c>
      <c r="T41" s="11">
        <f t="shared" si="1"/>
        <v>3.41</v>
      </c>
      <c r="U41" s="11">
        <f t="shared" si="2"/>
        <v>2.2799999999999998</v>
      </c>
      <c r="V41" s="11">
        <f t="shared" si="3"/>
        <v>0.65</v>
      </c>
      <c r="W41" s="11" t="s">
        <v>66</v>
      </c>
      <c r="X41" s="11">
        <v>0</v>
      </c>
      <c r="Y41" s="11">
        <f t="shared" si="4"/>
        <v>10.42</v>
      </c>
      <c r="Z41" s="11">
        <f t="shared" si="5"/>
        <v>11.24</v>
      </c>
      <c r="AA41" s="12">
        <f t="shared" si="6"/>
        <v>0.51892890120036939</v>
      </c>
      <c r="AB41" s="13">
        <f t="shared" si="7"/>
        <v>5.3088235294117645</v>
      </c>
      <c r="AC41" t="s">
        <v>67</v>
      </c>
    </row>
    <row r="42" spans="1:29" ht="14.25" customHeight="1" x14ac:dyDescent="0.45">
      <c r="A42" t="s">
        <v>164</v>
      </c>
      <c r="B42" s="10">
        <v>45696</v>
      </c>
      <c r="C42">
        <v>2025</v>
      </c>
      <c r="D42">
        <v>2</v>
      </c>
      <c r="E42" t="s">
        <v>95</v>
      </c>
      <c r="F42" t="s">
        <v>96</v>
      </c>
      <c r="G42" t="s">
        <v>71</v>
      </c>
      <c r="H42" t="s">
        <v>61</v>
      </c>
      <c r="I42" t="s">
        <v>133</v>
      </c>
      <c r="J42" t="s">
        <v>134</v>
      </c>
      <c r="K42" t="s">
        <v>135</v>
      </c>
      <c r="L42" t="s">
        <v>136</v>
      </c>
      <c r="M42" s="11">
        <v>15.65</v>
      </c>
      <c r="N42" s="11">
        <v>2.12</v>
      </c>
      <c r="O42" s="11">
        <v>2.1</v>
      </c>
      <c r="P42" s="11">
        <v>0.03</v>
      </c>
      <c r="Q42" s="11">
        <v>0</v>
      </c>
      <c r="R42" s="11">
        <v>2</v>
      </c>
      <c r="S42" s="11">
        <f t="shared" si="0"/>
        <v>31.3</v>
      </c>
      <c r="T42" s="11">
        <f t="shared" si="1"/>
        <v>4.24</v>
      </c>
      <c r="U42" s="11">
        <f t="shared" si="2"/>
        <v>4.2</v>
      </c>
      <c r="V42" s="11">
        <f t="shared" si="3"/>
        <v>0.94</v>
      </c>
      <c r="W42" s="11" t="s">
        <v>66</v>
      </c>
      <c r="X42" s="11">
        <v>0</v>
      </c>
      <c r="Y42" s="11">
        <f t="shared" si="4"/>
        <v>9.3800000000000008</v>
      </c>
      <c r="Z42" s="11">
        <f t="shared" si="5"/>
        <v>21.92</v>
      </c>
      <c r="AA42" s="12">
        <f t="shared" si="6"/>
        <v>0.70031948881789141</v>
      </c>
      <c r="AB42" s="13">
        <f t="shared" si="7"/>
        <v>0</v>
      </c>
      <c r="AC42" t="s">
        <v>67</v>
      </c>
    </row>
    <row r="43" spans="1:29" ht="14.25" customHeight="1" x14ac:dyDescent="0.45">
      <c r="A43" t="s">
        <v>165</v>
      </c>
      <c r="B43" s="10">
        <v>45696</v>
      </c>
      <c r="C43">
        <v>2025</v>
      </c>
      <c r="D43">
        <v>2</v>
      </c>
      <c r="E43" t="s">
        <v>95</v>
      </c>
      <c r="F43" t="s">
        <v>96</v>
      </c>
      <c r="G43" t="s">
        <v>71</v>
      </c>
      <c r="H43" t="s">
        <v>127</v>
      </c>
      <c r="I43" t="s">
        <v>72</v>
      </c>
      <c r="J43" t="s">
        <v>73</v>
      </c>
      <c r="K43" t="s">
        <v>74</v>
      </c>
      <c r="L43" t="s">
        <v>75</v>
      </c>
      <c r="M43" s="11">
        <v>42.47</v>
      </c>
      <c r="N43" s="11">
        <v>14.9</v>
      </c>
      <c r="O43" s="11">
        <v>7.41</v>
      </c>
      <c r="P43" s="11">
        <v>0.03</v>
      </c>
      <c r="Q43" s="11">
        <v>0</v>
      </c>
      <c r="R43" s="11">
        <v>2</v>
      </c>
      <c r="S43" s="11">
        <f t="shared" si="0"/>
        <v>0</v>
      </c>
      <c r="T43" s="11">
        <f t="shared" si="1"/>
        <v>0</v>
      </c>
      <c r="U43" s="11">
        <f t="shared" si="2"/>
        <v>0</v>
      </c>
      <c r="V43" s="11">
        <f t="shared" si="3"/>
        <v>0</v>
      </c>
      <c r="W43" s="11" t="s">
        <v>66</v>
      </c>
      <c r="X43" s="11">
        <v>0</v>
      </c>
      <c r="Y43" s="11">
        <f t="shared" si="4"/>
        <v>0</v>
      </c>
      <c r="Z43" s="11">
        <f t="shared" si="5"/>
        <v>0</v>
      </c>
      <c r="AA43" s="12">
        <f t="shared" si="6"/>
        <v>0</v>
      </c>
      <c r="AB43" s="13">
        <f t="shared" si="7"/>
        <v>0</v>
      </c>
      <c r="AC43" t="s">
        <v>166</v>
      </c>
    </row>
    <row r="44" spans="1:29" ht="14.25" customHeight="1" x14ac:dyDescent="0.45">
      <c r="A44" t="s">
        <v>167</v>
      </c>
      <c r="B44" s="10">
        <v>45697</v>
      </c>
      <c r="C44">
        <v>2025</v>
      </c>
      <c r="D44">
        <v>2</v>
      </c>
      <c r="E44" t="s">
        <v>77</v>
      </c>
      <c r="F44" t="s">
        <v>78</v>
      </c>
      <c r="G44" t="s">
        <v>79</v>
      </c>
      <c r="H44" t="s">
        <v>127</v>
      </c>
      <c r="I44" t="s">
        <v>133</v>
      </c>
      <c r="J44" t="s">
        <v>134</v>
      </c>
      <c r="K44" t="s">
        <v>135</v>
      </c>
      <c r="L44" t="s">
        <v>136</v>
      </c>
      <c r="M44" s="11">
        <v>15.87</v>
      </c>
      <c r="N44" s="11">
        <v>2.12</v>
      </c>
      <c r="O44" s="11">
        <v>2.23</v>
      </c>
      <c r="P44" s="11">
        <v>0.03</v>
      </c>
      <c r="Q44" s="11">
        <v>8.1300000000000008</v>
      </c>
      <c r="R44" s="11">
        <v>1</v>
      </c>
      <c r="S44" s="11">
        <f t="shared" si="0"/>
        <v>15.87</v>
      </c>
      <c r="T44" s="11">
        <f t="shared" si="1"/>
        <v>2.12</v>
      </c>
      <c r="U44" s="11">
        <f t="shared" si="2"/>
        <v>2.23</v>
      </c>
      <c r="V44" s="11">
        <f t="shared" si="3"/>
        <v>0.48</v>
      </c>
      <c r="W44" s="11" t="s">
        <v>66</v>
      </c>
      <c r="X44" s="11">
        <v>0</v>
      </c>
      <c r="Y44" s="11">
        <f t="shared" si="4"/>
        <v>12.96</v>
      </c>
      <c r="Z44" s="11">
        <f t="shared" si="5"/>
        <v>2.9099999999999984</v>
      </c>
      <c r="AA44" s="12">
        <f t="shared" si="6"/>
        <v>0.18336483931947062</v>
      </c>
      <c r="AB44" s="13">
        <f t="shared" si="7"/>
        <v>1.9520295202952027</v>
      </c>
      <c r="AC44" t="s">
        <v>67</v>
      </c>
    </row>
    <row r="45" spans="1:29" ht="14.25" customHeight="1" x14ac:dyDescent="0.45">
      <c r="A45" t="s">
        <v>168</v>
      </c>
      <c r="B45" s="10">
        <v>45697</v>
      </c>
      <c r="C45">
        <v>2025</v>
      </c>
      <c r="D45">
        <v>2</v>
      </c>
      <c r="E45" t="s">
        <v>58</v>
      </c>
      <c r="F45" t="s">
        <v>92</v>
      </c>
      <c r="G45" t="s">
        <v>105</v>
      </c>
      <c r="H45" t="s">
        <v>86</v>
      </c>
      <c r="I45" t="s">
        <v>133</v>
      </c>
      <c r="J45" t="s">
        <v>134</v>
      </c>
      <c r="K45" t="s">
        <v>135</v>
      </c>
      <c r="L45" t="s">
        <v>136</v>
      </c>
      <c r="M45" s="11">
        <v>13.99</v>
      </c>
      <c r="N45" s="11">
        <v>2.14</v>
      </c>
      <c r="O45" s="11">
        <v>1.99</v>
      </c>
      <c r="P45" s="11">
        <v>0.03</v>
      </c>
      <c r="Q45" s="11">
        <v>4.37</v>
      </c>
      <c r="R45" s="11">
        <v>1</v>
      </c>
      <c r="S45" s="11">
        <f t="shared" si="0"/>
        <v>13.99</v>
      </c>
      <c r="T45" s="11">
        <f t="shared" si="1"/>
        <v>2.14</v>
      </c>
      <c r="U45" s="11">
        <f t="shared" si="2"/>
        <v>1.99</v>
      </c>
      <c r="V45" s="11">
        <f t="shared" si="3"/>
        <v>0.42</v>
      </c>
      <c r="W45" s="11" t="s">
        <v>66</v>
      </c>
      <c r="X45" s="11">
        <v>0</v>
      </c>
      <c r="Y45" s="11">
        <f t="shared" si="4"/>
        <v>8.92</v>
      </c>
      <c r="Z45" s="11">
        <f t="shared" si="5"/>
        <v>5.07</v>
      </c>
      <c r="AA45" s="12">
        <f t="shared" si="6"/>
        <v>0.36240171551107936</v>
      </c>
      <c r="AB45" s="13">
        <f t="shared" si="7"/>
        <v>3.2013729977116703</v>
      </c>
      <c r="AC45" t="s">
        <v>67</v>
      </c>
    </row>
    <row r="46" spans="1:29" ht="14.25" customHeight="1" x14ac:dyDescent="0.45">
      <c r="A46" t="s">
        <v>169</v>
      </c>
      <c r="B46" s="10">
        <v>45700</v>
      </c>
      <c r="C46">
        <v>2025</v>
      </c>
      <c r="D46">
        <v>2</v>
      </c>
      <c r="E46" t="s">
        <v>77</v>
      </c>
      <c r="F46" t="s">
        <v>78</v>
      </c>
      <c r="G46" t="s">
        <v>105</v>
      </c>
      <c r="H46" t="s">
        <v>80</v>
      </c>
      <c r="I46" t="s">
        <v>133</v>
      </c>
      <c r="J46" t="s">
        <v>134</v>
      </c>
      <c r="K46" t="s">
        <v>135</v>
      </c>
      <c r="L46" t="s">
        <v>136</v>
      </c>
      <c r="M46" s="11">
        <v>13.93</v>
      </c>
      <c r="N46" s="11">
        <v>2.0699999999999998</v>
      </c>
      <c r="O46" s="11">
        <v>1.92</v>
      </c>
      <c r="P46" s="11">
        <v>0.03</v>
      </c>
      <c r="Q46" s="11">
        <v>18.97</v>
      </c>
      <c r="R46" s="11">
        <v>2</v>
      </c>
      <c r="S46" s="11">
        <f t="shared" si="0"/>
        <v>27.86</v>
      </c>
      <c r="T46" s="11">
        <f t="shared" si="1"/>
        <v>4.1399999999999997</v>
      </c>
      <c r="U46" s="11">
        <f t="shared" si="2"/>
        <v>3.84</v>
      </c>
      <c r="V46" s="11">
        <f t="shared" si="3"/>
        <v>0.84</v>
      </c>
      <c r="W46" s="11" t="s">
        <v>66</v>
      </c>
      <c r="X46" s="11">
        <v>0</v>
      </c>
      <c r="Y46" s="11">
        <f t="shared" si="4"/>
        <v>27.79</v>
      </c>
      <c r="Z46" s="11">
        <f t="shared" si="5"/>
        <v>7.0000000000000284E-2</v>
      </c>
      <c r="AA46" s="12">
        <f t="shared" si="6"/>
        <v>2.5125628140703622E-3</v>
      </c>
      <c r="AB46" s="13">
        <f t="shared" si="7"/>
        <v>1.4686346863468636</v>
      </c>
      <c r="AC46" t="s">
        <v>67</v>
      </c>
    </row>
    <row r="47" spans="1:29" ht="14.25" customHeight="1" x14ac:dyDescent="0.45">
      <c r="A47" t="s">
        <v>170</v>
      </c>
      <c r="B47" s="10">
        <v>45701</v>
      </c>
      <c r="C47">
        <v>2025</v>
      </c>
      <c r="D47">
        <v>2</v>
      </c>
      <c r="E47" t="s">
        <v>58</v>
      </c>
      <c r="F47" t="s">
        <v>59</v>
      </c>
      <c r="G47" t="s">
        <v>60</v>
      </c>
      <c r="H47" t="s">
        <v>61</v>
      </c>
      <c r="I47" t="s">
        <v>87</v>
      </c>
      <c r="J47" t="s">
        <v>88</v>
      </c>
      <c r="K47" t="s">
        <v>89</v>
      </c>
      <c r="L47" t="s">
        <v>90</v>
      </c>
      <c r="M47" s="11">
        <v>62.56</v>
      </c>
      <c r="N47" s="11">
        <v>21.72</v>
      </c>
      <c r="O47" s="11">
        <v>7.15</v>
      </c>
      <c r="P47" s="11">
        <v>0.03</v>
      </c>
      <c r="Q47" s="11">
        <v>1.08</v>
      </c>
      <c r="R47" s="11">
        <v>1</v>
      </c>
      <c r="S47" s="11">
        <f t="shared" si="0"/>
        <v>62.56</v>
      </c>
      <c r="T47" s="11">
        <f t="shared" si="1"/>
        <v>21.72</v>
      </c>
      <c r="U47" s="11">
        <f t="shared" si="2"/>
        <v>7.15</v>
      </c>
      <c r="V47" s="11">
        <f t="shared" si="3"/>
        <v>1.88</v>
      </c>
      <c r="W47" s="11" t="s">
        <v>66</v>
      </c>
      <c r="X47" s="11">
        <v>0</v>
      </c>
      <c r="Y47" s="11">
        <f t="shared" si="4"/>
        <v>31.83</v>
      </c>
      <c r="Z47" s="11">
        <f t="shared" si="5"/>
        <v>30.730000000000004</v>
      </c>
      <c r="AA47" s="12">
        <f t="shared" si="6"/>
        <v>0.49120843989769825</v>
      </c>
      <c r="AB47" s="13">
        <f t="shared" si="7"/>
        <v>57.925925925925924</v>
      </c>
      <c r="AC47" t="s">
        <v>67</v>
      </c>
    </row>
    <row r="48" spans="1:29" ht="14.25" customHeight="1" x14ac:dyDescent="0.45">
      <c r="A48" t="s">
        <v>171</v>
      </c>
      <c r="B48" s="10">
        <v>45701</v>
      </c>
      <c r="C48">
        <v>2025</v>
      </c>
      <c r="D48">
        <v>2</v>
      </c>
      <c r="E48" t="s">
        <v>77</v>
      </c>
      <c r="F48" t="s">
        <v>102</v>
      </c>
      <c r="G48" t="s">
        <v>105</v>
      </c>
      <c r="H48" t="s">
        <v>86</v>
      </c>
      <c r="I48" t="s">
        <v>97</v>
      </c>
      <c r="J48" t="s">
        <v>98</v>
      </c>
      <c r="K48" t="s">
        <v>99</v>
      </c>
      <c r="L48" t="s">
        <v>100</v>
      </c>
      <c r="M48" s="11">
        <v>31.97</v>
      </c>
      <c r="N48" s="11">
        <v>9.08</v>
      </c>
      <c r="O48" s="11">
        <v>4.13</v>
      </c>
      <c r="P48" s="11">
        <v>0.03</v>
      </c>
      <c r="Q48" s="11">
        <v>9.5500000000000007</v>
      </c>
      <c r="R48" s="11">
        <v>1</v>
      </c>
      <c r="S48" s="11">
        <f t="shared" si="0"/>
        <v>31.97</v>
      </c>
      <c r="T48" s="11">
        <f t="shared" si="1"/>
        <v>9.08</v>
      </c>
      <c r="U48" s="11">
        <f t="shared" si="2"/>
        <v>4.13</v>
      </c>
      <c r="V48" s="11">
        <f t="shared" si="3"/>
        <v>0.96</v>
      </c>
      <c r="W48" s="11" t="s">
        <v>66</v>
      </c>
      <c r="X48" s="11">
        <v>0</v>
      </c>
      <c r="Y48" s="11">
        <f t="shared" si="4"/>
        <v>23.720000000000002</v>
      </c>
      <c r="Z48" s="11">
        <f t="shared" si="5"/>
        <v>8.2499999999999964</v>
      </c>
      <c r="AA48" s="12">
        <f t="shared" si="6"/>
        <v>0.25805442602439777</v>
      </c>
      <c r="AB48" s="13">
        <f t="shared" si="7"/>
        <v>3.3476439790575911</v>
      </c>
      <c r="AC48" t="s">
        <v>67</v>
      </c>
    </row>
    <row r="49" spans="1:29" ht="14.25" customHeight="1" x14ac:dyDescent="0.45">
      <c r="A49" t="s">
        <v>172</v>
      </c>
      <c r="B49" s="10">
        <v>45702</v>
      </c>
      <c r="C49">
        <v>2025</v>
      </c>
      <c r="D49">
        <v>2</v>
      </c>
      <c r="E49" t="s">
        <v>58</v>
      </c>
      <c r="F49" t="s">
        <v>92</v>
      </c>
      <c r="G49" t="s">
        <v>126</v>
      </c>
      <c r="H49" t="s">
        <v>127</v>
      </c>
      <c r="I49" t="s">
        <v>87</v>
      </c>
      <c r="J49" t="s">
        <v>88</v>
      </c>
      <c r="K49" t="s">
        <v>89</v>
      </c>
      <c r="L49" t="s">
        <v>90</v>
      </c>
      <c r="M49" s="11">
        <v>66.59</v>
      </c>
      <c r="N49" s="11">
        <v>22.27</v>
      </c>
      <c r="O49" s="11">
        <v>7.2</v>
      </c>
      <c r="P49" s="11">
        <v>0.03</v>
      </c>
      <c r="Q49" s="11">
        <v>8.1300000000000008</v>
      </c>
      <c r="R49" s="11">
        <v>1</v>
      </c>
      <c r="S49" s="11">
        <f t="shared" si="0"/>
        <v>66.59</v>
      </c>
      <c r="T49" s="11">
        <f t="shared" si="1"/>
        <v>22.27</v>
      </c>
      <c r="U49" s="11">
        <f t="shared" si="2"/>
        <v>7.2</v>
      </c>
      <c r="V49" s="11">
        <f t="shared" si="3"/>
        <v>2</v>
      </c>
      <c r="W49" s="11" t="s">
        <v>66</v>
      </c>
      <c r="X49" s="11">
        <v>0</v>
      </c>
      <c r="Y49" s="11">
        <f t="shared" si="4"/>
        <v>39.6</v>
      </c>
      <c r="Z49" s="11">
        <f t="shared" si="5"/>
        <v>26.990000000000002</v>
      </c>
      <c r="AA49" s="12">
        <f t="shared" si="6"/>
        <v>0.40531611353056013</v>
      </c>
      <c r="AB49" s="13">
        <f t="shared" si="7"/>
        <v>8.1906519065190651</v>
      </c>
      <c r="AC49" t="s">
        <v>67</v>
      </c>
    </row>
    <row r="50" spans="1:29" ht="14.25" customHeight="1" x14ac:dyDescent="0.45">
      <c r="A50" t="s">
        <v>173</v>
      </c>
      <c r="B50" s="10">
        <v>45702</v>
      </c>
      <c r="C50">
        <v>2025</v>
      </c>
      <c r="D50">
        <v>2</v>
      </c>
      <c r="E50" t="s">
        <v>122</v>
      </c>
      <c r="F50" t="s">
        <v>123</v>
      </c>
      <c r="G50" t="s">
        <v>126</v>
      </c>
      <c r="H50" t="s">
        <v>61</v>
      </c>
      <c r="I50" t="s">
        <v>62</v>
      </c>
      <c r="J50" t="s">
        <v>63</v>
      </c>
      <c r="K50" t="s">
        <v>64</v>
      </c>
      <c r="L50" t="s">
        <v>65</v>
      </c>
      <c r="M50" s="11">
        <v>33.14</v>
      </c>
      <c r="N50" s="11">
        <v>9.92</v>
      </c>
      <c r="O50" s="11">
        <v>4.43</v>
      </c>
      <c r="P50" s="11">
        <v>0.03</v>
      </c>
      <c r="Q50" s="11">
        <v>15.14</v>
      </c>
      <c r="R50" s="11">
        <v>3</v>
      </c>
      <c r="S50" s="11">
        <f t="shared" si="0"/>
        <v>99.42</v>
      </c>
      <c r="T50" s="11">
        <f t="shared" si="1"/>
        <v>29.759999999999998</v>
      </c>
      <c r="U50" s="11">
        <f t="shared" si="2"/>
        <v>13.29</v>
      </c>
      <c r="V50" s="11">
        <f t="shared" si="3"/>
        <v>2.98</v>
      </c>
      <c r="W50" s="11" t="s">
        <v>66</v>
      </c>
      <c r="X50" s="11">
        <v>0</v>
      </c>
      <c r="Y50" s="11">
        <f t="shared" si="4"/>
        <v>61.169999999999995</v>
      </c>
      <c r="Z50" s="11">
        <f t="shared" si="5"/>
        <v>38.250000000000007</v>
      </c>
      <c r="AA50" s="12">
        <f t="shared" si="6"/>
        <v>0.38473144236572127</v>
      </c>
      <c r="AB50" s="13">
        <f t="shared" si="7"/>
        <v>6.5667107001321003</v>
      </c>
      <c r="AC50" t="s">
        <v>67</v>
      </c>
    </row>
    <row r="51" spans="1:29" ht="14.25" customHeight="1" x14ac:dyDescent="0.45">
      <c r="A51" t="s">
        <v>174</v>
      </c>
      <c r="B51" s="10">
        <v>45705</v>
      </c>
      <c r="C51">
        <v>2025</v>
      </c>
      <c r="D51">
        <v>2</v>
      </c>
      <c r="E51" t="s">
        <v>58</v>
      </c>
      <c r="F51" t="s">
        <v>59</v>
      </c>
      <c r="G51" t="s">
        <v>105</v>
      </c>
      <c r="H51" t="s">
        <v>86</v>
      </c>
      <c r="I51" t="s">
        <v>72</v>
      </c>
      <c r="J51" t="s">
        <v>73</v>
      </c>
      <c r="K51" t="s">
        <v>74</v>
      </c>
      <c r="L51" t="s">
        <v>75</v>
      </c>
      <c r="M51" s="11">
        <v>46.1</v>
      </c>
      <c r="N51" s="11">
        <v>13.88</v>
      </c>
      <c r="O51" s="11">
        <v>6.07</v>
      </c>
      <c r="P51" s="11">
        <v>0.03</v>
      </c>
      <c r="Q51" s="11">
        <v>19.95</v>
      </c>
      <c r="R51" s="11">
        <v>3</v>
      </c>
      <c r="S51" s="11">
        <f t="shared" si="0"/>
        <v>138.30000000000001</v>
      </c>
      <c r="T51" s="11">
        <f t="shared" si="1"/>
        <v>41.64</v>
      </c>
      <c r="U51" s="11">
        <f t="shared" si="2"/>
        <v>18.21</v>
      </c>
      <c r="V51" s="11">
        <f t="shared" si="3"/>
        <v>4.1500000000000004</v>
      </c>
      <c r="W51" s="11" t="s">
        <v>66</v>
      </c>
      <c r="X51" s="11">
        <v>0</v>
      </c>
      <c r="Y51" s="11">
        <f t="shared" si="4"/>
        <v>83.95</v>
      </c>
      <c r="Z51" s="11">
        <f t="shared" si="5"/>
        <v>54.350000000000009</v>
      </c>
      <c r="AA51" s="12">
        <f t="shared" si="6"/>
        <v>0.39298626174981927</v>
      </c>
      <c r="AB51" s="13">
        <f t="shared" si="7"/>
        <v>6.9323308270676698</v>
      </c>
      <c r="AC51" t="s">
        <v>67</v>
      </c>
    </row>
    <row r="52" spans="1:29" ht="14.25" customHeight="1" x14ac:dyDescent="0.45">
      <c r="A52" t="s">
        <v>175</v>
      </c>
      <c r="B52" s="10">
        <v>45707</v>
      </c>
      <c r="C52">
        <v>2025</v>
      </c>
      <c r="D52">
        <v>2</v>
      </c>
      <c r="E52" t="s">
        <v>122</v>
      </c>
      <c r="F52" t="s">
        <v>123</v>
      </c>
      <c r="G52" t="s">
        <v>126</v>
      </c>
      <c r="H52" t="s">
        <v>112</v>
      </c>
      <c r="I52" t="s">
        <v>87</v>
      </c>
      <c r="J52" t="s">
        <v>88</v>
      </c>
      <c r="K52" t="s">
        <v>89</v>
      </c>
      <c r="L52" t="s">
        <v>90</v>
      </c>
      <c r="M52" s="11">
        <v>56.74</v>
      </c>
      <c r="N52" s="11">
        <v>22.61</v>
      </c>
      <c r="O52" s="11">
        <v>6.5</v>
      </c>
      <c r="P52" s="11">
        <v>0.03</v>
      </c>
      <c r="Q52" s="11">
        <v>16.87</v>
      </c>
      <c r="R52" s="11">
        <v>2</v>
      </c>
      <c r="S52" s="11">
        <f t="shared" si="0"/>
        <v>113.48</v>
      </c>
      <c r="T52" s="11">
        <f t="shared" si="1"/>
        <v>45.22</v>
      </c>
      <c r="U52" s="11">
        <f t="shared" si="2"/>
        <v>13</v>
      </c>
      <c r="V52" s="11">
        <f t="shared" si="3"/>
        <v>3.4</v>
      </c>
      <c r="W52" s="11" t="s">
        <v>66</v>
      </c>
      <c r="X52" s="11">
        <v>0</v>
      </c>
      <c r="Y52" s="11">
        <f t="shared" si="4"/>
        <v>78.489999999999995</v>
      </c>
      <c r="Z52" s="11">
        <f t="shared" si="5"/>
        <v>34.990000000000009</v>
      </c>
      <c r="AA52" s="12">
        <f t="shared" si="6"/>
        <v>0.30833627070849495</v>
      </c>
      <c r="AB52" s="13">
        <f t="shared" si="7"/>
        <v>6.7267338470657974</v>
      </c>
      <c r="AC52" t="s">
        <v>67</v>
      </c>
    </row>
    <row r="53" spans="1:29" ht="14.25" customHeight="1" x14ac:dyDescent="0.45">
      <c r="A53" t="s">
        <v>176</v>
      </c>
      <c r="B53" s="10">
        <v>45708</v>
      </c>
      <c r="C53">
        <v>2025</v>
      </c>
      <c r="D53">
        <v>2</v>
      </c>
      <c r="E53" t="s">
        <v>77</v>
      </c>
      <c r="F53" t="s">
        <v>104</v>
      </c>
      <c r="G53" t="s">
        <v>105</v>
      </c>
      <c r="H53" t="s">
        <v>127</v>
      </c>
      <c r="I53" t="s">
        <v>113</v>
      </c>
      <c r="J53" t="s">
        <v>114</v>
      </c>
      <c r="K53" t="s">
        <v>115</v>
      </c>
      <c r="L53" t="s">
        <v>116</v>
      </c>
      <c r="M53" s="11">
        <v>55.3</v>
      </c>
      <c r="N53" s="11">
        <v>17.059999999999999</v>
      </c>
      <c r="O53" s="11">
        <v>6.13</v>
      </c>
      <c r="P53" s="11">
        <v>0.03</v>
      </c>
      <c r="Q53" s="11">
        <v>10.97</v>
      </c>
      <c r="R53" s="11">
        <v>3</v>
      </c>
      <c r="S53" s="11">
        <f t="shared" si="0"/>
        <v>165.89999999999998</v>
      </c>
      <c r="T53" s="11">
        <f t="shared" si="1"/>
        <v>51.179999999999993</v>
      </c>
      <c r="U53" s="11">
        <f t="shared" si="2"/>
        <v>18.39</v>
      </c>
      <c r="V53" s="11">
        <f t="shared" si="3"/>
        <v>4.9800000000000004</v>
      </c>
      <c r="W53" s="11" t="s">
        <v>66</v>
      </c>
      <c r="X53" s="11">
        <v>0</v>
      </c>
      <c r="Y53" s="11">
        <f t="shared" si="4"/>
        <v>85.52</v>
      </c>
      <c r="Z53" s="11">
        <f t="shared" si="5"/>
        <v>80.379999999999981</v>
      </c>
      <c r="AA53" s="12">
        <f t="shared" si="6"/>
        <v>0.48450874020494267</v>
      </c>
      <c r="AB53" s="13">
        <f t="shared" si="7"/>
        <v>15.123062898814947</v>
      </c>
      <c r="AC53" t="s">
        <v>67</v>
      </c>
    </row>
    <row r="54" spans="1:29" ht="14.25" customHeight="1" x14ac:dyDescent="0.45">
      <c r="A54" t="s">
        <v>177</v>
      </c>
      <c r="B54" s="10">
        <v>45708</v>
      </c>
      <c r="C54">
        <v>2025</v>
      </c>
      <c r="D54">
        <v>2</v>
      </c>
      <c r="E54" t="s">
        <v>77</v>
      </c>
      <c r="F54" t="s">
        <v>78</v>
      </c>
      <c r="G54" t="s">
        <v>105</v>
      </c>
      <c r="H54" t="s">
        <v>112</v>
      </c>
      <c r="I54" t="s">
        <v>81</v>
      </c>
      <c r="J54" t="s">
        <v>82</v>
      </c>
      <c r="K54" t="s">
        <v>83</v>
      </c>
      <c r="L54" t="s">
        <v>84</v>
      </c>
      <c r="M54" s="11">
        <v>25.06</v>
      </c>
      <c r="N54" s="11">
        <v>6.33</v>
      </c>
      <c r="O54" s="11">
        <v>3.39</v>
      </c>
      <c r="P54" s="11">
        <v>0.03</v>
      </c>
      <c r="Q54" s="11">
        <v>3.93</v>
      </c>
      <c r="R54" s="11">
        <v>2</v>
      </c>
      <c r="S54" s="11">
        <f t="shared" si="0"/>
        <v>50.12</v>
      </c>
      <c r="T54" s="11">
        <f t="shared" si="1"/>
        <v>12.66</v>
      </c>
      <c r="U54" s="11">
        <f t="shared" si="2"/>
        <v>6.78</v>
      </c>
      <c r="V54" s="11">
        <f t="shared" si="3"/>
        <v>1.5</v>
      </c>
      <c r="W54" s="11" t="s">
        <v>66</v>
      </c>
      <c r="X54" s="11">
        <v>0</v>
      </c>
      <c r="Y54" s="11">
        <f t="shared" si="4"/>
        <v>24.87</v>
      </c>
      <c r="Z54" s="11">
        <f t="shared" si="5"/>
        <v>25.249999999999996</v>
      </c>
      <c r="AA54" s="12">
        <f t="shared" si="6"/>
        <v>0.5037909018355945</v>
      </c>
      <c r="AB54" s="13">
        <f t="shared" si="7"/>
        <v>12.753180661577607</v>
      </c>
      <c r="AC54" t="s">
        <v>67</v>
      </c>
    </row>
    <row r="55" spans="1:29" ht="14.25" customHeight="1" x14ac:dyDescent="0.45">
      <c r="A55" t="s">
        <v>178</v>
      </c>
      <c r="B55" s="10">
        <v>45708</v>
      </c>
      <c r="C55">
        <v>2025</v>
      </c>
      <c r="D55">
        <v>2</v>
      </c>
      <c r="E55" t="s">
        <v>58</v>
      </c>
      <c r="F55" t="s">
        <v>92</v>
      </c>
      <c r="G55" t="s">
        <v>79</v>
      </c>
      <c r="H55" t="s">
        <v>86</v>
      </c>
      <c r="I55" t="s">
        <v>138</v>
      </c>
      <c r="J55" t="s">
        <v>139</v>
      </c>
      <c r="K55" t="s">
        <v>89</v>
      </c>
      <c r="L55" t="s">
        <v>140</v>
      </c>
      <c r="M55" s="11">
        <v>39.18</v>
      </c>
      <c r="N55" s="11">
        <v>8.7899999999999991</v>
      </c>
      <c r="O55" s="11">
        <v>4.12</v>
      </c>
      <c r="P55" s="11">
        <v>0.03</v>
      </c>
      <c r="Q55" s="11">
        <v>10.14</v>
      </c>
      <c r="R55" s="11">
        <v>2</v>
      </c>
      <c r="S55" s="11">
        <f t="shared" si="0"/>
        <v>78.36</v>
      </c>
      <c r="T55" s="11">
        <f t="shared" si="1"/>
        <v>17.579999999999998</v>
      </c>
      <c r="U55" s="11">
        <f t="shared" si="2"/>
        <v>8.24</v>
      </c>
      <c r="V55" s="11">
        <f t="shared" si="3"/>
        <v>2.35</v>
      </c>
      <c r="W55" s="11" t="s">
        <v>66</v>
      </c>
      <c r="X55" s="11">
        <v>0</v>
      </c>
      <c r="Y55" s="11">
        <f t="shared" si="4"/>
        <v>38.31</v>
      </c>
      <c r="Z55" s="11">
        <f t="shared" si="5"/>
        <v>40.049999999999997</v>
      </c>
      <c r="AA55" s="12">
        <f t="shared" si="6"/>
        <v>0.51110260336906577</v>
      </c>
      <c r="AB55" s="13">
        <f t="shared" si="7"/>
        <v>7.7278106508875739</v>
      </c>
      <c r="AC55" t="s">
        <v>67</v>
      </c>
    </row>
    <row r="56" spans="1:29" ht="14.25" customHeight="1" x14ac:dyDescent="0.45">
      <c r="A56" t="s">
        <v>179</v>
      </c>
      <c r="B56" s="10">
        <v>45709</v>
      </c>
      <c r="C56">
        <v>2025</v>
      </c>
      <c r="D56">
        <v>2</v>
      </c>
      <c r="E56" t="s">
        <v>77</v>
      </c>
      <c r="F56" t="s">
        <v>102</v>
      </c>
      <c r="G56" t="s">
        <v>79</v>
      </c>
      <c r="H56" t="s">
        <v>61</v>
      </c>
      <c r="I56" t="s">
        <v>113</v>
      </c>
      <c r="J56" t="s">
        <v>114</v>
      </c>
      <c r="K56" t="s">
        <v>115</v>
      </c>
      <c r="L56" t="s">
        <v>116</v>
      </c>
      <c r="M56" s="11">
        <v>51.41</v>
      </c>
      <c r="N56" s="11">
        <v>16.760000000000002</v>
      </c>
      <c r="O56" s="11">
        <v>6.7</v>
      </c>
      <c r="P56" s="11">
        <v>0.03</v>
      </c>
      <c r="Q56" s="11">
        <v>4.03</v>
      </c>
      <c r="R56" s="11">
        <v>2</v>
      </c>
      <c r="S56" s="11">
        <f t="shared" si="0"/>
        <v>102.82</v>
      </c>
      <c r="T56" s="11">
        <f t="shared" si="1"/>
        <v>33.520000000000003</v>
      </c>
      <c r="U56" s="11">
        <f t="shared" si="2"/>
        <v>13.4</v>
      </c>
      <c r="V56" s="11">
        <f t="shared" si="3"/>
        <v>3.08</v>
      </c>
      <c r="W56" s="11" t="s">
        <v>154</v>
      </c>
      <c r="X56" s="11">
        <v>51.41</v>
      </c>
      <c r="Y56" s="11">
        <f t="shared" si="4"/>
        <v>105.44</v>
      </c>
      <c r="Z56" s="11">
        <f t="shared" si="5"/>
        <v>-2.6200000000000045</v>
      </c>
      <c r="AA56" s="12">
        <f t="shared" si="6"/>
        <v>-2.5481423847500531E-2</v>
      </c>
      <c r="AB56" s="13">
        <f t="shared" si="7"/>
        <v>25.513647642679896</v>
      </c>
      <c r="AC56" t="s">
        <v>155</v>
      </c>
    </row>
    <row r="57" spans="1:29" ht="14.25" customHeight="1" x14ac:dyDescent="0.45">
      <c r="A57" t="s">
        <v>180</v>
      </c>
      <c r="B57" s="10">
        <v>45709</v>
      </c>
      <c r="C57">
        <v>2025</v>
      </c>
      <c r="D57">
        <v>2</v>
      </c>
      <c r="E57" t="s">
        <v>77</v>
      </c>
      <c r="F57" t="s">
        <v>104</v>
      </c>
      <c r="G57" t="s">
        <v>79</v>
      </c>
      <c r="H57" t="s">
        <v>86</v>
      </c>
      <c r="I57" t="s">
        <v>97</v>
      </c>
      <c r="J57" t="s">
        <v>98</v>
      </c>
      <c r="K57" t="s">
        <v>99</v>
      </c>
      <c r="L57" t="s">
        <v>100</v>
      </c>
      <c r="M57" s="11">
        <v>32.72</v>
      </c>
      <c r="N57" s="11">
        <v>9.43</v>
      </c>
      <c r="O57" s="11">
        <v>3.7</v>
      </c>
      <c r="P57" s="11">
        <v>0.03</v>
      </c>
      <c r="Q57" s="11">
        <v>8.5299999999999994</v>
      </c>
      <c r="R57" s="11">
        <v>2</v>
      </c>
      <c r="S57" s="11">
        <f t="shared" si="0"/>
        <v>65.44</v>
      </c>
      <c r="T57" s="11">
        <f t="shared" si="1"/>
        <v>18.86</v>
      </c>
      <c r="U57" s="11">
        <f t="shared" si="2"/>
        <v>7.4</v>
      </c>
      <c r="V57" s="11">
        <f t="shared" si="3"/>
        <v>1.96</v>
      </c>
      <c r="W57" s="11" t="s">
        <v>66</v>
      </c>
      <c r="X57" s="11">
        <v>0</v>
      </c>
      <c r="Y57" s="11">
        <f t="shared" si="4"/>
        <v>36.75</v>
      </c>
      <c r="Z57" s="11">
        <f t="shared" si="5"/>
        <v>28.689999999999998</v>
      </c>
      <c r="AA57" s="12">
        <f t="shared" si="6"/>
        <v>0.43841687041564792</v>
      </c>
      <c r="AB57" s="13">
        <f t="shared" si="7"/>
        <v>7.671746776084408</v>
      </c>
      <c r="AC57" t="s">
        <v>67</v>
      </c>
    </row>
    <row r="58" spans="1:29" ht="14.25" customHeight="1" x14ac:dyDescent="0.45">
      <c r="A58" t="s">
        <v>181</v>
      </c>
      <c r="B58" s="10">
        <v>45709</v>
      </c>
      <c r="C58">
        <v>2025</v>
      </c>
      <c r="D58">
        <v>2</v>
      </c>
      <c r="E58" t="s">
        <v>77</v>
      </c>
      <c r="F58" t="s">
        <v>78</v>
      </c>
      <c r="G58" t="s">
        <v>60</v>
      </c>
      <c r="H58" t="s">
        <v>112</v>
      </c>
      <c r="I58" t="s">
        <v>62</v>
      </c>
      <c r="J58" t="s">
        <v>63</v>
      </c>
      <c r="K58" t="s">
        <v>64</v>
      </c>
      <c r="L58" t="s">
        <v>65</v>
      </c>
      <c r="M58" s="11">
        <v>34.270000000000003</v>
      </c>
      <c r="N58" s="11">
        <v>10.78</v>
      </c>
      <c r="O58" s="11">
        <v>4.28</v>
      </c>
      <c r="P58" s="11">
        <v>0.03</v>
      </c>
      <c r="Q58" s="11">
        <v>4.96</v>
      </c>
      <c r="R58" s="11">
        <v>1</v>
      </c>
      <c r="S58" s="11">
        <f t="shared" si="0"/>
        <v>34.270000000000003</v>
      </c>
      <c r="T58" s="11">
        <f t="shared" si="1"/>
        <v>10.78</v>
      </c>
      <c r="U58" s="11">
        <f t="shared" si="2"/>
        <v>4.28</v>
      </c>
      <c r="V58" s="11">
        <f t="shared" si="3"/>
        <v>1.03</v>
      </c>
      <c r="W58" s="11" t="s">
        <v>66</v>
      </c>
      <c r="X58" s="11">
        <v>0</v>
      </c>
      <c r="Y58" s="11">
        <f t="shared" si="4"/>
        <v>21.05</v>
      </c>
      <c r="Z58" s="11">
        <f t="shared" si="5"/>
        <v>13.220000000000002</v>
      </c>
      <c r="AA58" s="12">
        <f t="shared" si="6"/>
        <v>0.38576014006419612</v>
      </c>
      <c r="AB58" s="13">
        <f t="shared" si="7"/>
        <v>6.9092741935483879</v>
      </c>
      <c r="AC58" t="s">
        <v>67</v>
      </c>
    </row>
    <row r="59" spans="1:29" ht="14.25" customHeight="1" x14ac:dyDescent="0.45">
      <c r="A59" t="s">
        <v>182</v>
      </c>
      <c r="B59" s="10">
        <v>45710</v>
      </c>
      <c r="C59">
        <v>2025</v>
      </c>
      <c r="D59">
        <v>2</v>
      </c>
      <c r="E59" t="s">
        <v>122</v>
      </c>
      <c r="F59" t="s">
        <v>123</v>
      </c>
      <c r="G59" t="s">
        <v>126</v>
      </c>
      <c r="H59" t="s">
        <v>112</v>
      </c>
      <c r="I59" t="s">
        <v>87</v>
      </c>
      <c r="J59" t="s">
        <v>88</v>
      </c>
      <c r="K59" t="s">
        <v>89</v>
      </c>
      <c r="L59" t="s">
        <v>90</v>
      </c>
      <c r="M59" s="11">
        <v>56.19</v>
      </c>
      <c r="N59" s="11">
        <v>21.23</v>
      </c>
      <c r="O59" s="11">
        <v>7.93</v>
      </c>
      <c r="P59" s="11">
        <v>0.03</v>
      </c>
      <c r="Q59" s="11">
        <v>20.6</v>
      </c>
      <c r="R59" s="11">
        <v>3</v>
      </c>
      <c r="S59" s="11">
        <f t="shared" si="0"/>
        <v>168.57</v>
      </c>
      <c r="T59" s="11">
        <f t="shared" si="1"/>
        <v>63.69</v>
      </c>
      <c r="U59" s="11">
        <f t="shared" si="2"/>
        <v>23.79</v>
      </c>
      <c r="V59" s="11">
        <f t="shared" si="3"/>
        <v>5.0599999999999996</v>
      </c>
      <c r="W59" s="11" t="s">
        <v>66</v>
      </c>
      <c r="X59" s="11">
        <v>0</v>
      </c>
      <c r="Y59" s="11">
        <f t="shared" si="4"/>
        <v>113.13999999999999</v>
      </c>
      <c r="Z59" s="11">
        <f t="shared" si="5"/>
        <v>55.430000000000007</v>
      </c>
      <c r="AA59" s="12">
        <f t="shared" si="6"/>
        <v>0.32882482054932677</v>
      </c>
      <c r="AB59" s="13">
        <f t="shared" si="7"/>
        <v>8.1830097087378633</v>
      </c>
      <c r="AC59" t="s">
        <v>67</v>
      </c>
    </row>
    <row r="60" spans="1:29" ht="14.25" customHeight="1" x14ac:dyDescent="0.45">
      <c r="A60" t="s">
        <v>183</v>
      </c>
      <c r="B60" s="10">
        <v>45710</v>
      </c>
      <c r="C60">
        <v>2025</v>
      </c>
      <c r="D60">
        <v>2</v>
      </c>
      <c r="E60" t="s">
        <v>58</v>
      </c>
      <c r="F60" t="s">
        <v>92</v>
      </c>
      <c r="G60" t="s">
        <v>126</v>
      </c>
      <c r="H60" t="s">
        <v>80</v>
      </c>
      <c r="I60" t="s">
        <v>72</v>
      </c>
      <c r="J60" t="s">
        <v>73</v>
      </c>
      <c r="K60" t="s">
        <v>74</v>
      </c>
      <c r="L60" t="s">
        <v>75</v>
      </c>
      <c r="M60" s="11">
        <v>45.31</v>
      </c>
      <c r="N60" s="11">
        <v>14.57</v>
      </c>
      <c r="O60" s="11">
        <v>6.44</v>
      </c>
      <c r="P60" s="11">
        <v>0.03</v>
      </c>
      <c r="Q60" s="11">
        <v>29.55</v>
      </c>
      <c r="R60" s="11">
        <v>3</v>
      </c>
      <c r="S60" s="11">
        <f t="shared" si="0"/>
        <v>135.93</v>
      </c>
      <c r="T60" s="11">
        <f t="shared" si="1"/>
        <v>43.71</v>
      </c>
      <c r="U60" s="11">
        <f t="shared" si="2"/>
        <v>19.32</v>
      </c>
      <c r="V60" s="11">
        <f t="shared" si="3"/>
        <v>4.08</v>
      </c>
      <c r="W60" s="11" t="s">
        <v>66</v>
      </c>
      <c r="X60" s="11">
        <v>0</v>
      </c>
      <c r="Y60" s="11">
        <f t="shared" si="4"/>
        <v>96.66</v>
      </c>
      <c r="Z60" s="11">
        <f t="shared" si="5"/>
        <v>39.27000000000001</v>
      </c>
      <c r="AA60" s="12">
        <f t="shared" si="6"/>
        <v>0.28889869785919231</v>
      </c>
      <c r="AB60" s="13">
        <f t="shared" si="7"/>
        <v>4.6000000000000005</v>
      </c>
      <c r="AC60" t="s">
        <v>67</v>
      </c>
    </row>
    <row r="61" spans="1:29" ht="14.25" customHeight="1" x14ac:dyDescent="0.45">
      <c r="A61" t="s">
        <v>184</v>
      </c>
      <c r="B61" s="10">
        <v>45711</v>
      </c>
      <c r="C61">
        <v>2025</v>
      </c>
      <c r="D61">
        <v>2</v>
      </c>
      <c r="E61" t="s">
        <v>58</v>
      </c>
      <c r="F61" t="s">
        <v>92</v>
      </c>
      <c r="G61" t="s">
        <v>105</v>
      </c>
      <c r="H61" t="s">
        <v>127</v>
      </c>
      <c r="I61" t="s">
        <v>113</v>
      </c>
      <c r="J61" t="s">
        <v>114</v>
      </c>
      <c r="K61" t="s">
        <v>115</v>
      </c>
      <c r="L61" t="s">
        <v>116</v>
      </c>
      <c r="M61" s="11">
        <v>49.5</v>
      </c>
      <c r="N61" s="11">
        <v>16.440000000000001</v>
      </c>
      <c r="O61" s="11">
        <v>6.69</v>
      </c>
      <c r="P61" s="11">
        <v>0.03</v>
      </c>
      <c r="Q61" s="11">
        <v>23.78</v>
      </c>
      <c r="R61" s="11">
        <v>3</v>
      </c>
      <c r="S61" s="11">
        <f t="shared" si="0"/>
        <v>148.5</v>
      </c>
      <c r="T61" s="11">
        <f t="shared" si="1"/>
        <v>49.320000000000007</v>
      </c>
      <c r="U61" s="11">
        <f t="shared" si="2"/>
        <v>20.07</v>
      </c>
      <c r="V61" s="11">
        <f t="shared" si="3"/>
        <v>4.46</v>
      </c>
      <c r="W61" s="11" t="s">
        <v>66</v>
      </c>
      <c r="X61" s="11">
        <v>0</v>
      </c>
      <c r="Y61" s="11">
        <f t="shared" si="4"/>
        <v>97.63000000000001</v>
      </c>
      <c r="Z61" s="11">
        <f t="shared" si="5"/>
        <v>50.86999999999999</v>
      </c>
      <c r="AA61" s="12">
        <f t="shared" si="6"/>
        <v>0.34255892255892251</v>
      </c>
      <c r="AB61" s="13">
        <f t="shared" si="7"/>
        <v>6.2447434819175776</v>
      </c>
      <c r="AC61" t="s">
        <v>67</v>
      </c>
    </row>
    <row r="62" spans="1:29" ht="14.25" customHeight="1" x14ac:dyDescent="0.45">
      <c r="A62" t="s">
        <v>185</v>
      </c>
      <c r="B62" s="10">
        <v>45713</v>
      </c>
      <c r="C62">
        <v>2025</v>
      </c>
      <c r="D62">
        <v>2</v>
      </c>
      <c r="E62" t="s">
        <v>77</v>
      </c>
      <c r="F62" t="s">
        <v>102</v>
      </c>
      <c r="G62" t="s">
        <v>126</v>
      </c>
      <c r="H62" t="s">
        <v>61</v>
      </c>
      <c r="I62" t="s">
        <v>138</v>
      </c>
      <c r="J62" t="s">
        <v>139</v>
      </c>
      <c r="K62" t="s">
        <v>89</v>
      </c>
      <c r="L62" t="s">
        <v>140</v>
      </c>
      <c r="M62" s="11">
        <v>37.72</v>
      </c>
      <c r="N62" s="11">
        <v>8.83</v>
      </c>
      <c r="O62" s="11">
        <v>3.99</v>
      </c>
      <c r="P62" s="11">
        <v>0.03</v>
      </c>
      <c r="Q62" s="11">
        <v>9.81</v>
      </c>
      <c r="R62" s="11">
        <v>1</v>
      </c>
      <c r="S62" s="11">
        <f t="shared" si="0"/>
        <v>37.72</v>
      </c>
      <c r="T62" s="11">
        <f t="shared" si="1"/>
        <v>8.83</v>
      </c>
      <c r="U62" s="11">
        <f t="shared" si="2"/>
        <v>3.99</v>
      </c>
      <c r="V62" s="11">
        <f t="shared" si="3"/>
        <v>1.1299999999999999</v>
      </c>
      <c r="W62" s="11" t="s">
        <v>66</v>
      </c>
      <c r="X62" s="11">
        <v>0</v>
      </c>
      <c r="Y62" s="11">
        <f t="shared" si="4"/>
        <v>23.759999999999998</v>
      </c>
      <c r="Z62" s="11">
        <f t="shared" si="5"/>
        <v>13.96</v>
      </c>
      <c r="AA62" s="12">
        <f t="shared" si="6"/>
        <v>0.37009544008483569</v>
      </c>
      <c r="AB62" s="13">
        <f t="shared" si="7"/>
        <v>3.8450560652395511</v>
      </c>
      <c r="AC62" t="s">
        <v>67</v>
      </c>
    </row>
    <row r="63" spans="1:29" ht="14.25" customHeight="1" x14ac:dyDescent="0.45">
      <c r="A63" t="s">
        <v>186</v>
      </c>
      <c r="B63" s="10">
        <v>45714</v>
      </c>
      <c r="C63">
        <v>2025</v>
      </c>
      <c r="D63">
        <v>2</v>
      </c>
      <c r="E63" t="s">
        <v>58</v>
      </c>
      <c r="F63" t="s">
        <v>59</v>
      </c>
      <c r="G63" t="s">
        <v>93</v>
      </c>
      <c r="H63" t="s">
        <v>86</v>
      </c>
      <c r="I63" t="s">
        <v>147</v>
      </c>
      <c r="J63" t="s">
        <v>148</v>
      </c>
      <c r="K63" t="s">
        <v>149</v>
      </c>
      <c r="L63" t="s">
        <v>150</v>
      </c>
      <c r="M63" s="11">
        <v>29.99</v>
      </c>
      <c r="N63" s="11">
        <v>6.75</v>
      </c>
      <c r="O63" s="11">
        <v>4.41</v>
      </c>
      <c r="P63" s="11">
        <v>0.03</v>
      </c>
      <c r="Q63" s="11">
        <v>5.82</v>
      </c>
      <c r="R63" s="11">
        <v>1</v>
      </c>
      <c r="S63" s="11">
        <f t="shared" si="0"/>
        <v>29.99</v>
      </c>
      <c r="T63" s="11">
        <f t="shared" si="1"/>
        <v>6.75</v>
      </c>
      <c r="U63" s="11">
        <f t="shared" si="2"/>
        <v>4.41</v>
      </c>
      <c r="V63" s="11">
        <f t="shared" si="3"/>
        <v>0.9</v>
      </c>
      <c r="W63" s="11" t="s">
        <v>66</v>
      </c>
      <c r="X63" s="11">
        <v>0</v>
      </c>
      <c r="Y63" s="11">
        <f t="shared" si="4"/>
        <v>17.880000000000003</v>
      </c>
      <c r="Z63" s="11">
        <f t="shared" si="5"/>
        <v>12.109999999999996</v>
      </c>
      <c r="AA63" s="12">
        <f t="shared" si="6"/>
        <v>0.40380126708902958</v>
      </c>
      <c r="AB63" s="13">
        <f t="shared" si="7"/>
        <v>5.1529209621993122</v>
      </c>
      <c r="AC63" t="s">
        <v>67</v>
      </c>
    </row>
    <row r="64" spans="1:29" ht="14.25" customHeight="1" x14ac:dyDescent="0.45">
      <c r="A64" t="s">
        <v>187</v>
      </c>
      <c r="B64" s="10">
        <v>45714</v>
      </c>
      <c r="C64">
        <v>2025</v>
      </c>
      <c r="D64">
        <v>2</v>
      </c>
      <c r="E64" t="s">
        <v>58</v>
      </c>
      <c r="F64" t="s">
        <v>92</v>
      </c>
      <c r="G64" t="s">
        <v>71</v>
      </c>
      <c r="H64" t="s">
        <v>80</v>
      </c>
      <c r="I64" t="s">
        <v>81</v>
      </c>
      <c r="J64" t="s">
        <v>82</v>
      </c>
      <c r="K64" t="s">
        <v>83</v>
      </c>
      <c r="L64" t="s">
        <v>84</v>
      </c>
      <c r="M64" s="11">
        <v>24.63</v>
      </c>
      <c r="N64" s="11">
        <v>6.17</v>
      </c>
      <c r="O64" s="11">
        <v>3.76</v>
      </c>
      <c r="P64" s="11">
        <v>0.03</v>
      </c>
      <c r="Q64" s="11">
        <v>0</v>
      </c>
      <c r="R64" s="11">
        <v>3</v>
      </c>
      <c r="S64" s="11">
        <f t="shared" si="0"/>
        <v>0</v>
      </c>
      <c r="T64" s="11">
        <f t="shared" si="1"/>
        <v>0</v>
      </c>
      <c r="U64" s="11">
        <f t="shared" si="2"/>
        <v>0</v>
      </c>
      <c r="V64" s="11">
        <f t="shared" si="3"/>
        <v>0</v>
      </c>
      <c r="W64" s="11" t="s">
        <v>66</v>
      </c>
      <c r="X64" s="11">
        <v>0</v>
      </c>
      <c r="Y64" s="11">
        <f t="shared" si="4"/>
        <v>0</v>
      </c>
      <c r="Z64" s="11">
        <f t="shared" si="5"/>
        <v>0</v>
      </c>
      <c r="AA64" s="12">
        <f t="shared" si="6"/>
        <v>0</v>
      </c>
      <c r="AB64" s="13">
        <f t="shared" si="7"/>
        <v>0</v>
      </c>
      <c r="AC64" t="s">
        <v>166</v>
      </c>
    </row>
    <row r="65" spans="1:29" ht="14.25" customHeight="1" x14ac:dyDescent="0.45">
      <c r="A65" t="s">
        <v>188</v>
      </c>
      <c r="B65" s="10">
        <v>45716</v>
      </c>
      <c r="C65">
        <v>2025</v>
      </c>
      <c r="D65">
        <v>2</v>
      </c>
      <c r="E65" t="s">
        <v>69</v>
      </c>
      <c r="F65" t="s">
        <v>70</v>
      </c>
      <c r="G65" t="s">
        <v>60</v>
      </c>
      <c r="H65" t="s">
        <v>86</v>
      </c>
      <c r="I65" t="s">
        <v>72</v>
      </c>
      <c r="J65" t="s">
        <v>73</v>
      </c>
      <c r="K65" t="s">
        <v>74</v>
      </c>
      <c r="L65" t="s">
        <v>75</v>
      </c>
      <c r="M65" s="11">
        <v>43.66</v>
      </c>
      <c r="N65" s="11">
        <v>14.08</v>
      </c>
      <c r="O65" s="11">
        <v>7.26</v>
      </c>
      <c r="P65" s="11">
        <v>0.03</v>
      </c>
      <c r="Q65" s="11">
        <v>12.37</v>
      </c>
      <c r="R65" s="11">
        <v>3</v>
      </c>
      <c r="S65" s="11">
        <f t="shared" si="0"/>
        <v>130.97999999999999</v>
      </c>
      <c r="T65" s="11">
        <f t="shared" si="1"/>
        <v>42.24</v>
      </c>
      <c r="U65" s="11">
        <f t="shared" si="2"/>
        <v>21.78</v>
      </c>
      <c r="V65" s="11">
        <f t="shared" si="3"/>
        <v>3.93</v>
      </c>
      <c r="W65" s="11" t="s">
        <v>66</v>
      </c>
      <c r="X65" s="11">
        <v>0</v>
      </c>
      <c r="Y65" s="11">
        <f t="shared" si="4"/>
        <v>80.320000000000022</v>
      </c>
      <c r="Z65" s="11">
        <f t="shared" si="5"/>
        <v>50.659999999999968</v>
      </c>
      <c r="AA65" s="12">
        <f t="shared" si="6"/>
        <v>0.38677660711558998</v>
      </c>
      <c r="AB65" s="13">
        <f t="shared" si="7"/>
        <v>10.588520614389653</v>
      </c>
      <c r="AC65" t="s">
        <v>67</v>
      </c>
    </row>
    <row r="66" spans="1:29" ht="14.25" customHeight="1" x14ac:dyDescent="0.45">
      <c r="A66" t="s">
        <v>189</v>
      </c>
      <c r="B66" s="10">
        <v>45718</v>
      </c>
      <c r="C66">
        <v>2025</v>
      </c>
      <c r="D66">
        <v>3</v>
      </c>
      <c r="E66" t="s">
        <v>77</v>
      </c>
      <c r="F66" t="s">
        <v>102</v>
      </c>
      <c r="G66" t="s">
        <v>126</v>
      </c>
      <c r="H66" t="s">
        <v>80</v>
      </c>
      <c r="I66" t="s">
        <v>62</v>
      </c>
      <c r="J66" t="s">
        <v>63</v>
      </c>
      <c r="K66" t="s">
        <v>64</v>
      </c>
      <c r="L66" t="s">
        <v>65</v>
      </c>
      <c r="M66" s="11">
        <v>31.13</v>
      </c>
      <c r="N66" s="11">
        <v>9.56</v>
      </c>
      <c r="O66" s="11">
        <v>4.24</v>
      </c>
      <c r="P66" s="11">
        <v>0.03</v>
      </c>
      <c r="Q66" s="11">
        <v>2.98</v>
      </c>
      <c r="R66" s="11">
        <v>1</v>
      </c>
      <c r="S66" s="11">
        <f t="shared" ref="S66:S129" si="8">IF(AC66="Cancelled",0,M66*R66)</f>
        <v>31.13</v>
      </c>
      <c r="T66" s="11">
        <f t="shared" ref="T66:T129" si="9">IF(AC66="Cancelled",0,N66*R66)</f>
        <v>9.56</v>
      </c>
      <c r="U66" s="11">
        <f t="shared" ref="U66:U129" si="10">IF(AC66="Cancelled",0,O66*R66)</f>
        <v>4.24</v>
      </c>
      <c r="V66" s="11">
        <f t="shared" ref="V66:V129" si="11">IF(AC66="Cancelled",0,ROUND(P66*S66,2))</f>
        <v>0.93</v>
      </c>
      <c r="W66" s="11" t="s">
        <v>154</v>
      </c>
      <c r="X66" s="11">
        <v>22.06</v>
      </c>
      <c r="Y66" s="11">
        <f t="shared" ref="Y66:Y129" si="12">IF(AC66="Cancelled",0,T66+U66+V66+Q66+X66)</f>
        <v>39.769999999999996</v>
      </c>
      <c r="Z66" s="11">
        <f t="shared" ref="Z66:Z129" si="13">IF(AC66="Cancelled",-Q66,S66-Y66)</f>
        <v>-8.639999999999997</v>
      </c>
      <c r="AA66" s="12">
        <f t="shared" ref="AA66:AA129" si="14">IF(OR(AC66="Cancelled",S66=0),0,Z66/S66)</f>
        <v>-0.27754577577899125</v>
      </c>
      <c r="AB66" s="13">
        <f t="shared" ref="AB66:AB129" si="15">IFERROR(S66/Q66,0)</f>
        <v>10.446308724832214</v>
      </c>
      <c r="AC66" t="s">
        <v>155</v>
      </c>
    </row>
    <row r="67" spans="1:29" ht="14.25" customHeight="1" x14ac:dyDescent="0.45">
      <c r="A67" t="s">
        <v>190</v>
      </c>
      <c r="B67" s="10">
        <v>45719</v>
      </c>
      <c r="C67">
        <v>2025</v>
      </c>
      <c r="D67">
        <v>3</v>
      </c>
      <c r="E67" t="s">
        <v>95</v>
      </c>
      <c r="F67" t="s">
        <v>96</v>
      </c>
      <c r="G67" t="s">
        <v>126</v>
      </c>
      <c r="H67" t="s">
        <v>86</v>
      </c>
      <c r="I67" t="s">
        <v>72</v>
      </c>
      <c r="J67" t="s">
        <v>73</v>
      </c>
      <c r="K67" t="s">
        <v>74</v>
      </c>
      <c r="L67" t="s">
        <v>75</v>
      </c>
      <c r="M67" s="11">
        <v>40.75</v>
      </c>
      <c r="N67" s="11">
        <v>14.72</v>
      </c>
      <c r="O67" s="11">
        <v>6.66</v>
      </c>
      <c r="P67" s="11">
        <v>0.03</v>
      </c>
      <c r="Q67" s="11">
        <v>4.6500000000000004</v>
      </c>
      <c r="R67" s="11">
        <v>1</v>
      </c>
      <c r="S67" s="11">
        <f t="shared" si="8"/>
        <v>40.75</v>
      </c>
      <c r="T67" s="11">
        <f t="shared" si="9"/>
        <v>14.72</v>
      </c>
      <c r="U67" s="11">
        <f t="shared" si="10"/>
        <v>6.66</v>
      </c>
      <c r="V67" s="11">
        <f t="shared" si="11"/>
        <v>1.22</v>
      </c>
      <c r="W67" s="11" t="s">
        <v>66</v>
      </c>
      <c r="X67" s="11">
        <v>0</v>
      </c>
      <c r="Y67" s="11">
        <f t="shared" si="12"/>
        <v>27.25</v>
      </c>
      <c r="Z67" s="11">
        <f t="shared" si="13"/>
        <v>13.5</v>
      </c>
      <c r="AA67" s="12">
        <f t="shared" si="14"/>
        <v>0.33128834355828218</v>
      </c>
      <c r="AB67" s="13">
        <f t="shared" si="15"/>
        <v>8.763440860215054</v>
      </c>
      <c r="AC67" t="s">
        <v>67</v>
      </c>
    </row>
    <row r="68" spans="1:29" ht="14.25" customHeight="1" x14ac:dyDescent="0.45">
      <c r="A68" t="s">
        <v>191</v>
      </c>
      <c r="B68" s="10">
        <v>45720</v>
      </c>
      <c r="C68">
        <v>2025</v>
      </c>
      <c r="D68">
        <v>3</v>
      </c>
      <c r="E68" t="s">
        <v>122</v>
      </c>
      <c r="F68" t="s">
        <v>123</v>
      </c>
      <c r="G68" t="s">
        <v>105</v>
      </c>
      <c r="H68" t="s">
        <v>86</v>
      </c>
      <c r="I68" t="s">
        <v>87</v>
      </c>
      <c r="J68" t="s">
        <v>88</v>
      </c>
      <c r="K68" t="s">
        <v>89</v>
      </c>
      <c r="L68" t="s">
        <v>90</v>
      </c>
      <c r="M68" s="11">
        <v>59.3</v>
      </c>
      <c r="N68" s="11">
        <v>22.66</v>
      </c>
      <c r="O68" s="11">
        <v>7.67</v>
      </c>
      <c r="P68" s="11">
        <v>0.03</v>
      </c>
      <c r="Q68" s="11">
        <v>8.89</v>
      </c>
      <c r="R68" s="11">
        <v>1</v>
      </c>
      <c r="S68" s="11">
        <f t="shared" si="8"/>
        <v>59.3</v>
      </c>
      <c r="T68" s="11">
        <f t="shared" si="9"/>
        <v>22.66</v>
      </c>
      <c r="U68" s="11">
        <f t="shared" si="10"/>
        <v>7.67</v>
      </c>
      <c r="V68" s="11">
        <f t="shared" si="11"/>
        <v>1.78</v>
      </c>
      <c r="W68" s="11" t="s">
        <v>66</v>
      </c>
      <c r="X68" s="11">
        <v>0</v>
      </c>
      <c r="Y68" s="11">
        <f t="shared" si="12"/>
        <v>41</v>
      </c>
      <c r="Z68" s="11">
        <f t="shared" si="13"/>
        <v>18.299999999999997</v>
      </c>
      <c r="AA68" s="12">
        <f t="shared" si="14"/>
        <v>0.30860033726812813</v>
      </c>
      <c r="AB68" s="13">
        <f t="shared" si="15"/>
        <v>6.6704161979752525</v>
      </c>
      <c r="AC68" t="s">
        <v>67</v>
      </c>
    </row>
    <row r="69" spans="1:29" ht="14.25" customHeight="1" x14ac:dyDescent="0.45">
      <c r="A69" t="s">
        <v>192</v>
      </c>
      <c r="B69" s="10">
        <v>45720</v>
      </c>
      <c r="C69">
        <v>2025</v>
      </c>
      <c r="D69">
        <v>3</v>
      </c>
      <c r="E69" t="s">
        <v>58</v>
      </c>
      <c r="F69" t="s">
        <v>92</v>
      </c>
      <c r="G69" t="s">
        <v>60</v>
      </c>
      <c r="H69" t="s">
        <v>61</v>
      </c>
      <c r="I69" t="s">
        <v>81</v>
      </c>
      <c r="J69" t="s">
        <v>82</v>
      </c>
      <c r="K69" t="s">
        <v>83</v>
      </c>
      <c r="L69" t="s">
        <v>84</v>
      </c>
      <c r="M69" s="11">
        <v>23.12</v>
      </c>
      <c r="N69" s="11">
        <v>6.07</v>
      </c>
      <c r="O69" s="11">
        <v>3.28</v>
      </c>
      <c r="P69" s="11">
        <v>0.03</v>
      </c>
      <c r="Q69" s="11">
        <v>12.53</v>
      </c>
      <c r="R69" s="11">
        <v>3</v>
      </c>
      <c r="S69" s="11">
        <f t="shared" si="8"/>
        <v>69.36</v>
      </c>
      <c r="T69" s="11">
        <f t="shared" si="9"/>
        <v>18.21</v>
      </c>
      <c r="U69" s="11">
        <f t="shared" si="10"/>
        <v>9.84</v>
      </c>
      <c r="V69" s="11">
        <f t="shared" si="11"/>
        <v>2.08</v>
      </c>
      <c r="W69" s="11" t="s">
        <v>154</v>
      </c>
      <c r="X69" s="11">
        <v>52.19</v>
      </c>
      <c r="Y69" s="11">
        <f t="shared" si="12"/>
        <v>94.85</v>
      </c>
      <c r="Z69" s="11">
        <f t="shared" si="13"/>
        <v>-25.489999999999995</v>
      </c>
      <c r="AA69" s="12">
        <f t="shared" si="14"/>
        <v>-0.36750288350634364</v>
      </c>
      <c r="AB69" s="13">
        <f t="shared" si="15"/>
        <v>5.5355147645650442</v>
      </c>
      <c r="AC69" t="s">
        <v>155</v>
      </c>
    </row>
    <row r="70" spans="1:29" ht="14.25" customHeight="1" x14ac:dyDescent="0.45">
      <c r="A70" t="s">
        <v>193</v>
      </c>
      <c r="B70" s="10">
        <v>45721</v>
      </c>
      <c r="C70">
        <v>2025</v>
      </c>
      <c r="D70">
        <v>3</v>
      </c>
      <c r="E70" t="s">
        <v>122</v>
      </c>
      <c r="F70" t="s">
        <v>123</v>
      </c>
      <c r="G70" t="s">
        <v>105</v>
      </c>
      <c r="H70" t="s">
        <v>86</v>
      </c>
      <c r="I70" t="s">
        <v>87</v>
      </c>
      <c r="J70" t="s">
        <v>88</v>
      </c>
      <c r="K70" t="s">
        <v>89</v>
      </c>
      <c r="L70" t="s">
        <v>90</v>
      </c>
      <c r="M70" s="11">
        <v>62.22</v>
      </c>
      <c r="N70" s="11">
        <v>21.1</v>
      </c>
      <c r="O70" s="11">
        <v>7.38</v>
      </c>
      <c r="P70" s="11">
        <v>0.03</v>
      </c>
      <c r="Q70" s="11">
        <v>7.5</v>
      </c>
      <c r="R70" s="11">
        <v>2</v>
      </c>
      <c r="S70" s="11">
        <f t="shared" si="8"/>
        <v>124.44</v>
      </c>
      <c r="T70" s="11">
        <f t="shared" si="9"/>
        <v>42.2</v>
      </c>
      <c r="U70" s="11">
        <f t="shared" si="10"/>
        <v>14.76</v>
      </c>
      <c r="V70" s="11">
        <f t="shared" si="11"/>
        <v>3.73</v>
      </c>
      <c r="W70" s="11" t="s">
        <v>66</v>
      </c>
      <c r="X70" s="11">
        <v>0</v>
      </c>
      <c r="Y70" s="11">
        <f t="shared" si="12"/>
        <v>68.19</v>
      </c>
      <c r="Z70" s="11">
        <f t="shared" si="13"/>
        <v>56.25</v>
      </c>
      <c r="AA70" s="12">
        <f t="shared" si="14"/>
        <v>0.45202507232401157</v>
      </c>
      <c r="AB70" s="13">
        <f t="shared" si="15"/>
        <v>16.591999999999999</v>
      </c>
      <c r="AC70" t="s">
        <v>67</v>
      </c>
    </row>
    <row r="71" spans="1:29" ht="14.25" customHeight="1" x14ac:dyDescent="0.45">
      <c r="A71" t="s">
        <v>194</v>
      </c>
      <c r="B71" s="10">
        <v>45721</v>
      </c>
      <c r="C71">
        <v>2025</v>
      </c>
      <c r="D71">
        <v>3</v>
      </c>
      <c r="E71" t="s">
        <v>95</v>
      </c>
      <c r="F71" t="s">
        <v>96</v>
      </c>
      <c r="G71" t="s">
        <v>79</v>
      </c>
      <c r="H71" t="s">
        <v>86</v>
      </c>
      <c r="I71" t="s">
        <v>62</v>
      </c>
      <c r="J71" t="s">
        <v>63</v>
      </c>
      <c r="K71" t="s">
        <v>64</v>
      </c>
      <c r="L71" t="s">
        <v>65</v>
      </c>
      <c r="M71" s="11">
        <v>33.57</v>
      </c>
      <c r="N71" s="11">
        <v>9.57</v>
      </c>
      <c r="O71" s="11">
        <v>4.49</v>
      </c>
      <c r="P71" s="11">
        <v>0.03</v>
      </c>
      <c r="Q71" s="11">
        <v>3.97</v>
      </c>
      <c r="R71" s="11">
        <v>1</v>
      </c>
      <c r="S71" s="11">
        <f t="shared" si="8"/>
        <v>33.57</v>
      </c>
      <c r="T71" s="11">
        <f t="shared" si="9"/>
        <v>9.57</v>
      </c>
      <c r="U71" s="11">
        <f t="shared" si="10"/>
        <v>4.49</v>
      </c>
      <c r="V71" s="11">
        <f t="shared" si="11"/>
        <v>1.01</v>
      </c>
      <c r="W71" s="11" t="s">
        <v>66</v>
      </c>
      <c r="X71" s="11">
        <v>0</v>
      </c>
      <c r="Y71" s="11">
        <f t="shared" si="12"/>
        <v>19.04</v>
      </c>
      <c r="Z71" s="11">
        <f t="shared" si="13"/>
        <v>14.530000000000001</v>
      </c>
      <c r="AA71" s="12">
        <f t="shared" si="14"/>
        <v>0.43282692880548113</v>
      </c>
      <c r="AB71" s="13">
        <f t="shared" si="15"/>
        <v>8.4559193954659939</v>
      </c>
      <c r="AC71" t="s">
        <v>67</v>
      </c>
    </row>
    <row r="72" spans="1:29" ht="14.25" customHeight="1" x14ac:dyDescent="0.45">
      <c r="A72" t="s">
        <v>195</v>
      </c>
      <c r="B72" s="10">
        <v>45722</v>
      </c>
      <c r="C72">
        <v>2025</v>
      </c>
      <c r="D72">
        <v>3</v>
      </c>
      <c r="E72" t="s">
        <v>77</v>
      </c>
      <c r="F72" t="s">
        <v>102</v>
      </c>
      <c r="G72" t="s">
        <v>105</v>
      </c>
      <c r="H72" t="s">
        <v>80</v>
      </c>
      <c r="I72" t="s">
        <v>72</v>
      </c>
      <c r="J72" t="s">
        <v>73</v>
      </c>
      <c r="K72" t="s">
        <v>74</v>
      </c>
      <c r="L72" t="s">
        <v>75</v>
      </c>
      <c r="M72" s="11">
        <v>47.88</v>
      </c>
      <c r="N72" s="11">
        <v>15.04</v>
      </c>
      <c r="O72" s="11">
        <v>7.13</v>
      </c>
      <c r="P72" s="11">
        <v>0.03</v>
      </c>
      <c r="Q72" s="11">
        <v>5.94</v>
      </c>
      <c r="R72" s="11">
        <v>1</v>
      </c>
      <c r="S72" s="11">
        <f t="shared" si="8"/>
        <v>47.88</v>
      </c>
      <c r="T72" s="11">
        <f t="shared" si="9"/>
        <v>15.04</v>
      </c>
      <c r="U72" s="11">
        <f t="shared" si="10"/>
        <v>7.13</v>
      </c>
      <c r="V72" s="11">
        <f t="shared" si="11"/>
        <v>1.44</v>
      </c>
      <c r="W72" s="11" t="s">
        <v>66</v>
      </c>
      <c r="X72" s="11">
        <v>0</v>
      </c>
      <c r="Y72" s="11">
        <f t="shared" si="12"/>
        <v>29.55</v>
      </c>
      <c r="Z72" s="11">
        <f t="shared" si="13"/>
        <v>18.330000000000002</v>
      </c>
      <c r="AA72" s="12">
        <f t="shared" si="14"/>
        <v>0.38283208020050125</v>
      </c>
      <c r="AB72" s="13">
        <f t="shared" si="15"/>
        <v>8.0606060606060606</v>
      </c>
      <c r="AC72" t="s">
        <v>67</v>
      </c>
    </row>
    <row r="73" spans="1:29" ht="14.25" customHeight="1" x14ac:dyDescent="0.45">
      <c r="A73" t="s">
        <v>196</v>
      </c>
      <c r="B73" s="10">
        <v>45724</v>
      </c>
      <c r="C73">
        <v>2025</v>
      </c>
      <c r="D73">
        <v>3</v>
      </c>
      <c r="E73" t="s">
        <v>58</v>
      </c>
      <c r="F73" t="s">
        <v>92</v>
      </c>
      <c r="G73" t="s">
        <v>105</v>
      </c>
      <c r="H73" t="s">
        <v>112</v>
      </c>
      <c r="I73" t="s">
        <v>97</v>
      </c>
      <c r="J73" t="s">
        <v>98</v>
      </c>
      <c r="K73" t="s">
        <v>99</v>
      </c>
      <c r="L73" t="s">
        <v>100</v>
      </c>
      <c r="M73" s="11">
        <v>34.97</v>
      </c>
      <c r="N73" s="11">
        <v>9.7100000000000009</v>
      </c>
      <c r="O73" s="11">
        <v>4.17</v>
      </c>
      <c r="P73" s="11">
        <v>0.03</v>
      </c>
      <c r="Q73" s="11">
        <v>8.59</v>
      </c>
      <c r="R73" s="11">
        <v>1</v>
      </c>
      <c r="S73" s="11">
        <f t="shared" si="8"/>
        <v>34.97</v>
      </c>
      <c r="T73" s="11">
        <f t="shared" si="9"/>
        <v>9.7100000000000009</v>
      </c>
      <c r="U73" s="11">
        <f t="shared" si="10"/>
        <v>4.17</v>
      </c>
      <c r="V73" s="11">
        <f t="shared" si="11"/>
        <v>1.05</v>
      </c>
      <c r="W73" s="11" t="s">
        <v>66</v>
      </c>
      <c r="X73" s="11">
        <v>0</v>
      </c>
      <c r="Y73" s="11">
        <f t="shared" si="12"/>
        <v>23.520000000000003</v>
      </c>
      <c r="Z73" s="11">
        <f t="shared" si="13"/>
        <v>11.449999999999996</v>
      </c>
      <c r="AA73" s="12">
        <f t="shared" si="14"/>
        <v>0.32742350586216745</v>
      </c>
      <c r="AB73" s="13">
        <f t="shared" si="15"/>
        <v>4.0710128055878929</v>
      </c>
      <c r="AC73" t="s">
        <v>67</v>
      </c>
    </row>
    <row r="74" spans="1:29" ht="14.25" customHeight="1" x14ac:dyDescent="0.45">
      <c r="A74" t="s">
        <v>197</v>
      </c>
      <c r="B74" s="10">
        <v>45725</v>
      </c>
      <c r="C74">
        <v>2025</v>
      </c>
      <c r="D74">
        <v>3</v>
      </c>
      <c r="E74" t="s">
        <v>122</v>
      </c>
      <c r="F74" t="s">
        <v>123</v>
      </c>
      <c r="G74" t="s">
        <v>60</v>
      </c>
      <c r="H74" t="s">
        <v>80</v>
      </c>
      <c r="I74" t="s">
        <v>138</v>
      </c>
      <c r="J74" t="s">
        <v>139</v>
      </c>
      <c r="K74" t="s">
        <v>89</v>
      </c>
      <c r="L74" t="s">
        <v>140</v>
      </c>
      <c r="M74" s="11">
        <v>36.47</v>
      </c>
      <c r="N74" s="11">
        <v>8.11</v>
      </c>
      <c r="O74" s="11">
        <v>3.83</v>
      </c>
      <c r="P74" s="11">
        <v>0.03</v>
      </c>
      <c r="Q74" s="11">
        <v>6</v>
      </c>
      <c r="R74" s="11">
        <v>1</v>
      </c>
      <c r="S74" s="11">
        <f t="shared" si="8"/>
        <v>36.47</v>
      </c>
      <c r="T74" s="11">
        <f t="shared" si="9"/>
        <v>8.11</v>
      </c>
      <c r="U74" s="11">
        <f t="shared" si="10"/>
        <v>3.83</v>
      </c>
      <c r="V74" s="11">
        <f t="shared" si="11"/>
        <v>1.0900000000000001</v>
      </c>
      <c r="W74" s="11" t="s">
        <v>66</v>
      </c>
      <c r="X74" s="11">
        <v>0</v>
      </c>
      <c r="Y74" s="11">
        <f t="shared" si="12"/>
        <v>19.03</v>
      </c>
      <c r="Z74" s="11">
        <f t="shared" si="13"/>
        <v>17.439999999999998</v>
      </c>
      <c r="AA74" s="12">
        <f t="shared" si="14"/>
        <v>0.47820126131066626</v>
      </c>
      <c r="AB74" s="13">
        <f t="shared" si="15"/>
        <v>6.0783333333333331</v>
      </c>
      <c r="AC74" t="s">
        <v>67</v>
      </c>
    </row>
    <row r="75" spans="1:29" ht="14.25" customHeight="1" x14ac:dyDescent="0.45">
      <c r="A75" t="s">
        <v>198</v>
      </c>
      <c r="B75" s="10">
        <v>45725</v>
      </c>
      <c r="C75">
        <v>2025</v>
      </c>
      <c r="D75">
        <v>3</v>
      </c>
      <c r="E75" t="s">
        <v>77</v>
      </c>
      <c r="F75" t="s">
        <v>78</v>
      </c>
      <c r="G75" t="s">
        <v>60</v>
      </c>
      <c r="H75" t="s">
        <v>61</v>
      </c>
      <c r="I75" t="s">
        <v>72</v>
      </c>
      <c r="J75" t="s">
        <v>73</v>
      </c>
      <c r="K75" t="s">
        <v>74</v>
      </c>
      <c r="L75" t="s">
        <v>75</v>
      </c>
      <c r="M75" s="11">
        <v>40.83</v>
      </c>
      <c r="N75" s="11">
        <v>14.16</v>
      </c>
      <c r="O75" s="11">
        <v>6.29</v>
      </c>
      <c r="P75" s="11">
        <v>0.03</v>
      </c>
      <c r="Q75" s="11">
        <v>16.84</v>
      </c>
      <c r="R75" s="11">
        <v>2</v>
      </c>
      <c r="S75" s="11">
        <f t="shared" si="8"/>
        <v>81.66</v>
      </c>
      <c r="T75" s="11">
        <f t="shared" si="9"/>
        <v>28.32</v>
      </c>
      <c r="U75" s="11">
        <f t="shared" si="10"/>
        <v>12.58</v>
      </c>
      <c r="V75" s="11">
        <f t="shared" si="11"/>
        <v>2.4500000000000002</v>
      </c>
      <c r="W75" s="11" t="s">
        <v>66</v>
      </c>
      <c r="X75" s="11">
        <v>0</v>
      </c>
      <c r="Y75" s="11">
        <f t="shared" si="12"/>
        <v>60.19</v>
      </c>
      <c r="Z75" s="11">
        <f t="shared" si="13"/>
        <v>21.47</v>
      </c>
      <c r="AA75" s="12">
        <f t="shared" si="14"/>
        <v>0.26291942199363211</v>
      </c>
      <c r="AB75" s="13">
        <f t="shared" si="15"/>
        <v>4.8491686460807601</v>
      </c>
      <c r="AC75" t="s">
        <v>67</v>
      </c>
    </row>
    <row r="76" spans="1:29" ht="14.25" customHeight="1" x14ac:dyDescent="0.45">
      <c r="A76" t="s">
        <v>199</v>
      </c>
      <c r="B76" s="10">
        <v>45726</v>
      </c>
      <c r="C76">
        <v>2025</v>
      </c>
      <c r="D76">
        <v>3</v>
      </c>
      <c r="E76" t="s">
        <v>77</v>
      </c>
      <c r="F76" t="s">
        <v>102</v>
      </c>
      <c r="G76" t="s">
        <v>126</v>
      </c>
      <c r="H76" t="s">
        <v>112</v>
      </c>
      <c r="I76" t="s">
        <v>62</v>
      </c>
      <c r="J76" t="s">
        <v>63</v>
      </c>
      <c r="K76" t="s">
        <v>64</v>
      </c>
      <c r="L76" t="s">
        <v>65</v>
      </c>
      <c r="M76" s="11">
        <v>36.909999999999997</v>
      </c>
      <c r="N76" s="11">
        <v>9.6</v>
      </c>
      <c r="O76" s="11">
        <v>4.3</v>
      </c>
      <c r="P76" s="11">
        <v>0.03</v>
      </c>
      <c r="Q76" s="11">
        <v>9.2899999999999991</v>
      </c>
      <c r="R76" s="11">
        <v>1</v>
      </c>
      <c r="S76" s="11">
        <f t="shared" si="8"/>
        <v>36.909999999999997</v>
      </c>
      <c r="T76" s="11">
        <f t="shared" si="9"/>
        <v>9.6</v>
      </c>
      <c r="U76" s="11">
        <f t="shared" si="10"/>
        <v>4.3</v>
      </c>
      <c r="V76" s="11">
        <f t="shared" si="11"/>
        <v>1.1100000000000001</v>
      </c>
      <c r="W76" s="11" t="s">
        <v>66</v>
      </c>
      <c r="X76" s="11">
        <v>0</v>
      </c>
      <c r="Y76" s="11">
        <f t="shared" si="12"/>
        <v>24.299999999999997</v>
      </c>
      <c r="Z76" s="11">
        <f t="shared" si="13"/>
        <v>12.61</v>
      </c>
      <c r="AA76" s="12">
        <f t="shared" si="14"/>
        <v>0.34164183148198324</v>
      </c>
      <c r="AB76" s="13">
        <f t="shared" si="15"/>
        <v>3.9730893433799785</v>
      </c>
      <c r="AC76" t="s">
        <v>67</v>
      </c>
    </row>
    <row r="77" spans="1:29" ht="14.25" customHeight="1" x14ac:dyDescent="0.45">
      <c r="A77" t="s">
        <v>200</v>
      </c>
      <c r="B77" s="10">
        <v>45726</v>
      </c>
      <c r="C77">
        <v>2025</v>
      </c>
      <c r="D77">
        <v>3</v>
      </c>
      <c r="E77" t="s">
        <v>77</v>
      </c>
      <c r="F77" t="s">
        <v>104</v>
      </c>
      <c r="G77" t="s">
        <v>126</v>
      </c>
      <c r="H77" t="s">
        <v>61</v>
      </c>
      <c r="I77" t="s">
        <v>97</v>
      </c>
      <c r="J77" t="s">
        <v>98</v>
      </c>
      <c r="K77" t="s">
        <v>99</v>
      </c>
      <c r="L77" t="s">
        <v>100</v>
      </c>
      <c r="M77" s="11">
        <v>31.8</v>
      </c>
      <c r="N77" s="11">
        <v>9.52</v>
      </c>
      <c r="O77" s="11">
        <v>4.3499999999999996</v>
      </c>
      <c r="P77" s="11">
        <v>0.03</v>
      </c>
      <c r="Q77" s="11">
        <v>8.8800000000000008</v>
      </c>
      <c r="R77" s="11">
        <v>1</v>
      </c>
      <c r="S77" s="11">
        <f t="shared" si="8"/>
        <v>31.8</v>
      </c>
      <c r="T77" s="11">
        <f t="shared" si="9"/>
        <v>9.52</v>
      </c>
      <c r="U77" s="11">
        <f t="shared" si="10"/>
        <v>4.3499999999999996</v>
      </c>
      <c r="V77" s="11">
        <f t="shared" si="11"/>
        <v>0.95</v>
      </c>
      <c r="W77" s="11" t="s">
        <v>154</v>
      </c>
      <c r="X77" s="11">
        <v>24.16</v>
      </c>
      <c r="Y77" s="11">
        <f t="shared" si="12"/>
        <v>47.86</v>
      </c>
      <c r="Z77" s="11">
        <f t="shared" si="13"/>
        <v>-16.059999999999999</v>
      </c>
      <c r="AA77" s="12">
        <f t="shared" si="14"/>
        <v>-0.5050314465408805</v>
      </c>
      <c r="AB77" s="13">
        <f t="shared" si="15"/>
        <v>3.5810810810810807</v>
      </c>
      <c r="AC77" t="s">
        <v>155</v>
      </c>
    </row>
    <row r="78" spans="1:29" ht="14.25" customHeight="1" x14ac:dyDescent="0.45">
      <c r="A78" t="s">
        <v>201</v>
      </c>
      <c r="B78" s="10">
        <v>45729</v>
      </c>
      <c r="C78">
        <v>2025</v>
      </c>
      <c r="D78">
        <v>3</v>
      </c>
      <c r="E78" t="s">
        <v>69</v>
      </c>
      <c r="F78" t="s">
        <v>70</v>
      </c>
      <c r="G78" t="s">
        <v>126</v>
      </c>
      <c r="H78" t="s">
        <v>61</v>
      </c>
      <c r="I78" t="s">
        <v>113</v>
      </c>
      <c r="J78" t="s">
        <v>114</v>
      </c>
      <c r="K78" t="s">
        <v>115</v>
      </c>
      <c r="L78" t="s">
        <v>116</v>
      </c>
      <c r="M78" s="11">
        <v>53.67</v>
      </c>
      <c r="N78" s="11">
        <v>16.149999999999999</v>
      </c>
      <c r="O78" s="11">
        <v>5.89</v>
      </c>
      <c r="P78" s="11">
        <v>0.03</v>
      </c>
      <c r="Q78" s="11">
        <v>11.87</v>
      </c>
      <c r="R78" s="11">
        <v>2</v>
      </c>
      <c r="S78" s="11">
        <f t="shared" si="8"/>
        <v>107.34</v>
      </c>
      <c r="T78" s="11">
        <f t="shared" si="9"/>
        <v>32.299999999999997</v>
      </c>
      <c r="U78" s="11">
        <f t="shared" si="10"/>
        <v>11.78</v>
      </c>
      <c r="V78" s="11">
        <f t="shared" si="11"/>
        <v>3.22</v>
      </c>
      <c r="W78" s="11" t="s">
        <v>66</v>
      </c>
      <c r="X78" s="11">
        <v>0</v>
      </c>
      <c r="Y78" s="11">
        <f t="shared" si="12"/>
        <v>59.169999999999995</v>
      </c>
      <c r="Z78" s="11">
        <f t="shared" si="13"/>
        <v>48.170000000000009</v>
      </c>
      <c r="AA78" s="12">
        <f t="shared" si="14"/>
        <v>0.4487609465250606</v>
      </c>
      <c r="AB78" s="13">
        <f t="shared" si="15"/>
        <v>9.0429654591406923</v>
      </c>
      <c r="AC78" t="s">
        <v>67</v>
      </c>
    </row>
    <row r="79" spans="1:29" ht="14.25" customHeight="1" x14ac:dyDescent="0.45">
      <c r="A79" t="s">
        <v>202</v>
      </c>
      <c r="B79" s="10">
        <v>45729</v>
      </c>
      <c r="C79">
        <v>2025</v>
      </c>
      <c r="D79">
        <v>3</v>
      </c>
      <c r="E79" t="s">
        <v>95</v>
      </c>
      <c r="F79" t="s">
        <v>96</v>
      </c>
      <c r="G79" t="s">
        <v>79</v>
      </c>
      <c r="H79" t="s">
        <v>80</v>
      </c>
      <c r="I79" t="s">
        <v>113</v>
      </c>
      <c r="J79" t="s">
        <v>114</v>
      </c>
      <c r="K79" t="s">
        <v>115</v>
      </c>
      <c r="L79" t="s">
        <v>116</v>
      </c>
      <c r="M79" s="11">
        <v>45.03</v>
      </c>
      <c r="N79" s="11">
        <v>16.46</v>
      </c>
      <c r="O79" s="11">
        <v>5.58</v>
      </c>
      <c r="P79" s="11">
        <v>0.03</v>
      </c>
      <c r="Q79" s="11">
        <v>6.3</v>
      </c>
      <c r="R79" s="11">
        <v>1</v>
      </c>
      <c r="S79" s="11">
        <f t="shared" si="8"/>
        <v>45.03</v>
      </c>
      <c r="T79" s="11">
        <f t="shared" si="9"/>
        <v>16.46</v>
      </c>
      <c r="U79" s="11">
        <f t="shared" si="10"/>
        <v>5.58</v>
      </c>
      <c r="V79" s="11">
        <f t="shared" si="11"/>
        <v>1.35</v>
      </c>
      <c r="W79" s="11" t="s">
        <v>66</v>
      </c>
      <c r="X79" s="11">
        <v>0</v>
      </c>
      <c r="Y79" s="11">
        <f t="shared" si="12"/>
        <v>29.69</v>
      </c>
      <c r="Z79" s="11">
        <f t="shared" si="13"/>
        <v>15.34</v>
      </c>
      <c r="AA79" s="12">
        <f t="shared" si="14"/>
        <v>0.34066178103486561</v>
      </c>
      <c r="AB79" s="13">
        <f t="shared" si="15"/>
        <v>7.147619047619048</v>
      </c>
      <c r="AC79" t="s">
        <v>67</v>
      </c>
    </row>
    <row r="80" spans="1:29" ht="14.25" customHeight="1" x14ac:dyDescent="0.45">
      <c r="A80" t="s">
        <v>203</v>
      </c>
      <c r="B80" s="10">
        <v>45731</v>
      </c>
      <c r="C80">
        <v>2025</v>
      </c>
      <c r="D80">
        <v>3</v>
      </c>
      <c r="E80" t="s">
        <v>58</v>
      </c>
      <c r="F80" t="s">
        <v>59</v>
      </c>
      <c r="G80" t="s">
        <v>60</v>
      </c>
      <c r="H80" t="s">
        <v>112</v>
      </c>
      <c r="I80" t="s">
        <v>107</v>
      </c>
      <c r="J80" t="s">
        <v>108</v>
      </c>
      <c r="K80" t="s">
        <v>109</v>
      </c>
      <c r="L80" t="s">
        <v>110</v>
      </c>
      <c r="M80" s="11">
        <v>19.53</v>
      </c>
      <c r="N80" s="11">
        <v>3.59</v>
      </c>
      <c r="O80" s="11">
        <v>2.63</v>
      </c>
      <c r="P80" s="11">
        <v>0.03</v>
      </c>
      <c r="Q80" s="11">
        <v>13.24</v>
      </c>
      <c r="R80" s="11">
        <v>2</v>
      </c>
      <c r="S80" s="11">
        <f t="shared" si="8"/>
        <v>39.06</v>
      </c>
      <c r="T80" s="11">
        <f t="shared" si="9"/>
        <v>7.18</v>
      </c>
      <c r="U80" s="11">
        <f t="shared" si="10"/>
        <v>5.26</v>
      </c>
      <c r="V80" s="11">
        <f t="shared" si="11"/>
        <v>1.17</v>
      </c>
      <c r="W80" s="11" t="s">
        <v>66</v>
      </c>
      <c r="X80" s="11">
        <v>0</v>
      </c>
      <c r="Y80" s="11">
        <f t="shared" si="12"/>
        <v>26.85</v>
      </c>
      <c r="Z80" s="11">
        <f t="shared" si="13"/>
        <v>12.21</v>
      </c>
      <c r="AA80" s="12">
        <f t="shared" si="14"/>
        <v>0.31259600614439326</v>
      </c>
      <c r="AB80" s="13">
        <f t="shared" si="15"/>
        <v>2.9501510574018126</v>
      </c>
      <c r="AC80" t="s">
        <v>67</v>
      </c>
    </row>
    <row r="81" spans="1:29" ht="14.25" customHeight="1" x14ac:dyDescent="0.45">
      <c r="A81" t="s">
        <v>204</v>
      </c>
      <c r="B81" s="10">
        <v>45732</v>
      </c>
      <c r="C81">
        <v>2025</v>
      </c>
      <c r="D81">
        <v>3</v>
      </c>
      <c r="E81" t="s">
        <v>69</v>
      </c>
      <c r="F81" t="s">
        <v>70</v>
      </c>
      <c r="G81" t="s">
        <v>93</v>
      </c>
      <c r="H81" t="s">
        <v>86</v>
      </c>
      <c r="I81" t="s">
        <v>113</v>
      </c>
      <c r="J81" t="s">
        <v>114</v>
      </c>
      <c r="K81" t="s">
        <v>115</v>
      </c>
      <c r="L81" t="s">
        <v>116</v>
      </c>
      <c r="M81" s="11">
        <v>55.84</v>
      </c>
      <c r="N81" s="11">
        <v>15.56</v>
      </c>
      <c r="O81" s="11">
        <v>6.64</v>
      </c>
      <c r="P81" s="11">
        <v>0.03</v>
      </c>
      <c r="Q81" s="11">
        <v>26.44</v>
      </c>
      <c r="R81" s="11">
        <v>3</v>
      </c>
      <c r="S81" s="11">
        <f t="shared" si="8"/>
        <v>167.52</v>
      </c>
      <c r="T81" s="11">
        <f t="shared" si="9"/>
        <v>46.68</v>
      </c>
      <c r="U81" s="11">
        <f t="shared" si="10"/>
        <v>19.919999999999998</v>
      </c>
      <c r="V81" s="11">
        <f t="shared" si="11"/>
        <v>5.03</v>
      </c>
      <c r="W81" s="11" t="s">
        <v>66</v>
      </c>
      <c r="X81" s="11">
        <v>0</v>
      </c>
      <c r="Y81" s="11">
        <f t="shared" si="12"/>
        <v>98.07</v>
      </c>
      <c r="Z81" s="11">
        <f t="shared" si="13"/>
        <v>69.450000000000017</v>
      </c>
      <c r="AA81" s="12">
        <f t="shared" si="14"/>
        <v>0.41457736389684824</v>
      </c>
      <c r="AB81" s="13">
        <f t="shared" si="15"/>
        <v>6.3358547655068076</v>
      </c>
      <c r="AC81" t="s">
        <v>67</v>
      </c>
    </row>
    <row r="82" spans="1:29" ht="14.25" customHeight="1" x14ac:dyDescent="0.45">
      <c r="A82" t="s">
        <v>205</v>
      </c>
      <c r="B82" s="10">
        <v>45732</v>
      </c>
      <c r="C82">
        <v>2025</v>
      </c>
      <c r="D82">
        <v>3</v>
      </c>
      <c r="E82" t="s">
        <v>122</v>
      </c>
      <c r="F82" t="s">
        <v>123</v>
      </c>
      <c r="G82" t="s">
        <v>126</v>
      </c>
      <c r="H82" t="s">
        <v>86</v>
      </c>
      <c r="I82" t="s">
        <v>113</v>
      </c>
      <c r="J82" t="s">
        <v>114</v>
      </c>
      <c r="K82" t="s">
        <v>115</v>
      </c>
      <c r="L82" t="s">
        <v>116</v>
      </c>
      <c r="M82" s="11">
        <v>51.97</v>
      </c>
      <c r="N82" s="11">
        <v>16.64</v>
      </c>
      <c r="O82" s="11">
        <v>5.41</v>
      </c>
      <c r="P82" s="11">
        <v>0.03</v>
      </c>
      <c r="Q82" s="11">
        <v>16.760000000000002</v>
      </c>
      <c r="R82" s="11">
        <v>2</v>
      </c>
      <c r="S82" s="11">
        <f t="shared" si="8"/>
        <v>103.94</v>
      </c>
      <c r="T82" s="11">
        <f t="shared" si="9"/>
        <v>33.28</v>
      </c>
      <c r="U82" s="11">
        <f t="shared" si="10"/>
        <v>10.82</v>
      </c>
      <c r="V82" s="11">
        <f t="shared" si="11"/>
        <v>3.12</v>
      </c>
      <c r="W82" s="11" t="s">
        <v>66</v>
      </c>
      <c r="X82" s="11">
        <v>0</v>
      </c>
      <c r="Y82" s="11">
        <f t="shared" si="12"/>
        <v>63.980000000000004</v>
      </c>
      <c r="Z82" s="11">
        <f t="shared" si="13"/>
        <v>39.959999999999994</v>
      </c>
      <c r="AA82" s="12">
        <f t="shared" si="14"/>
        <v>0.38445256878968631</v>
      </c>
      <c r="AB82" s="13">
        <f t="shared" si="15"/>
        <v>6.2016706443914078</v>
      </c>
      <c r="AC82" t="s">
        <v>67</v>
      </c>
    </row>
    <row r="83" spans="1:29" ht="14.25" customHeight="1" x14ac:dyDescent="0.45">
      <c r="A83" t="s">
        <v>206</v>
      </c>
      <c r="B83" s="10">
        <v>45733</v>
      </c>
      <c r="C83">
        <v>2025</v>
      </c>
      <c r="D83">
        <v>3</v>
      </c>
      <c r="E83" t="s">
        <v>77</v>
      </c>
      <c r="F83" t="s">
        <v>102</v>
      </c>
      <c r="G83" t="s">
        <v>105</v>
      </c>
      <c r="H83" t="s">
        <v>127</v>
      </c>
      <c r="I83" t="s">
        <v>81</v>
      </c>
      <c r="J83" t="s">
        <v>82</v>
      </c>
      <c r="K83" t="s">
        <v>83</v>
      </c>
      <c r="L83" t="s">
        <v>84</v>
      </c>
      <c r="M83" s="11">
        <v>23.28</v>
      </c>
      <c r="N83" s="11">
        <v>5.9</v>
      </c>
      <c r="O83" s="11">
        <v>3.55</v>
      </c>
      <c r="P83" s="11">
        <v>0.03</v>
      </c>
      <c r="Q83" s="11">
        <v>15.55</v>
      </c>
      <c r="R83" s="11">
        <v>2</v>
      </c>
      <c r="S83" s="11">
        <f t="shared" si="8"/>
        <v>46.56</v>
      </c>
      <c r="T83" s="11">
        <f t="shared" si="9"/>
        <v>11.8</v>
      </c>
      <c r="U83" s="11">
        <f t="shared" si="10"/>
        <v>7.1</v>
      </c>
      <c r="V83" s="11">
        <f t="shared" si="11"/>
        <v>1.4</v>
      </c>
      <c r="W83" s="11" t="s">
        <v>66</v>
      </c>
      <c r="X83" s="11">
        <v>0</v>
      </c>
      <c r="Y83" s="11">
        <f t="shared" si="12"/>
        <v>35.849999999999994</v>
      </c>
      <c r="Z83" s="11">
        <f t="shared" si="13"/>
        <v>10.710000000000008</v>
      </c>
      <c r="AA83" s="12">
        <f t="shared" si="14"/>
        <v>0.23002577319587644</v>
      </c>
      <c r="AB83" s="13">
        <f t="shared" si="15"/>
        <v>2.9942122186495177</v>
      </c>
      <c r="AC83" t="s">
        <v>67</v>
      </c>
    </row>
    <row r="84" spans="1:29" ht="14.25" customHeight="1" x14ac:dyDescent="0.45">
      <c r="A84" t="s">
        <v>207</v>
      </c>
      <c r="B84" s="10">
        <v>45734</v>
      </c>
      <c r="C84">
        <v>2025</v>
      </c>
      <c r="D84">
        <v>3</v>
      </c>
      <c r="E84" t="s">
        <v>58</v>
      </c>
      <c r="F84" t="s">
        <v>92</v>
      </c>
      <c r="G84" t="s">
        <v>93</v>
      </c>
      <c r="H84" t="s">
        <v>86</v>
      </c>
      <c r="I84" t="s">
        <v>113</v>
      </c>
      <c r="J84" t="s">
        <v>114</v>
      </c>
      <c r="K84" t="s">
        <v>115</v>
      </c>
      <c r="L84" t="s">
        <v>116</v>
      </c>
      <c r="M84" s="11">
        <v>55.63</v>
      </c>
      <c r="N84" s="11">
        <v>16.989999999999998</v>
      </c>
      <c r="O84" s="11">
        <v>5.84</v>
      </c>
      <c r="P84" s="11">
        <v>0.03</v>
      </c>
      <c r="Q84" s="11">
        <v>7.53</v>
      </c>
      <c r="R84" s="11">
        <v>1</v>
      </c>
      <c r="S84" s="11">
        <f t="shared" si="8"/>
        <v>55.63</v>
      </c>
      <c r="T84" s="11">
        <f t="shared" si="9"/>
        <v>16.989999999999998</v>
      </c>
      <c r="U84" s="11">
        <f t="shared" si="10"/>
        <v>5.84</v>
      </c>
      <c r="V84" s="11">
        <f t="shared" si="11"/>
        <v>1.67</v>
      </c>
      <c r="W84" s="11" t="s">
        <v>66</v>
      </c>
      <c r="X84" s="11">
        <v>0</v>
      </c>
      <c r="Y84" s="11">
        <f t="shared" si="12"/>
        <v>32.03</v>
      </c>
      <c r="Z84" s="11">
        <f t="shared" si="13"/>
        <v>23.6</v>
      </c>
      <c r="AA84" s="12">
        <f t="shared" si="14"/>
        <v>0.42423152975013484</v>
      </c>
      <c r="AB84" s="13">
        <f t="shared" si="15"/>
        <v>7.3877822045152719</v>
      </c>
      <c r="AC84" t="s">
        <v>67</v>
      </c>
    </row>
    <row r="85" spans="1:29" ht="14.25" customHeight="1" x14ac:dyDescent="0.45">
      <c r="A85" t="s">
        <v>208</v>
      </c>
      <c r="B85" s="10">
        <v>45736</v>
      </c>
      <c r="C85">
        <v>2025</v>
      </c>
      <c r="D85">
        <v>3</v>
      </c>
      <c r="E85" t="s">
        <v>77</v>
      </c>
      <c r="F85" t="s">
        <v>78</v>
      </c>
      <c r="G85" t="s">
        <v>93</v>
      </c>
      <c r="H85" t="s">
        <v>86</v>
      </c>
      <c r="I85" t="s">
        <v>147</v>
      </c>
      <c r="J85" t="s">
        <v>148</v>
      </c>
      <c r="K85" t="s">
        <v>149</v>
      </c>
      <c r="L85" t="s">
        <v>150</v>
      </c>
      <c r="M85" s="11">
        <v>30.87</v>
      </c>
      <c r="N85" s="11">
        <v>7.4</v>
      </c>
      <c r="O85" s="11">
        <v>4.59</v>
      </c>
      <c r="P85" s="11">
        <v>0.03</v>
      </c>
      <c r="Q85" s="11">
        <v>8.67</v>
      </c>
      <c r="R85" s="11">
        <v>1</v>
      </c>
      <c r="S85" s="11">
        <f t="shared" si="8"/>
        <v>30.87</v>
      </c>
      <c r="T85" s="11">
        <f t="shared" si="9"/>
        <v>7.4</v>
      </c>
      <c r="U85" s="11">
        <f t="shared" si="10"/>
        <v>4.59</v>
      </c>
      <c r="V85" s="11">
        <f t="shared" si="11"/>
        <v>0.93</v>
      </c>
      <c r="W85" s="11" t="s">
        <v>66</v>
      </c>
      <c r="X85" s="11">
        <v>0</v>
      </c>
      <c r="Y85" s="11">
        <f t="shared" si="12"/>
        <v>21.59</v>
      </c>
      <c r="Z85" s="11">
        <f t="shared" si="13"/>
        <v>9.2800000000000011</v>
      </c>
      <c r="AA85" s="12">
        <f t="shared" si="14"/>
        <v>0.30061548428895368</v>
      </c>
      <c r="AB85" s="13">
        <f t="shared" si="15"/>
        <v>3.5605536332179932</v>
      </c>
      <c r="AC85" t="s">
        <v>67</v>
      </c>
    </row>
    <row r="86" spans="1:29" ht="14.25" customHeight="1" x14ac:dyDescent="0.45">
      <c r="A86" t="s">
        <v>209</v>
      </c>
      <c r="B86" s="10">
        <v>45736</v>
      </c>
      <c r="C86">
        <v>2025</v>
      </c>
      <c r="D86">
        <v>3</v>
      </c>
      <c r="E86" t="s">
        <v>95</v>
      </c>
      <c r="F86" t="s">
        <v>96</v>
      </c>
      <c r="G86" t="s">
        <v>79</v>
      </c>
      <c r="H86" t="s">
        <v>86</v>
      </c>
      <c r="I86" t="s">
        <v>107</v>
      </c>
      <c r="J86" t="s">
        <v>108</v>
      </c>
      <c r="K86" t="s">
        <v>109</v>
      </c>
      <c r="L86" t="s">
        <v>110</v>
      </c>
      <c r="M86" s="11">
        <v>20.440000000000001</v>
      </c>
      <c r="N86" s="11">
        <v>3.58</v>
      </c>
      <c r="O86" s="11">
        <v>2.5099999999999998</v>
      </c>
      <c r="P86" s="11">
        <v>0.03</v>
      </c>
      <c r="Q86" s="11">
        <v>4.16</v>
      </c>
      <c r="R86" s="11">
        <v>2</v>
      </c>
      <c r="S86" s="11">
        <f t="shared" si="8"/>
        <v>40.880000000000003</v>
      </c>
      <c r="T86" s="11">
        <f t="shared" si="9"/>
        <v>7.16</v>
      </c>
      <c r="U86" s="11">
        <f t="shared" si="10"/>
        <v>5.0199999999999996</v>
      </c>
      <c r="V86" s="11">
        <f t="shared" si="11"/>
        <v>1.23</v>
      </c>
      <c r="W86" s="11" t="s">
        <v>66</v>
      </c>
      <c r="X86" s="11">
        <v>0</v>
      </c>
      <c r="Y86" s="11">
        <f t="shared" si="12"/>
        <v>17.57</v>
      </c>
      <c r="Z86" s="11">
        <f t="shared" si="13"/>
        <v>23.310000000000002</v>
      </c>
      <c r="AA86" s="12">
        <f t="shared" si="14"/>
        <v>0.5702054794520548</v>
      </c>
      <c r="AB86" s="13">
        <f t="shared" si="15"/>
        <v>9.8269230769230766</v>
      </c>
      <c r="AC86" t="s">
        <v>67</v>
      </c>
    </row>
    <row r="87" spans="1:29" ht="14.25" customHeight="1" x14ac:dyDescent="0.45">
      <c r="A87" t="s">
        <v>210</v>
      </c>
      <c r="B87" s="10">
        <v>45737</v>
      </c>
      <c r="C87">
        <v>2025</v>
      </c>
      <c r="D87">
        <v>3</v>
      </c>
      <c r="E87" t="s">
        <v>69</v>
      </c>
      <c r="F87" t="s">
        <v>70</v>
      </c>
      <c r="G87" t="s">
        <v>126</v>
      </c>
      <c r="H87" t="s">
        <v>112</v>
      </c>
      <c r="I87" t="s">
        <v>113</v>
      </c>
      <c r="J87" t="s">
        <v>114</v>
      </c>
      <c r="K87" t="s">
        <v>115</v>
      </c>
      <c r="L87" t="s">
        <v>116</v>
      </c>
      <c r="M87" s="11">
        <v>45.52</v>
      </c>
      <c r="N87" s="11">
        <v>16.59</v>
      </c>
      <c r="O87" s="11">
        <v>5.97</v>
      </c>
      <c r="P87" s="11">
        <v>0.03</v>
      </c>
      <c r="Q87" s="11">
        <v>8.6</v>
      </c>
      <c r="R87" s="11">
        <v>1</v>
      </c>
      <c r="S87" s="11">
        <f t="shared" si="8"/>
        <v>45.52</v>
      </c>
      <c r="T87" s="11">
        <f t="shared" si="9"/>
        <v>16.59</v>
      </c>
      <c r="U87" s="11">
        <f t="shared" si="10"/>
        <v>5.97</v>
      </c>
      <c r="V87" s="11">
        <f t="shared" si="11"/>
        <v>1.37</v>
      </c>
      <c r="W87" s="11" t="s">
        <v>66</v>
      </c>
      <c r="X87" s="11">
        <v>0</v>
      </c>
      <c r="Y87" s="11">
        <f t="shared" si="12"/>
        <v>32.53</v>
      </c>
      <c r="Z87" s="11">
        <f t="shared" si="13"/>
        <v>12.990000000000002</v>
      </c>
      <c r="AA87" s="12">
        <f t="shared" si="14"/>
        <v>0.28536906854130056</v>
      </c>
      <c r="AB87" s="13">
        <f t="shared" si="15"/>
        <v>5.2930232558139538</v>
      </c>
      <c r="AC87" t="s">
        <v>67</v>
      </c>
    </row>
    <row r="88" spans="1:29" ht="14.25" customHeight="1" x14ac:dyDescent="0.45">
      <c r="A88" t="s">
        <v>211</v>
      </c>
      <c r="B88" s="10">
        <v>45738</v>
      </c>
      <c r="C88">
        <v>2025</v>
      </c>
      <c r="D88">
        <v>3</v>
      </c>
      <c r="E88" t="s">
        <v>122</v>
      </c>
      <c r="F88" t="s">
        <v>123</v>
      </c>
      <c r="G88" t="s">
        <v>60</v>
      </c>
      <c r="H88" t="s">
        <v>80</v>
      </c>
      <c r="I88" t="s">
        <v>133</v>
      </c>
      <c r="J88" t="s">
        <v>134</v>
      </c>
      <c r="K88" t="s">
        <v>135</v>
      </c>
      <c r="L88" t="s">
        <v>136</v>
      </c>
      <c r="M88" s="11">
        <v>16.38</v>
      </c>
      <c r="N88" s="11">
        <v>2.0499999999999998</v>
      </c>
      <c r="O88" s="11">
        <v>2.08</v>
      </c>
      <c r="P88" s="11">
        <v>0.03</v>
      </c>
      <c r="Q88" s="11">
        <v>6.69</v>
      </c>
      <c r="R88" s="11">
        <v>3</v>
      </c>
      <c r="S88" s="11">
        <f t="shared" si="8"/>
        <v>49.14</v>
      </c>
      <c r="T88" s="11">
        <f t="shared" si="9"/>
        <v>6.1499999999999995</v>
      </c>
      <c r="U88" s="11">
        <f t="shared" si="10"/>
        <v>6.24</v>
      </c>
      <c r="V88" s="11">
        <f t="shared" si="11"/>
        <v>1.47</v>
      </c>
      <c r="W88" s="11" t="s">
        <v>66</v>
      </c>
      <c r="X88" s="11">
        <v>0</v>
      </c>
      <c r="Y88" s="11">
        <f t="shared" si="12"/>
        <v>20.55</v>
      </c>
      <c r="Z88" s="11">
        <f t="shared" si="13"/>
        <v>28.59</v>
      </c>
      <c r="AA88" s="12">
        <f t="shared" si="14"/>
        <v>0.58180708180708185</v>
      </c>
      <c r="AB88" s="13">
        <f t="shared" si="15"/>
        <v>7.3452914798206272</v>
      </c>
      <c r="AC88" t="s">
        <v>67</v>
      </c>
    </row>
    <row r="89" spans="1:29" ht="14.25" customHeight="1" x14ac:dyDescent="0.45">
      <c r="A89" t="s">
        <v>212</v>
      </c>
      <c r="B89" s="10">
        <v>45740</v>
      </c>
      <c r="C89">
        <v>2025</v>
      </c>
      <c r="D89">
        <v>3</v>
      </c>
      <c r="E89" t="s">
        <v>77</v>
      </c>
      <c r="F89" t="s">
        <v>78</v>
      </c>
      <c r="G89" t="s">
        <v>105</v>
      </c>
      <c r="H89" t="s">
        <v>86</v>
      </c>
      <c r="I89" t="s">
        <v>62</v>
      </c>
      <c r="J89" t="s">
        <v>63</v>
      </c>
      <c r="K89" t="s">
        <v>64</v>
      </c>
      <c r="L89" t="s">
        <v>65</v>
      </c>
      <c r="M89" s="11">
        <v>34.200000000000003</v>
      </c>
      <c r="N89" s="11">
        <v>10.31</v>
      </c>
      <c r="O89" s="11">
        <v>3.77</v>
      </c>
      <c r="P89" s="11">
        <v>0.03</v>
      </c>
      <c r="Q89" s="11">
        <v>20.49</v>
      </c>
      <c r="R89" s="11">
        <v>2</v>
      </c>
      <c r="S89" s="11">
        <f t="shared" si="8"/>
        <v>68.400000000000006</v>
      </c>
      <c r="T89" s="11">
        <f t="shared" si="9"/>
        <v>20.62</v>
      </c>
      <c r="U89" s="11">
        <f t="shared" si="10"/>
        <v>7.54</v>
      </c>
      <c r="V89" s="11">
        <f t="shared" si="11"/>
        <v>2.0499999999999998</v>
      </c>
      <c r="W89" s="11" t="s">
        <v>66</v>
      </c>
      <c r="X89" s="11">
        <v>0</v>
      </c>
      <c r="Y89" s="11">
        <f t="shared" si="12"/>
        <v>50.7</v>
      </c>
      <c r="Z89" s="11">
        <f t="shared" si="13"/>
        <v>17.700000000000003</v>
      </c>
      <c r="AA89" s="12">
        <f t="shared" si="14"/>
        <v>0.25877192982456143</v>
      </c>
      <c r="AB89" s="13">
        <f t="shared" si="15"/>
        <v>3.3382137628111277</v>
      </c>
      <c r="AC89" t="s">
        <v>67</v>
      </c>
    </row>
    <row r="90" spans="1:29" ht="14.25" customHeight="1" x14ac:dyDescent="0.45">
      <c r="A90" t="s">
        <v>213</v>
      </c>
      <c r="B90" s="10">
        <v>45741</v>
      </c>
      <c r="C90">
        <v>2025</v>
      </c>
      <c r="D90">
        <v>3</v>
      </c>
      <c r="E90" t="s">
        <v>95</v>
      </c>
      <c r="F90" t="s">
        <v>96</v>
      </c>
      <c r="G90" t="s">
        <v>93</v>
      </c>
      <c r="H90" t="s">
        <v>80</v>
      </c>
      <c r="I90" t="s">
        <v>113</v>
      </c>
      <c r="J90" t="s">
        <v>114</v>
      </c>
      <c r="K90" t="s">
        <v>115</v>
      </c>
      <c r="L90" t="s">
        <v>116</v>
      </c>
      <c r="M90" s="11">
        <v>47.1</v>
      </c>
      <c r="N90" s="11">
        <v>15.93</v>
      </c>
      <c r="O90" s="11">
        <v>5.52</v>
      </c>
      <c r="P90" s="11">
        <v>0.03</v>
      </c>
      <c r="Q90" s="11">
        <v>2.85</v>
      </c>
      <c r="R90" s="11">
        <v>1</v>
      </c>
      <c r="S90" s="11">
        <f t="shared" si="8"/>
        <v>47.1</v>
      </c>
      <c r="T90" s="11">
        <f t="shared" si="9"/>
        <v>15.93</v>
      </c>
      <c r="U90" s="11">
        <f t="shared" si="10"/>
        <v>5.52</v>
      </c>
      <c r="V90" s="11">
        <f t="shared" si="11"/>
        <v>1.41</v>
      </c>
      <c r="W90" s="11" t="s">
        <v>66</v>
      </c>
      <c r="X90" s="11">
        <v>0</v>
      </c>
      <c r="Y90" s="11">
        <f t="shared" si="12"/>
        <v>25.71</v>
      </c>
      <c r="Z90" s="11">
        <f t="shared" si="13"/>
        <v>21.39</v>
      </c>
      <c r="AA90" s="12">
        <f t="shared" si="14"/>
        <v>0.45414012738853504</v>
      </c>
      <c r="AB90" s="13">
        <f t="shared" si="15"/>
        <v>16.526315789473685</v>
      </c>
      <c r="AC90" t="s">
        <v>67</v>
      </c>
    </row>
    <row r="91" spans="1:29" ht="14.25" customHeight="1" x14ac:dyDescent="0.45">
      <c r="A91" t="s">
        <v>214</v>
      </c>
      <c r="B91" s="10">
        <v>45741</v>
      </c>
      <c r="C91">
        <v>2025</v>
      </c>
      <c r="D91">
        <v>3</v>
      </c>
      <c r="E91" t="s">
        <v>69</v>
      </c>
      <c r="F91" t="s">
        <v>70</v>
      </c>
      <c r="G91" t="s">
        <v>79</v>
      </c>
      <c r="H91" t="s">
        <v>80</v>
      </c>
      <c r="I91" t="s">
        <v>81</v>
      </c>
      <c r="J91" t="s">
        <v>82</v>
      </c>
      <c r="K91" t="s">
        <v>83</v>
      </c>
      <c r="L91" t="s">
        <v>84</v>
      </c>
      <c r="M91" s="11">
        <v>22.7</v>
      </c>
      <c r="N91" s="11">
        <v>6.35</v>
      </c>
      <c r="O91" s="11">
        <v>3.3</v>
      </c>
      <c r="P91" s="11">
        <v>0.03</v>
      </c>
      <c r="Q91" s="11">
        <v>15.42</v>
      </c>
      <c r="R91" s="11">
        <v>2</v>
      </c>
      <c r="S91" s="11">
        <f t="shared" si="8"/>
        <v>45.4</v>
      </c>
      <c r="T91" s="11">
        <f t="shared" si="9"/>
        <v>12.7</v>
      </c>
      <c r="U91" s="11">
        <f t="shared" si="10"/>
        <v>6.6</v>
      </c>
      <c r="V91" s="11">
        <f t="shared" si="11"/>
        <v>1.36</v>
      </c>
      <c r="W91" s="11" t="s">
        <v>66</v>
      </c>
      <c r="X91" s="11">
        <v>0</v>
      </c>
      <c r="Y91" s="11">
        <f t="shared" si="12"/>
        <v>36.08</v>
      </c>
      <c r="Z91" s="11">
        <f t="shared" si="13"/>
        <v>9.32</v>
      </c>
      <c r="AA91" s="12">
        <f t="shared" si="14"/>
        <v>0.2052863436123348</v>
      </c>
      <c r="AB91" s="13">
        <f t="shared" si="15"/>
        <v>2.9442282749675743</v>
      </c>
      <c r="AC91" t="s">
        <v>67</v>
      </c>
    </row>
    <row r="92" spans="1:29" ht="14.25" customHeight="1" x14ac:dyDescent="0.45">
      <c r="A92" t="s">
        <v>215</v>
      </c>
      <c r="B92" s="10">
        <v>45741</v>
      </c>
      <c r="C92">
        <v>2025</v>
      </c>
      <c r="D92">
        <v>3</v>
      </c>
      <c r="E92" t="s">
        <v>122</v>
      </c>
      <c r="F92" t="s">
        <v>123</v>
      </c>
      <c r="G92" t="s">
        <v>105</v>
      </c>
      <c r="H92" t="s">
        <v>112</v>
      </c>
      <c r="I92" t="s">
        <v>62</v>
      </c>
      <c r="J92" t="s">
        <v>63</v>
      </c>
      <c r="K92" t="s">
        <v>64</v>
      </c>
      <c r="L92" t="s">
        <v>65</v>
      </c>
      <c r="M92" s="11">
        <v>30.94</v>
      </c>
      <c r="N92" s="11">
        <v>9.9499999999999993</v>
      </c>
      <c r="O92" s="11">
        <v>4.26</v>
      </c>
      <c r="P92" s="11">
        <v>0.03</v>
      </c>
      <c r="Q92" s="11">
        <v>8.2899999999999991</v>
      </c>
      <c r="R92" s="11">
        <v>1</v>
      </c>
      <c r="S92" s="11">
        <f t="shared" si="8"/>
        <v>30.94</v>
      </c>
      <c r="T92" s="11">
        <f t="shared" si="9"/>
        <v>9.9499999999999993</v>
      </c>
      <c r="U92" s="11">
        <f t="shared" si="10"/>
        <v>4.26</v>
      </c>
      <c r="V92" s="11">
        <f t="shared" si="11"/>
        <v>0.93</v>
      </c>
      <c r="W92" s="11" t="s">
        <v>66</v>
      </c>
      <c r="X92" s="11">
        <v>0</v>
      </c>
      <c r="Y92" s="11">
        <f t="shared" si="12"/>
        <v>23.43</v>
      </c>
      <c r="Z92" s="11">
        <f t="shared" si="13"/>
        <v>7.5100000000000016</v>
      </c>
      <c r="AA92" s="12">
        <f t="shared" si="14"/>
        <v>0.24272786037491925</v>
      </c>
      <c r="AB92" s="13">
        <f t="shared" si="15"/>
        <v>3.7322074788902295</v>
      </c>
      <c r="AC92" t="s">
        <v>67</v>
      </c>
    </row>
    <row r="93" spans="1:29" ht="14.25" customHeight="1" x14ac:dyDescent="0.45">
      <c r="A93" t="s">
        <v>216</v>
      </c>
      <c r="B93" s="10">
        <v>45741</v>
      </c>
      <c r="C93">
        <v>2025</v>
      </c>
      <c r="D93">
        <v>3</v>
      </c>
      <c r="E93" t="s">
        <v>58</v>
      </c>
      <c r="F93" t="s">
        <v>59</v>
      </c>
      <c r="G93" t="s">
        <v>93</v>
      </c>
      <c r="H93" t="s">
        <v>86</v>
      </c>
      <c r="I93" t="s">
        <v>81</v>
      </c>
      <c r="J93" t="s">
        <v>82</v>
      </c>
      <c r="K93" t="s">
        <v>83</v>
      </c>
      <c r="L93" t="s">
        <v>84</v>
      </c>
      <c r="M93" s="11">
        <v>24.1</v>
      </c>
      <c r="N93" s="11">
        <v>6.22</v>
      </c>
      <c r="O93" s="11">
        <v>3.82</v>
      </c>
      <c r="P93" s="11">
        <v>0.03</v>
      </c>
      <c r="Q93" s="11">
        <v>8.8800000000000008</v>
      </c>
      <c r="R93" s="11">
        <v>1</v>
      </c>
      <c r="S93" s="11">
        <f t="shared" si="8"/>
        <v>24.1</v>
      </c>
      <c r="T93" s="11">
        <f t="shared" si="9"/>
        <v>6.22</v>
      </c>
      <c r="U93" s="11">
        <f t="shared" si="10"/>
        <v>3.82</v>
      </c>
      <c r="V93" s="11">
        <f t="shared" si="11"/>
        <v>0.72</v>
      </c>
      <c r="W93" s="11" t="s">
        <v>66</v>
      </c>
      <c r="X93" s="11">
        <v>0</v>
      </c>
      <c r="Y93" s="11">
        <f t="shared" si="12"/>
        <v>19.64</v>
      </c>
      <c r="Z93" s="11">
        <f t="shared" si="13"/>
        <v>4.4600000000000009</v>
      </c>
      <c r="AA93" s="12">
        <f t="shared" si="14"/>
        <v>0.18506224066390045</v>
      </c>
      <c r="AB93" s="13">
        <f t="shared" si="15"/>
        <v>2.7139639639639639</v>
      </c>
      <c r="AC93" t="s">
        <v>67</v>
      </c>
    </row>
    <row r="94" spans="1:29" ht="14.25" customHeight="1" x14ac:dyDescent="0.45">
      <c r="A94" t="s">
        <v>217</v>
      </c>
      <c r="B94" s="10">
        <v>45741</v>
      </c>
      <c r="C94">
        <v>2025</v>
      </c>
      <c r="D94">
        <v>3</v>
      </c>
      <c r="E94" t="s">
        <v>77</v>
      </c>
      <c r="F94" t="s">
        <v>78</v>
      </c>
      <c r="G94" t="s">
        <v>105</v>
      </c>
      <c r="H94" t="s">
        <v>112</v>
      </c>
      <c r="I94" t="s">
        <v>133</v>
      </c>
      <c r="J94" t="s">
        <v>134</v>
      </c>
      <c r="K94" t="s">
        <v>135</v>
      </c>
      <c r="L94" t="s">
        <v>136</v>
      </c>
      <c r="M94" s="11">
        <v>16.71</v>
      </c>
      <c r="N94" s="11">
        <v>1.98</v>
      </c>
      <c r="O94" s="11">
        <v>1.9</v>
      </c>
      <c r="P94" s="11">
        <v>0.03</v>
      </c>
      <c r="Q94" s="11">
        <v>9.01</v>
      </c>
      <c r="R94" s="11">
        <v>2</v>
      </c>
      <c r="S94" s="11">
        <f t="shared" si="8"/>
        <v>33.42</v>
      </c>
      <c r="T94" s="11">
        <f t="shared" si="9"/>
        <v>3.96</v>
      </c>
      <c r="U94" s="11">
        <f t="shared" si="10"/>
        <v>3.8</v>
      </c>
      <c r="V94" s="11">
        <f t="shared" si="11"/>
        <v>1</v>
      </c>
      <c r="W94" s="11" t="s">
        <v>154</v>
      </c>
      <c r="X94" s="11">
        <v>28.74</v>
      </c>
      <c r="Y94" s="11">
        <f t="shared" si="12"/>
        <v>46.51</v>
      </c>
      <c r="Z94" s="11">
        <f t="shared" si="13"/>
        <v>-13.089999999999996</v>
      </c>
      <c r="AA94" s="12">
        <f t="shared" si="14"/>
        <v>-0.39168162776780358</v>
      </c>
      <c r="AB94" s="13">
        <f t="shared" si="15"/>
        <v>3.7092119866814652</v>
      </c>
      <c r="AC94" t="s">
        <v>155</v>
      </c>
    </row>
    <row r="95" spans="1:29" ht="14.25" customHeight="1" x14ac:dyDescent="0.45">
      <c r="A95" t="s">
        <v>218</v>
      </c>
      <c r="B95" s="10">
        <v>45742</v>
      </c>
      <c r="C95">
        <v>2025</v>
      </c>
      <c r="D95">
        <v>3</v>
      </c>
      <c r="E95" t="s">
        <v>77</v>
      </c>
      <c r="F95" t="s">
        <v>78</v>
      </c>
      <c r="G95" t="s">
        <v>126</v>
      </c>
      <c r="H95" t="s">
        <v>86</v>
      </c>
      <c r="I95" t="s">
        <v>87</v>
      </c>
      <c r="J95" t="s">
        <v>88</v>
      </c>
      <c r="K95" t="s">
        <v>89</v>
      </c>
      <c r="L95" t="s">
        <v>90</v>
      </c>
      <c r="M95" s="11">
        <v>55.35</v>
      </c>
      <c r="N95" s="11">
        <v>23.15</v>
      </c>
      <c r="O95" s="11">
        <v>6.64</v>
      </c>
      <c r="P95" s="11">
        <v>0.03</v>
      </c>
      <c r="Q95" s="11">
        <v>30.19</v>
      </c>
      <c r="R95" s="11">
        <v>3</v>
      </c>
      <c r="S95" s="11">
        <f t="shared" si="8"/>
        <v>166.05</v>
      </c>
      <c r="T95" s="11">
        <f t="shared" si="9"/>
        <v>69.449999999999989</v>
      </c>
      <c r="U95" s="11">
        <f t="shared" si="10"/>
        <v>19.919999999999998</v>
      </c>
      <c r="V95" s="11">
        <f t="shared" si="11"/>
        <v>4.9800000000000004</v>
      </c>
      <c r="W95" s="11" t="s">
        <v>66</v>
      </c>
      <c r="X95" s="11">
        <v>0</v>
      </c>
      <c r="Y95" s="11">
        <f t="shared" si="12"/>
        <v>124.53999999999999</v>
      </c>
      <c r="Z95" s="11">
        <f t="shared" si="13"/>
        <v>41.510000000000019</v>
      </c>
      <c r="AA95" s="12">
        <f t="shared" si="14"/>
        <v>0.24998494429388748</v>
      </c>
      <c r="AB95" s="13">
        <f t="shared" si="15"/>
        <v>5.5001656177542237</v>
      </c>
      <c r="AC95" t="s">
        <v>67</v>
      </c>
    </row>
    <row r="96" spans="1:29" ht="14.25" customHeight="1" x14ac:dyDescent="0.45">
      <c r="A96" t="s">
        <v>219</v>
      </c>
      <c r="B96" s="10">
        <v>45743</v>
      </c>
      <c r="C96">
        <v>2025</v>
      </c>
      <c r="D96">
        <v>3</v>
      </c>
      <c r="E96" t="s">
        <v>58</v>
      </c>
      <c r="F96" t="s">
        <v>92</v>
      </c>
      <c r="G96" t="s">
        <v>79</v>
      </c>
      <c r="H96" t="s">
        <v>127</v>
      </c>
      <c r="I96" t="s">
        <v>87</v>
      </c>
      <c r="J96" t="s">
        <v>88</v>
      </c>
      <c r="K96" t="s">
        <v>89</v>
      </c>
      <c r="L96" t="s">
        <v>90</v>
      </c>
      <c r="M96" s="11">
        <v>64.25</v>
      </c>
      <c r="N96" s="11">
        <v>21.97</v>
      </c>
      <c r="O96" s="11">
        <v>6.33</v>
      </c>
      <c r="P96" s="11">
        <v>0.03</v>
      </c>
      <c r="Q96" s="11">
        <v>6.01</v>
      </c>
      <c r="R96" s="11">
        <v>1</v>
      </c>
      <c r="S96" s="11">
        <f t="shared" si="8"/>
        <v>64.25</v>
      </c>
      <c r="T96" s="11">
        <f t="shared" si="9"/>
        <v>21.97</v>
      </c>
      <c r="U96" s="11">
        <f t="shared" si="10"/>
        <v>6.33</v>
      </c>
      <c r="V96" s="11">
        <f t="shared" si="11"/>
        <v>1.93</v>
      </c>
      <c r="W96" s="11" t="s">
        <v>66</v>
      </c>
      <c r="X96" s="11">
        <v>0</v>
      </c>
      <c r="Y96" s="11">
        <f t="shared" si="12"/>
        <v>36.239999999999995</v>
      </c>
      <c r="Z96" s="11">
        <f t="shared" si="13"/>
        <v>28.010000000000005</v>
      </c>
      <c r="AA96" s="12">
        <f t="shared" si="14"/>
        <v>0.4359533073929962</v>
      </c>
      <c r="AB96" s="13">
        <f t="shared" si="15"/>
        <v>10.690515806988353</v>
      </c>
      <c r="AC96" t="s">
        <v>67</v>
      </c>
    </row>
    <row r="97" spans="1:29" ht="14.25" customHeight="1" x14ac:dyDescent="0.45">
      <c r="A97" t="s">
        <v>220</v>
      </c>
      <c r="B97" s="10">
        <v>45744</v>
      </c>
      <c r="C97">
        <v>2025</v>
      </c>
      <c r="D97">
        <v>3</v>
      </c>
      <c r="E97" t="s">
        <v>58</v>
      </c>
      <c r="F97" t="s">
        <v>59</v>
      </c>
      <c r="G97" t="s">
        <v>105</v>
      </c>
      <c r="H97" t="s">
        <v>127</v>
      </c>
      <c r="I97" t="s">
        <v>81</v>
      </c>
      <c r="J97" t="s">
        <v>82</v>
      </c>
      <c r="K97" t="s">
        <v>83</v>
      </c>
      <c r="L97" t="s">
        <v>84</v>
      </c>
      <c r="M97" s="11">
        <v>22.57</v>
      </c>
      <c r="N97" s="11">
        <v>6.23</v>
      </c>
      <c r="O97" s="11">
        <v>3.45</v>
      </c>
      <c r="P97" s="11">
        <v>0.03</v>
      </c>
      <c r="Q97" s="11">
        <v>8.34</v>
      </c>
      <c r="R97" s="11">
        <v>2</v>
      </c>
      <c r="S97" s="11">
        <f t="shared" si="8"/>
        <v>45.14</v>
      </c>
      <c r="T97" s="11">
        <f t="shared" si="9"/>
        <v>12.46</v>
      </c>
      <c r="U97" s="11">
        <f t="shared" si="10"/>
        <v>6.9</v>
      </c>
      <c r="V97" s="11">
        <f t="shared" si="11"/>
        <v>1.35</v>
      </c>
      <c r="W97" s="11" t="s">
        <v>154</v>
      </c>
      <c r="X97" s="11">
        <v>26.08</v>
      </c>
      <c r="Y97" s="11">
        <f t="shared" si="12"/>
        <v>55.129999999999995</v>
      </c>
      <c r="Z97" s="11">
        <f t="shared" si="13"/>
        <v>-9.9899999999999949</v>
      </c>
      <c r="AA97" s="12">
        <f t="shared" si="14"/>
        <v>-0.22131147540983595</v>
      </c>
      <c r="AB97" s="13">
        <f t="shared" si="15"/>
        <v>5.4124700239808154</v>
      </c>
      <c r="AC97" t="s">
        <v>155</v>
      </c>
    </row>
    <row r="98" spans="1:29" ht="14.25" customHeight="1" x14ac:dyDescent="0.45">
      <c r="A98" t="s">
        <v>221</v>
      </c>
      <c r="B98" s="10">
        <v>45744</v>
      </c>
      <c r="C98">
        <v>2025</v>
      </c>
      <c r="D98">
        <v>3</v>
      </c>
      <c r="E98" t="s">
        <v>77</v>
      </c>
      <c r="F98" t="s">
        <v>102</v>
      </c>
      <c r="G98" t="s">
        <v>105</v>
      </c>
      <c r="H98" t="s">
        <v>80</v>
      </c>
      <c r="I98" t="s">
        <v>107</v>
      </c>
      <c r="J98" t="s">
        <v>108</v>
      </c>
      <c r="K98" t="s">
        <v>109</v>
      </c>
      <c r="L98" t="s">
        <v>110</v>
      </c>
      <c r="M98" s="11">
        <v>21.22</v>
      </c>
      <c r="N98" s="11">
        <v>3.57</v>
      </c>
      <c r="O98" s="11">
        <v>2.58</v>
      </c>
      <c r="P98" s="11">
        <v>0.03</v>
      </c>
      <c r="Q98" s="11">
        <v>5.63</v>
      </c>
      <c r="R98" s="11">
        <v>1</v>
      </c>
      <c r="S98" s="11">
        <f t="shared" si="8"/>
        <v>21.22</v>
      </c>
      <c r="T98" s="11">
        <f t="shared" si="9"/>
        <v>3.57</v>
      </c>
      <c r="U98" s="11">
        <f t="shared" si="10"/>
        <v>2.58</v>
      </c>
      <c r="V98" s="11">
        <f t="shared" si="11"/>
        <v>0.64</v>
      </c>
      <c r="W98" s="11" t="s">
        <v>154</v>
      </c>
      <c r="X98" s="11">
        <v>11.72</v>
      </c>
      <c r="Y98" s="11">
        <f t="shared" si="12"/>
        <v>24.14</v>
      </c>
      <c r="Z98" s="11">
        <f t="shared" si="13"/>
        <v>-2.9200000000000017</v>
      </c>
      <c r="AA98" s="12">
        <f t="shared" si="14"/>
        <v>-0.13760603204524044</v>
      </c>
      <c r="AB98" s="13">
        <f t="shared" si="15"/>
        <v>3.7690941385435166</v>
      </c>
      <c r="AC98" t="s">
        <v>155</v>
      </c>
    </row>
    <row r="99" spans="1:29" ht="14.25" customHeight="1" x14ac:dyDescent="0.45">
      <c r="A99" t="s">
        <v>222</v>
      </c>
      <c r="B99" s="10">
        <v>45745</v>
      </c>
      <c r="C99">
        <v>2025</v>
      </c>
      <c r="D99">
        <v>3</v>
      </c>
      <c r="E99" t="s">
        <v>77</v>
      </c>
      <c r="F99" t="s">
        <v>104</v>
      </c>
      <c r="G99" t="s">
        <v>79</v>
      </c>
      <c r="H99" t="s">
        <v>61</v>
      </c>
      <c r="I99" t="s">
        <v>81</v>
      </c>
      <c r="J99" t="s">
        <v>82</v>
      </c>
      <c r="K99" t="s">
        <v>83</v>
      </c>
      <c r="L99" t="s">
        <v>84</v>
      </c>
      <c r="M99" s="11">
        <v>27.08</v>
      </c>
      <c r="N99" s="11">
        <v>6.08</v>
      </c>
      <c r="O99" s="11">
        <v>3.43</v>
      </c>
      <c r="P99" s="11">
        <v>0.03</v>
      </c>
      <c r="Q99" s="11">
        <v>3.76</v>
      </c>
      <c r="R99" s="11">
        <v>2</v>
      </c>
      <c r="S99" s="11">
        <f t="shared" si="8"/>
        <v>54.16</v>
      </c>
      <c r="T99" s="11">
        <f t="shared" si="9"/>
        <v>12.16</v>
      </c>
      <c r="U99" s="11">
        <f t="shared" si="10"/>
        <v>6.86</v>
      </c>
      <c r="V99" s="11">
        <f t="shared" si="11"/>
        <v>1.62</v>
      </c>
      <c r="W99" s="11" t="s">
        <v>66</v>
      </c>
      <c r="X99" s="11">
        <v>0</v>
      </c>
      <c r="Y99" s="11">
        <f t="shared" si="12"/>
        <v>24.4</v>
      </c>
      <c r="Z99" s="11">
        <f t="shared" si="13"/>
        <v>29.759999999999998</v>
      </c>
      <c r="AA99" s="12">
        <f t="shared" si="14"/>
        <v>0.54948301329394389</v>
      </c>
      <c r="AB99" s="13">
        <f t="shared" si="15"/>
        <v>14.404255319148936</v>
      </c>
      <c r="AC99" t="s">
        <v>67</v>
      </c>
    </row>
    <row r="100" spans="1:29" ht="14.25" customHeight="1" x14ac:dyDescent="0.45">
      <c r="A100" t="s">
        <v>223</v>
      </c>
      <c r="B100" s="10">
        <v>45746</v>
      </c>
      <c r="C100">
        <v>2025</v>
      </c>
      <c r="D100">
        <v>3</v>
      </c>
      <c r="E100" t="s">
        <v>69</v>
      </c>
      <c r="F100" t="s">
        <v>70</v>
      </c>
      <c r="G100" t="s">
        <v>126</v>
      </c>
      <c r="H100" t="s">
        <v>86</v>
      </c>
      <c r="I100" t="s">
        <v>113</v>
      </c>
      <c r="J100" t="s">
        <v>114</v>
      </c>
      <c r="K100" t="s">
        <v>115</v>
      </c>
      <c r="L100" t="s">
        <v>116</v>
      </c>
      <c r="M100" s="11">
        <v>50.59</v>
      </c>
      <c r="N100" s="11">
        <v>17.079999999999998</v>
      </c>
      <c r="O100" s="11">
        <v>6.64</v>
      </c>
      <c r="P100" s="11">
        <v>0.03</v>
      </c>
      <c r="Q100" s="11">
        <v>7.8</v>
      </c>
      <c r="R100" s="11">
        <v>1</v>
      </c>
      <c r="S100" s="11">
        <f t="shared" si="8"/>
        <v>50.59</v>
      </c>
      <c r="T100" s="11">
        <f t="shared" si="9"/>
        <v>17.079999999999998</v>
      </c>
      <c r="U100" s="11">
        <f t="shared" si="10"/>
        <v>6.64</v>
      </c>
      <c r="V100" s="11">
        <f t="shared" si="11"/>
        <v>1.52</v>
      </c>
      <c r="W100" s="11" t="s">
        <v>66</v>
      </c>
      <c r="X100" s="11">
        <v>0</v>
      </c>
      <c r="Y100" s="11">
        <f t="shared" si="12"/>
        <v>33.04</v>
      </c>
      <c r="Z100" s="11">
        <f t="shared" si="13"/>
        <v>17.550000000000004</v>
      </c>
      <c r="AA100" s="12">
        <f t="shared" si="14"/>
        <v>0.34690650326151418</v>
      </c>
      <c r="AB100" s="13">
        <f t="shared" si="15"/>
        <v>6.4858974358974368</v>
      </c>
      <c r="AC100" t="s">
        <v>67</v>
      </c>
    </row>
    <row r="101" spans="1:29" ht="14.25" customHeight="1" x14ac:dyDescent="0.45">
      <c r="A101" t="s">
        <v>224</v>
      </c>
      <c r="B101" s="10">
        <v>45746</v>
      </c>
      <c r="C101">
        <v>2025</v>
      </c>
      <c r="D101">
        <v>3</v>
      </c>
      <c r="E101" t="s">
        <v>77</v>
      </c>
      <c r="F101" t="s">
        <v>104</v>
      </c>
      <c r="G101" t="s">
        <v>105</v>
      </c>
      <c r="H101" t="s">
        <v>86</v>
      </c>
      <c r="I101" t="s">
        <v>72</v>
      </c>
      <c r="J101" t="s">
        <v>73</v>
      </c>
      <c r="K101" t="s">
        <v>74</v>
      </c>
      <c r="L101" t="s">
        <v>75</v>
      </c>
      <c r="M101" s="11">
        <v>46.27</v>
      </c>
      <c r="N101" s="11">
        <v>14.57</v>
      </c>
      <c r="O101" s="11">
        <v>7.28</v>
      </c>
      <c r="P101" s="11">
        <v>0.03</v>
      </c>
      <c r="Q101" s="11">
        <v>4.8499999999999996</v>
      </c>
      <c r="R101" s="11">
        <v>1</v>
      </c>
      <c r="S101" s="11">
        <f t="shared" si="8"/>
        <v>46.27</v>
      </c>
      <c r="T101" s="11">
        <f t="shared" si="9"/>
        <v>14.57</v>
      </c>
      <c r="U101" s="11">
        <f t="shared" si="10"/>
        <v>7.28</v>
      </c>
      <c r="V101" s="11">
        <f t="shared" si="11"/>
        <v>1.39</v>
      </c>
      <c r="W101" s="11" t="s">
        <v>66</v>
      </c>
      <c r="X101" s="11">
        <v>0</v>
      </c>
      <c r="Y101" s="11">
        <f t="shared" si="12"/>
        <v>28.090000000000003</v>
      </c>
      <c r="Z101" s="11">
        <f t="shared" si="13"/>
        <v>18.18</v>
      </c>
      <c r="AA101" s="12">
        <f t="shared" si="14"/>
        <v>0.3929111735465744</v>
      </c>
      <c r="AB101" s="13">
        <f t="shared" si="15"/>
        <v>9.5402061855670119</v>
      </c>
      <c r="AC101" t="s">
        <v>67</v>
      </c>
    </row>
    <row r="102" spans="1:29" ht="14.25" customHeight="1" x14ac:dyDescent="0.45">
      <c r="A102" t="s">
        <v>225</v>
      </c>
      <c r="B102" s="10">
        <v>45746</v>
      </c>
      <c r="C102">
        <v>2025</v>
      </c>
      <c r="D102">
        <v>3</v>
      </c>
      <c r="E102" t="s">
        <v>77</v>
      </c>
      <c r="F102" t="s">
        <v>78</v>
      </c>
      <c r="G102" t="s">
        <v>126</v>
      </c>
      <c r="H102" t="s">
        <v>112</v>
      </c>
      <c r="I102" t="s">
        <v>133</v>
      </c>
      <c r="J102" t="s">
        <v>134</v>
      </c>
      <c r="K102" t="s">
        <v>135</v>
      </c>
      <c r="L102" t="s">
        <v>136</v>
      </c>
      <c r="M102" s="11">
        <v>15.55</v>
      </c>
      <c r="N102" s="11">
        <v>2.09</v>
      </c>
      <c r="O102" s="11">
        <v>2.2599999999999998</v>
      </c>
      <c r="P102" s="11">
        <v>0.03</v>
      </c>
      <c r="Q102" s="11">
        <v>7.17</v>
      </c>
      <c r="R102" s="11">
        <v>2</v>
      </c>
      <c r="S102" s="11">
        <f t="shared" si="8"/>
        <v>31.1</v>
      </c>
      <c r="T102" s="11">
        <f t="shared" si="9"/>
        <v>4.18</v>
      </c>
      <c r="U102" s="11">
        <f t="shared" si="10"/>
        <v>4.5199999999999996</v>
      </c>
      <c r="V102" s="11">
        <f t="shared" si="11"/>
        <v>0.93</v>
      </c>
      <c r="W102" s="11" t="s">
        <v>66</v>
      </c>
      <c r="X102" s="11">
        <v>0</v>
      </c>
      <c r="Y102" s="11">
        <f t="shared" si="12"/>
        <v>16.799999999999997</v>
      </c>
      <c r="Z102" s="11">
        <f t="shared" si="13"/>
        <v>14.300000000000004</v>
      </c>
      <c r="AA102" s="12">
        <f t="shared" si="14"/>
        <v>0.45980707395498405</v>
      </c>
      <c r="AB102" s="13">
        <f t="shared" si="15"/>
        <v>4.3375174337517439</v>
      </c>
      <c r="AC102" t="s">
        <v>67</v>
      </c>
    </row>
    <row r="103" spans="1:29" ht="14.25" customHeight="1" x14ac:dyDescent="0.45">
      <c r="A103" t="s">
        <v>226</v>
      </c>
      <c r="B103" s="10">
        <v>45749</v>
      </c>
      <c r="C103">
        <v>2025</v>
      </c>
      <c r="D103">
        <v>4</v>
      </c>
      <c r="E103" t="s">
        <v>77</v>
      </c>
      <c r="F103" t="s">
        <v>102</v>
      </c>
      <c r="G103" t="s">
        <v>105</v>
      </c>
      <c r="H103" t="s">
        <v>112</v>
      </c>
      <c r="I103" t="s">
        <v>72</v>
      </c>
      <c r="J103" t="s">
        <v>73</v>
      </c>
      <c r="K103" t="s">
        <v>74</v>
      </c>
      <c r="L103" t="s">
        <v>75</v>
      </c>
      <c r="M103" s="11">
        <v>48.41</v>
      </c>
      <c r="N103" s="11">
        <v>15.06</v>
      </c>
      <c r="O103" s="11">
        <v>6.36</v>
      </c>
      <c r="P103" s="11">
        <v>0.03</v>
      </c>
      <c r="Q103" s="11">
        <v>12.97</v>
      </c>
      <c r="R103" s="11">
        <v>2</v>
      </c>
      <c r="S103" s="11">
        <f t="shared" si="8"/>
        <v>96.82</v>
      </c>
      <c r="T103" s="11">
        <f t="shared" si="9"/>
        <v>30.12</v>
      </c>
      <c r="U103" s="11">
        <f t="shared" si="10"/>
        <v>12.72</v>
      </c>
      <c r="V103" s="11">
        <f t="shared" si="11"/>
        <v>2.9</v>
      </c>
      <c r="W103" s="11" t="s">
        <v>66</v>
      </c>
      <c r="X103" s="11">
        <v>0</v>
      </c>
      <c r="Y103" s="11">
        <f t="shared" si="12"/>
        <v>58.71</v>
      </c>
      <c r="Z103" s="11">
        <f t="shared" si="13"/>
        <v>38.109999999999992</v>
      </c>
      <c r="AA103" s="12">
        <f t="shared" si="14"/>
        <v>0.3936170212765957</v>
      </c>
      <c r="AB103" s="13">
        <f t="shared" si="15"/>
        <v>7.4649190439475701</v>
      </c>
      <c r="AC103" t="s">
        <v>67</v>
      </c>
    </row>
    <row r="104" spans="1:29" ht="14.25" customHeight="1" x14ac:dyDescent="0.45">
      <c r="A104" t="s">
        <v>227</v>
      </c>
      <c r="B104" s="10">
        <v>45750</v>
      </c>
      <c r="C104">
        <v>2025</v>
      </c>
      <c r="D104">
        <v>4</v>
      </c>
      <c r="E104" t="s">
        <v>77</v>
      </c>
      <c r="F104" t="s">
        <v>78</v>
      </c>
      <c r="G104" t="s">
        <v>71</v>
      </c>
      <c r="H104" t="s">
        <v>61</v>
      </c>
      <c r="I104" t="s">
        <v>62</v>
      </c>
      <c r="J104" t="s">
        <v>63</v>
      </c>
      <c r="K104" t="s">
        <v>64</v>
      </c>
      <c r="L104" t="s">
        <v>65</v>
      </c>
      <c r="M104" s="11">
        <v>32.229999999999997</v>
      </c>
      <c r="N104" s="11">
        <v>9.9</v>
      </c>
      <c r="O104" s="11">
        <v>3.66</v>
      </c>
      <c r="P104" s="11">
        <v>0.03</v>
      </c>
      <c r="Q104" s="11">
        <v>0</v>
      </c>
      <c r="R104" s="11">
        <v>1</v>
      </c>
      <c r="S104" s="11">
        <f t="shared" si="8"/>
        <v>32.229999999999997</v>
      </c>
      <c r="T104" s="11">
        <f t="shared" si="9"/>
        <v>9.9</v>
      </c>
      <c r="U104" s="11">
        <f t="shared" si="10"/>
        <v>3.66</v>
      </c>
      <c r="V104" s="11">
        <f t="shared" si="11"/>
        <v>0.97</v>
      </c>
      <c r="W104" s="11" t="s">
        <v>66</v>
      </c>
      <c r="X104" s="11">
        <v>0</v>
      </c>
      <c r="Y104" s="11">
        <f t="shared" si="12"/>
        <v>14.530000000000001</v>
      </c>
      <c r="Z104" s="11">
        <f t="shared" si="13"/>
        <v>17.699999999999996</v>
      </c>
      <c r="AA104" s="12">
        <f t="shared" si="14"/>
        <v>0.54917778467266509</v>
      </c>
      <c r="AB104" s="13">
        <f t="shared" si="15"/>
        <v>0</v>
      </c>
      <c r="AC104" t="s">
        <v>67</v>
      </c>
    </row>
    <row r="105" spans="1:29" ht="14.25" customHeight="1" x14ac:dyDescent="0.45">
      <c r="A105" t="s">
        <v>228</v>
      </c>
      <c r="B105" s="10">
        <v>45751</v>
      </c>
      <c r="C105">
        <v>2025</v>
      </c>
      <c r="D105">
        <v>4</v>
      </c>
      <c r="E105" t="s">
        <v>95</v>
      </c>
      <c r="F105" t="s">
        <v>96</v>
      </c>
      <c r="G105" t="s">
        <v>93</v>
      </c>
      <c r="H105" t="s">
        <v>112</v>
      </c>
      <c r="I105" t="s">
        <v>138</v>
      </c>
      <c r="J105" t="s">
        <v>139</v>
      </c>
      <c r="K105" t="s">
        <v>89</v>
      </c>
      <c r="L105" t="s">
        <v>140</v>
      </c>
      <c r="M105" s="11">
        <v>43.94</v>
      </c>
      <c r="N105" s="11">
        <v>8.82</v>
      </c>
      <c r="O105" s="11">
        <v>4.01</v>
      </c>
      <c r="P105" s="11">
        <v>0.03</v>
      </c>
      <c r="Q105" s="11">
        <v>3.96</v>
      </c>
      <c r="R105" s="11">
        <v>1</v>
      </c>
      <c r="S105" s="11">
        <f t="shared" si="8"/>
        <v>0</v>
      </c>
      <c r="T105" s="11">
        <f t="shared" si="9"/>
        <v>0</v>
      </c>
      <c r="U105" s="11">
        <f t="shared" si="10"/>
        <v>0</v>
      </c>
      <c r="V105" s="11">
        <f t="shared" si="11"/>
        <v>0</v>
      </c>
      <c r="W105" s="11" t="s">
        <v>66</v>
      </c>
      <c r="X105" s="11">
        <v>0</v>
      </c>
      <c r="Y105" s="11">
        <f t="shared" si="12"/>
        <v>0</v>
      </c>
      <c r="Z105" s="11">
        <f t="shared" si="13"/>
        <v>-3.96</v>
      </c>
      <c r="AA105" s="12">
        <f t="shared" si="14"/>
        <v>0</v>
      </c>
      <c r="AB105" s="13">
        <f t="shared" si="15"/>
        <v>0</v>
      </c>
      <c r="AC105" t="s">
        <v>166</v>
      </c>
    </row>
    <row r="106" spans="1:29" ht="14.25" customHeight="1" x14ac:dyDescent="0.45">
      <c r="A106" t="s">
        <v>229</v>
      </c>
      <c r="B106" s="10">
        <v>45752</v>
      </c>
      <c r="C106">
        <v>2025</v>
      </c>
      <c r="D106">
        <v>4</v>
      </c>
      <c r="E106" t="s">
        <v>95</v>
      </c>
      <c r="F106" t="s">
        <v>96</v>
      </c>
      <c r="G106" t="s">
        <v>126</v>
      </c>
      <c r="H106" t="s">
        <v>80</v>
      </c>
      <c r="I106" t="s">
        <v>138</v>
      </c>
      <c r="J106" t="s">
        <v>139</v>
      </c>
      <c r="K106" t="s">
        <v>89</v>
      </c>
      <c r="L106" t="s">
        <v>140</v>
      </c>
      <c r="M106" s="11">
        <v>38.49</v>
      </c>
      <c r="N106" s="11">
        <v>8.65</v>
      </c>
      <c r="O106" s="11">
        <v>3.87</v>
      </c>
      <c r="P106" s="11">
        <v>0.03</v>
      </c>
      <c r="Q106" s="11">
        <v>2.2200000000000002</v>
      </c>
      <c r="R106" s="11">
        <v>1</v>
      </c>
      <c r="S106" s="11">
        <f t="shared" si="8"/>
        <v>38.49</v>
      </c>
      <c r="T106" s="11">
        <f t="shared" si="9"/>
        <v>8.65</v>
      </c>
      <c r="U106" s="11">
        <f t="shared" si="10"/>
        <v>3.87</v>
      </c>
      <c r="V106" s="11">
        <f t="shared" si="11"/>
        <v>1.1499999999999999</v>
      </c>
      <c r="W106" s="11" t="s">
        <v>66</v>
      </c>
      <c r="X106" s="11">
        <v>0</v>
      </c>
      <c r="Y106" s="11">
        <f t="shared" si="12"/>
        <v>15.89</v>
      </c>
      <c r="Z106" s="11">
        <f t="shared" si="13"/>
        <v>22.6</v>
      </c>
      <c r="AA106" s="12">
        <f t="shared" si="14"/>
        <v>0.58716549753182645</v>
      </c>
      <c r="AB106" s="13">
        <f t="shared" si="15"/>
        <v>17.337837837837839</v>
      </c>
      <c r="AC106" t="s">
        <v>67</v>
      </c>
    </row>
    <row r="107" spans="1:29" ht="14.25" customHeight="1" x14ac:dyDescent="0.45">
      <c r="A107" t="s">
        <v>230</v>
      </c>
      <c r="B107" s="10">
        <v>45753</v>
      </c>
      <c r="C107">
        <v>2025</v>
      </c>
      <c r="D107">
        <v>4</v>
      </c>
      <c r="E107" t="s">
        <v>69</v>
      </c>
      <c r="F107" t="s">
        <v>70</v>
      </c>
      <c r="G107" t="s">
        <v>126</v>
      </c>
      <c r="H107" t="s">
        <v>127</v>
      </c>
      <c r="I107" t="s">
        <v>138</v>
      </c>
      <c r="J107" t="s">
        <v>139</v>
      </c>
      <c r="K107" t="s">
        <v>89</v>
      </c>
      <c r="L107" t="s">
        <v>140</v>
      </c>
      <c r="M107" s="11">
        <v>39.200000000000003</v>
      </c>
      <c r="N107" s="11">
        <v>8.15</v>
      </c>
      <c r="O107" s="11">
        <v>3.87</v>
      </c>
      <c r="P107" s="11">
        <v>0.03</v>
      </c>
      <c r="Q107" s="11">
        <v>5.35</v>
      </c>
      <c r="R107" s="11">
        <v>2</v>
      </c>
      <c r="S107" s="11">
        <f t="shared" si="8"/>
        <v>78.400000000000006</v>
      </c>
      <c r="T107" s="11">
        <f t="shared" si="9"/>
        <v>16.3</v>
      </c>
      <c r="U107" s="11">
        <f t="shared" si="10"/>
        <v>7.74</v>
      </c>
      <c r="V107" s="11">
        <f t="shared" si="11"/>
        <v>2.35</v>
      </c>
      <c r="W107" s="11" t="s">
        <v>66</v>
      </c>
      <c r="X107" s="11">
        <v>0</v>
      </c>
      <c r="Y107" s="11">
        <f t="shared" si="12"/>
        <v>31.740000000000002</v>
      </c>
      <c r="Z107" s="11">
        <f t="shared" si="13"/>
        <v>46.660000000000004</v>
      </c>
      <c r="AA107" s="12">
        <f t="shared" si="14"/>
        <v>0.59515306122448985</v>
      </c>
      <c r="AB107" s="13">
        <f t="shared" si="15"/>
        <v>14.654205607476637</v>
      </c>
      <c r="AC107" t="s">
        <v>67</v>
      </c>
    </row>
    <row r="108" spans="1:29" ht="14.25" customHeight="1" x14ac:dyDescent="0.45">
      <c r="A108" t="s">
        <v>231</v>
      </c>
      <c r="B108" s="10">
        <v>45753</v>
      </c>
      <c r="C108">
        <v>2025</v>
      </c>
      <c r="D108">
        <v>4</v>
      </c>
      <c r="E108" t="s">
        <v>77</v>
      </c>
      <c r="F108" t="s">
        <v>78</v>
      </c>
      <c r="G108" t="s">
        <v>105</v>
      </c>
      <c r="H108" t="s">
        <v>86</v>
      </c>
      <c r="I108" t="s">
        <v>97</v>
      </c>
      <c r="J108" t="s">
        <v>98</v>
      </c>
      <c r="K108" t="s">
        <v>99</v>
      </c>
      <c r="L108" t="s">
        <v>100</v>
      </c>
      <c r="M108" s="11">
        <v>34.54</v>
      </c>
      <c r="N108" s="11">
        <v>8.58</v>
      </c>
      <c r="O108" s="11">
        <v>4.57</v>
      </c>
      <c r="P108" s="11">
        <v>0.03</v>
      </c>
      <c r="Q108" s="11">
        <v>1.8</v>
      </c>
      <c r="R108" s="11">
        <v>1</v>
      </c>
      <c r="S108" s="11">
        <f t="shared" si="8"/>
        <v>34.54</v>
      </c>
      <c r="T108" s="11">
        <f t="shared" si="9"/>
        <v>8.58</v>
      </c>
      <c r="U108" s="11">
        <f t="shared" si="10"/>
        <v>4.57</v>
      </c>
      <c r="V108" s="11">
        <f t="shared" si="11"/>
        <v>1.04</v>
      </c>
      <c r="W108" s="11" t="s">
        <v>66</v>
      </c>
      <c r="X108" s="11">
        <v>0</v>
      </c>
      <c r="Y108" s="11">
        <f t="shared" si="12"/>
        <v>15.990000000000002</v>
      </c>
      <c r="Z108" s="11">
        <f t="shared" si="13"/>
        <v>18.549999999999997</v>
      </c>
      <c r="AA108" s="12">
        <f t="shared" si="14"/>
        <v>0.53705848291835545</v>
      </c>
      <c r="AB108" s="13">
        <f t="shared" si="15"/>
        <v>19.188888888888886</v>
      </c>
      <c r="AC108" t="s">
        <v>67</v>
      </c>
    </row>
    <row r="109" spans="1:29" ht="14.25" customHeight="1" x14ac:dyDescent="0.45">
      <c r="A109" t="s">
        <v>232</v>
      </c>
      <c r="B109" s="10">
        <v>45754</v>
      </c>
      <c r="C109">
        <v>2025</v>
      </c>
      <c r="D109">
        <v>4</v>
      </c>
      <c r="E109" t="s">
        <v>58</v>
      </c>
      <c r="F109" t="s">
        <v>59</v>
      </c>
      <c r="G109" t="s">
        <v>105</v>
      </c>
      <c r="H109" t="s">
        <v>80</v>
      </c>
      <c r="I109" t="s">
        <v>72</v>
      </c>
      <c r="J109" t="s">
        <v>73</v>
      </c>
      <c r="K109" t="s">
        <v>74</v>
      </c>
      <c r="L109" t="s">
        <v>75</v>
      </c>
      <c r="M109" s="11">
        <v>45.71</v>
      </c>
      <c r="N109" s="11">
        <v>14.04</v>
      </c>
      <c r="O109" s="11">
        <v>6.73</v>
      </c>
      <c r="P109" s="11">
        <v>0.03</v>
      </c>
      <c r="Q109" s="11">
        <v>20.32</v>
      </c>
      <c r="R109" s="11">
        <v>2</v>
      </c>
      <c r="S109" s="11">
        <f t="shared" si="8"/>
        <v>91.42</v>
      </c>
      <c r="T109" s="11">
        <f t="shared" si="9"/>
        <v>28.08</v>
      </c>
      <c r="U109" s="11">
        <f t="shared" si="10"/>
        <v>13.46</v>
      </c>
      <c r="V109" s="11">
        <f t="shared" si="11"/>
        <v>2.74</v>
      </c>
      <c r="W109" s="11" t="s">
        <v>66</v>
      </c>
      <c r="X109" s="11">
        <v>0</v>
      </c>
      <c r="Y109" s="11">
        <f t="shared" si="12"/>
        <v>64.599999999999994</v>
      </c>
      <c r="Z109" s="11">
        <f t="shared" si="13"/>
        <v>26.820000000000007</v>
      </c>
      <c r="AA109" s="12">
        <f t="shared" si="14"/>
        <v>0.29337125355502086</v>
      </c>
      <c r="AB109" s="13">
        <f t="shared" si="15"/>
        <v>4.4990157480314963</v>
      </c>
      <c r="AC109" t="s">
        <v>67</v>
      </c>
    </row>
    <row r="110" spans="1:29" ht="14.25" customHeight="1" x14ac:dyDescent="0.45">
      <c r="A110" t="s">
        <v>233</v>
      </c>
      <c r="B110" s="10">
        <v>45755</v>
      </c>
      <c r="C110">
        <v>2025</v>
      </c>
      <c r="D110">
        <v>4</v>
      </c>
      <c r="E110" t="s">
        <v>58</v>
      </c>
      <c r="F110" t="s">
        <v>92</v>
      </c>
      <c r="G110" t="s">
        <v>105</v>
      </c>
      <c r="H110" t="s">
        <v>112</v>
      </c>
      <c r="I110" t="s">
        <v>138</v>
      </c>
      <c r="J110" t="s">
        <v>139</v>
      </c>
      <c r="K110" t="s">
        <v>89</v>
      </c>
      <c r="L110" t="s">
        <v>140</v>
      </c>
      <c r="M110" s="11">
        <v>44.43</v>
      </c>
      <c r="N110" s="11">
        <v>9.11</v>
      </c>
      <c r="O110" s="11">
        <v>4.41</v>
      </c>
      <c r="P110" s="11">
        <v>0.03</v>
      </c>
      <c r="Q110" s="11">
        <v>10.26</v>
      </c>
      <c r="R110" s="11">
        <v>1</v>
      </c>
      <c r="S110" s="11">
        <f t="shared" si="8"/>
        <v>44.43</v>
      </c>
      <c r="T110" s="11">
        <f t="shared" si="9"/>
        <v>9.11</v>
      </c>
      <c r="U110" s="11">
        <f t="shared" si="10"/>
        <v>4.41</v>
      </c>
      <c r="V110" s="11">
        <f t="shared" si="11"/>
        <v>1.33</v>
      </c>
      <c r="W110" s="11" t="s">
        <v>66</v>
      </c>
      <c r="X110" s="11">
        <v>0</v>
      </c>
      <c r="Y110" s="11">
        <f t="shared" si="12"/>
        <v>25.11</v>
      </c>
      <c r="Z110" s="11">
        <f t="shared" si="13"/>
        <v>19.32</v>
      </c>
      <c r="AA110" s="12">
        <f t="shared" si="14"/>
        <v>0.43484132343011478</v>
      </c>
      <c r="AB110" s="13">
        <f t="shared" si="15"/>
        <v>4.3304093567251458</v>
      </c>
      <c r="AC110" t="s">
        <v>67</v>
      </c>
    </row>
    <row r="111" spans="1:29" ht="14.25" customHeight="1" x14ac:dyDescent="0.45">
      <c r="A111" t="s">
        <v>234</v>
      </c>
      <c r="B111" s="10">
        <v>45757</v>
      </c>
      <c r="C111">
        <v>2025</v>
      </c>
      <c r="D111">
        <v>4</v>
      </c>
      <c r="E111" t="s">
        <v>95</v>
      </c>
      <c r="F111" t="s">
        <v>96</v>
      </c>
      <c r="G111" t="s">
        <v>126</v>
      </c>
      <c r="H111" t="s">
        <v>86</v>
      </c>
      <c r="I111" t="s">
        <v>81</v>
      </c>
      <c r="J111" t="s">
        <v>82</v>
      </c>
      <c r="K111" t="s">
        <v>83</v>
      </c>
      <c r="L111" t="s">
        <v>84</v>
      </c>
      <c r="M111" s="11">
        <v>23.14</v>
      </c>
      <c r="N111" s="11">
        <v>5.74</v>
      </c>
      <c r="O111" s="11">
        <v>3.26</v>
      </c>
      <c r="P111" s="11">
        <v>0.03</v>
      </c>
      <c r="Q111" s="11">
        <v>2.4300000000000002</v>
      </c>
      <c r="R111" s="11">
        <v>1</v>
      </c>
      <c r="S111" s="11">
        <f t="shared" si="8"/>
        <v>23.14</v>
      </c>
      <c r="T111" s="11">
        <f t="shared" si="9"/>
        <v>5.74</v>
      </c>
      <c r="U111" s="11">
        <f t="shared" si="10"/>
        <v>3.26</v>
      </c>
      <c r="V111" s="11">
        <f t="shared" si="11"/>
        <v>0.69</v>
      </c>
      <c r="W111" s="11" t="s">
        <v>66</v>
      </c>
      <c r="X111" s="11">
        <v>0</v>
      </c>
      <c r="Y111" s="11">
        <f t="shared" si="12"/>
        <v>12.12</v>
      </c>
      <c r="Z111" s="11">
        <f t="shared" si="13"/>
        <v>11.020000000000001</v>
      </c>
      <c r="AA111" s="12">
        <f t="shared" si="14"/>
        <v>0.47623163353500436</v>
      </c>
      <c r="AB111" s="13">
        <f t="shared" si="15"/>
        <v>9.5226337448559661</v>
      </c>
      <c r="AC111" t="s">
        <v>67</v>
      </c>
    </row>
    <row r="112" spans="1:29" ht="14.25" customHeight="1" x14ac:dyDescent="0.45">
      <c r="A112" t="s">
        <v>235</v>
      </c>
      <c r="B112" s="10">
        <v>45757</v>
      </c>
      <c r="C112">
        <v>2025</v>
      </c>
      <c r="D112">
        <v>4</v>
      </c>
      <c r="E112" t="s">
        <v>122</v>
      </c>
      <c r="F112" t="s">
        <v>123</v>
      </c>
      <c r="G112" t="s">
        <v>93</v>
      </c>
      <c r="H112" t="s">
        <v>86</v>
      </c>
      <c r="I112" t="s">
        <v>62</v>
      </c>
      <c r="J112" t="s">
        <v>63</v>
      </c>
      <c r="K112" t="s">
        <v>64</v>
      </c>
      <c r="L112" t="s">
        <v>65</v>
      </c>
      <c r="M112" s="11">
        <v>33.64</v>
      </c>
      <c r="N112" s="11">
        <v>10.52</v>
      </c>
      <c r="O112" s="11">
        <v>4.4400000000000004</v>
      </c>
      <c r="P112" s="11">
        <v>0.03</v>
      </c>
      <c r="Q112" s="11">
        <v>7.97</v>
      </c>
      <c r="R112" s="11">
        <v>1</v>
      </c>
      <c r="S112" s="11">
        <f t="shared" si="8"/>
        <v>33.64</v>
      </c>
      <c r="T112" s="11">
        <f t="shared" si="9"/>
        <v>10.52</v>
      </c>
      <c r="U112" s="11">
        <f t="shared" si="10"/>
        <v>4.4400000000000004</v>
      </c>
      <c r="V112" s="11">
        <f t="shared" si="11"/>
        <v>1.01</v>
      </c>
      <c r="W112" s="11" t="s">
        <v>66</v>
      </c>
      <c r="X112" s="11">
        <v>0</v>
      </c>
      <c r="Y112" s="11">
        <f t="shared" si="12"/>
        <v>23.94</v>
      </c>
      <c r="Z112" s="11">
        <f t="shared" si="13"/>
        <v>9.6999999999999993</v>
      </c>
      <c r="AA112" s="12">
        <f t="shared" si="14"/>
        <v>0.28834720570749106</v>
      </c>
      <c r="AB112" s="13">
        <f t="shared" si="15"/>
        <v>4.2208281053952321</v>
      </c>
      <c r="AC112" t="s">
        <v>67</v>
      </c>
    </row>
    <row r="113" spans="1:29" ht="14.25" customHeight="1" x14ac:dyDescent="0.45">
      <c r="A113" t="s">
        <v>236</v>
      </c>
      <c r="B113" s="10">
        <v>45758</v>
      </c>
      <c r="C113">
        <v>2025</v>
      </c>
      <c r="D113">
        <v>4</v>
      </c>
      <c r="E113" t="s">
        <v>77</v>
      </c>
      <c r="F113" t="s">
        <v>78</v>
      </c>
      <c r="G113" t="s">
        <v>71</v>
      </c>
      <c r="H113" t="s">
        <v>80</v>
      </c>
      <c r="I113" t="s">
        <v>107</v>
      </c>
      <c r="J113" t="s">
        <v>108</v>
      </c>
      <c r="K113" t="s">
        <v>109</v>
      </c>
      <c r="L113" t="s">
        <v>110</v>
      </c>
      <c r="M113" s="11">
        <v>19.04</v>
      </c>
      <c r="N113" s="11">
        <v>3.66</v>
      </c>
      <c r="O113" s="11">
        <v>2.4900000000000002</v>
      </c>
      <c r="P113" s="11">
        <v>0.03</v>
      </c>
      <c r="Q113" s="11">
        <v>0</v>
      </c>
      <c r="R113" s="11">
        <v>2</v>
      </c>
      <c r="S113" s="11">
        <f t="shared" si="8"/>
        <v>38.08</v>
      </c>
      <c r="T113" s="11">
        <f t="shared" si="9"/>
        <v>7.32</v>
      </c>
      <c r="U113" s="11">
        <f t="shared" si="10"/>
        <v>4.9800000000000004</v>
      </c>
      <c r="V113" s="11">
        <f t="shared" si="11"/>
        <v>1.1399999999999999</v>
      </c>
      <c r="W113" s="11" t="s">
        <v>66</v>
      </c>
      <c r="X113" s="11">
        <v>0</v>
      </c>
      <c r="Y113" s="11">
        <f t="shared" si="12"/>
        <v>13.440000000000001</v>
      </c>
      <c r="Z113" s="11">
        <f t="shared" si="13"/>
        <v>24.639999999999997</v>
      </c>
      <c r="AA113" s="12">
        <f t="shared" si="14"/>
        <v>0.64705882352941169</v>
      </c>
      <c r="AB113" s="13">
        <f t="shared" si="15"/>
        <v>0</v>
      </c>
      <c r="AC113" t="s">
        <v>67</v>
      </c>
    </row>
    <row r="114" spans="1:29" ht="14.25" customHeight="1" x14ac:dyDescent="0.45">
      <c r="A114" t="s">
        <v>237</v>
      </c>
      <c r="B114" s="10">
        <v>45759</v>
      </c>
      <c r="C114">
        <v>2025</v>
      </c>
      <c r="D114">
        <v>4</v>
      </c>
      <c r="E114" t="s">
        <v>77</v>
      </c>
      <c r="F114" t="s">
        <v>102</v>
      </c>
      <c r="G114" t="s">
        <v>60</v>
      </c>
      <c r="H114" t="s">
        <v>86</v>
      </c>
      <c r="I114" t="s">
        <v>97</v>
      </c>
      <c r="J114" t="s">
        <v>98</v>
      </c>
      <c r="K114" t="s">
        <v>99</v>
      </c>
      <c r="L114" t="s">
        <v>100</v>
      </c>
      <c r="M114" s="11">
        <v>37.520000000000003</v>
      </c>
      <c r="N114" s="11">
        <v>9.35</v>
      </c>
      <c r="O114" s="11">
        <v>4.17</v>
      </c>
      <c r="P114" s="11">
        <v>0.03</v>
      </c>
      <c r="Q114" s="11">
        <v>3.54</v>
      </c>
      <c r="R114" s="11">
        <v>1</v>
      </c>
      <c r="S114" s="11">
        <f t="shared" si="8"/>
        <v>37.520000000000003</v>
      </c>
      <c r="T114" s="11">
        <f t="shared" si="9"/>
        <v>9.35</v>
      </c>
      <c r="U114" s="11">
        <f t="shared" si="10"/>
        <v>4.17</v>
      </c>
      <c r="V114" s="11">
        <f t="shared" si="11"/>
        <v>1.1299999999999999</v>
      </c>
      <c r="W114" s="11" t="s">
        <v>66</v>
      </c>
      <c r="X114" s="11">
        <v>0</v>
      </c>
      <c r="Y114" s="11">
        <f t="shared" si="12"/>
        <v>18.189999999999998</v>
      </c>
      <c r="Z114" s="11">
        <f t="shared" si="13"/>
        <v>19.330000000000005</v>
      </c>
      <c r="AA114" s="12">
        <f t="shared" si="14"/>
        <v>0.51519189765458429</v>
      </c>
      <c r="AB114" s="13">
        <f t="shared" si="15"/>
        <v>10.598870056497177</v>
      </c>
      <c r="AC114" t="s">
        <v>67</v>
      </c>
    </row>
    <row r="115" spans="1:29" ht="14.25" customHeight="1" x14ac:dyDescent="0.45">
      <c r="A115" t="s">
        <v>238</v>
      </c>
      <c r="B115" s="10">
        <v>45764</v>
      </c>
      <c r="C115">
        <v>2025</v>
      </c>
      <c r="D115">
        <v>4</v>
      </c>
      <c r="E115" t="s">
        <v>122</v>
      </c>
      <c r="F115" t="s">
        <v>123</v>
      </c>
      <c r="G115" t="s">
        <v>105</v>
      </c>
      <c r="H115" t="s">
        <v>80</v>
      </c>
      <c r="I115" t="s">
        <v>97</v>
      </c>
      <c r="J115" t="s">
        <v>98</v>
      </c>
      <c r="K115" t="s">
        <v>99</v>
      </c>
      <c r="L115" t="s">
        <v>100</v>
      </c>
      <c r="M115" s="11">
        <v>32.24</v>
      </c>
      <c r="N115" s="11">
        <v>8.89</v>
      </c>
      <c r="O115" s="11">
        <v>4.59</v>
      </c>
      <c r="P115" s="11">
        <v>0.03</v>
      </c>
      <c r="Q115" s="11">
        <v>20.350000000000001</v>
      </c>
      <c r="R115" s="11">
        <v>2</v>
      </c>
      <c r="S115" s="11">
        <f t="shared" si="8"/>
        <v>64.48</v>
      </c>
      <c r="T115" s="11">
        <f t="shared" si="9"/>
        <v>17.78</v>
      </c>
      <c r="U115" s="11">
        <f t="shared" si="10"/>
        <v>9.18</v>
      </c>
      <c r="V115" s="11">
        <f t="shared" si="11"/>
        <v>1.93</v>
      </c>
      <c r="W115" s="11" t="s">
        <v>66</v>
      </c>
      <c r="X115" s="11">
        <v>0</v>
      </c>
      <c r="Y115" s="11">
        <f t="shared" si="12"/>
        <v>49.24</v>
      </c>
      <c r="Z115" s="11">
        <f t="shared" si="13"/>
        <v>15.240000000000002</v>
      </c>
      <c r="AA115" s="12">
        <f t="shared" si="14"/>
        <v>0.23635235732009927</v>
      </c>
      <c r="AB115" s="13">
        <f t="shared" si="15"/>
        <v>3.1685503685503686</v>
      </c>
      <c r="AC115" t="s">
        <v>67</v>
      </c>
    </row>
    <row r="116" spans="1:29" ht="14.25" customHeight="1" x14ac:dyDescent="0.45">
      <c r="A116" t="s">
        <v>239</v>
      </c>
      <c r="B116" s="10">
        <v>45764</v>
      </c>
      <c r="C116">
        <v>2025</v>
      </c>
      <c r="D116">
        <v>4</v>
      </c>
      <c r="E116" t="s">
        <v>69</v>
      </c>
      <c r="F116" t="s">
        <v>70</v>
      </c>
      <c r="G116" t="s">
        <v>126</v>
      </c>
      <c r="H116" t="s">
        <v>61</v>
      </c>
      <c r="I116" t="s">
        <v>147</v>
      </c>
      <c r="J116" t="s">
        <v>148</v>
      </c>
      <c r="K116" t="s">
        <v>149</v>
      </c>
      <c r="L116" t="s">
        <v>150</v>
      </c>
      <c r="M116" s="11">
        <v>28.39</v>
      </c>
      <c r="N116" s="11">
        <v>7.21</v>
      </c>
      <c r="O116" s="11">
        <v>4.9000000000000004</v>
      </c>
      <c r="P116" s="11">
        <v>0.03</v>
      </c>
      <c r="Q116" s="11">
        <v>9.0299999999999994</v>
      </c>
      <c r="R116" s="11">
        <v>2</v>
      </c>
      <c r="S116" s="11">
        <f t="shared" si="8"/>
        <v>56.78</v>
      </c>
      <c r="T116" s="11">
        <f t="shared" si="9"/>
        <v>14.42</v>
      </c>
      <c r="U116" s="11">
        <f t="shared" si="10"/>
        <v>9.8000000000000007</v>
      </c>
      <c r="V116" s="11">
        <f t="shared" si="11"/>
        <v>1.7</v>
      </c>
      <c r="W116" s="11" t="s">
        <v>66</v>
      </c>
      <c r="X116" s="11">
        <v>0</v>
      </c>
      <c r="Y116" s="11">
        <f t="shared" si="12"/>
        <v>34.949999999999996</v>
      </c>
      <c r="Z116" s="11">
        <f t="shared" si="13"/>
        <v>21.830000000000005</v>
      </c>
      <c r="AA116" s="12">
        <f t="shared" si="14"/>
        <v>0.38446636139485746</v>
      </c>
      <c r="AB116" s="13">
        <f t="shared" si="15"/>
        <v>6.2879291251384277</v>
      </c>
      <c r="AC116" t="s">
        <v>67</v>
      </c>
    </row>
    <row r="117" spans="1:29" ht="14.25" customHeight="1" x14ac:dyDescent="0.45">
      <c r="A117" t="s">
        <v>240</v>
      </c>
      <c r="B117" s="10">
        <v>45765</v>
      </c>
      <c r="C117">
        <v>2025</v>
      </c>
      <c r="D117">
        <v>4</v>
      </c>
      <c r="E117" t="s">
        <v>122</v>
      </c>
      <c r="F117" t="s">
        <v>123</v>
      </c>
      <c r="G117" t="s">
        <v>71</v>
      </c>
      <c r="H117" t="s">
        <v>112</v>
      </c>
      <c r="I117" t="s">
        <v>107</v>
      </c>
      <c r="J117" t="s">
        <v>108</v>
      </c>
      <c r="K117" t="s">
        <v>109</v>
      </c>
      <c r="L117" t="s">
        <v>110</v>
      </c>
      <c r="M117" s="11">
        <v>20.86</v>
      </c>
      <c r="N117" s="11">
        <v>3.36</v>
      </c>
      <c r="O117" s="11">
        <v>2.5099999999999998</v>
      </c>
      <c r="P117" s="11">
        <v>0.03</v>
      </c>
      <c r="Q117" s="11">
        <v>0</v>
      </c>
      <c r="R117" s="11">
        <v>2</v>
      </c>
      <c r="S117" s="11">
        <f t="shared" si="8"/>
        <v>41.72</v>
      </c>
      <c r="T117" s="11">
        <f t="shared" si="9"/>
        <v>6.72</v>
      </c>
      <c r="U117" s="11">
        <f t="shared" si="10"/>
        <v>5.0199999999999996</v>
      </c>
      <c r="V117" s="11">
        <f t="shared" si="11"/>
        <v>1.25</v>
      </c>
      <c r="W117" s="11" t="s">
        <v>66</v>
      </c>
      <c r="X117" s="11">
        <v>0</v>
      </c>
      <c r="Y117" s="11">
        <f t="shared" si="12"/>
        <v>12.989999999999998</v>
      </c>
      <c r="Z117" s="11">
        <f t="shared" si="13"/>
        <v>28.73</v>
      </c>
      <c r="AA117" s="12">
        <f t="shared" si="14"/>
        <v>0.68863854266538838</v>
      </c>
      <c r="AB117" s="13">
        <f t="shared" si="15"/>
        <v>0</v>
      </c>
      <c r="AC117" t="s">
        <v>67</v>
      </c>
    </row>
    <row r="118" spans="1:29" ht="14.25" customHeight="1" x14ac:dyDescent="0.45">
      <c r="A118" t="s">
        <v>241</v>
      </c>
      <c r="B118" s="10">
        <v>45765</v>
      </c>
      <c r="C118">
        <v>2025</v>
      </c>
      <c r="D118">
        <v>4</v>
      </c>
      <c r="E118" t="s">
        <v>95</v>
      </c>
      <c r="F118" t="s">
        <v>96</v>
      </c>
      <c r="G118" t="s">
        <v>71</v>
      </c>
      <c r="H118" t="s">
        <v>127</v>
      </c>
      <c r="I118" t="s">
        <v>107</v>
      </c>
      <c r="J118" t="s">
        <v>108</v>
      </c>
      <c r="K118" t="s">
        <v>109</v>
      </c>
      <c r="L118" t="s">
        <v>110</v>
      </c>
      <c r="M118" s="11">
        <v>21.68</v>
      </c>
      <c r="N118" s="11">
        <v>3.69</v>
      </c>
      <c r="O118" s="11">
        <v>2.64</v>
      </c>
      <c r="P118" s="11">
        <v>0.03</v>
      </c>
      <c r="Q118" s="11">
        <v>0</v>
      </c>
      <c r="R118" s="11">
        <v>1</v>
      </c>
      <c r="S118" s="11">
        <f t="shared" si="8"/>
        <v>21.68</v>
      </c>
      <c r="T118" s="11">
        <f t="shared" si="9"/>
        <v>3.69</v>
      </c>
      <c r="U118" s="11">
        <f t="shared" si="10"/>
        <v>2.64</v>
      </c>
      <c r="V118" s="11">
        <f t="shared" si="11"/>
        <v>0.65</v>
      </c>
      <c r="W118" s="11" t="s">
        <v>66</v>
      </c>
      <c r="X118" s="11">
        <v>0</v>
      </c>
      <c r="Y118" s="11">
        <f t="shared" si="12"/>
        <v>6.98</v>
      </c>
      <c r="Z118" s="11">
        <f t="shared" si="13"/>
        <v>14.7</v>
      </c>
      <c r="AA118" s="12">
        <f t="shared" si="14"/>
        <v>0.6780442804428044</v>
      </c>
      <c r="AB118" s="13">
        <f t="shared" si="15"/>
        <v>0</v>
      </c>
      <c r="AC118" t="s">
        <v>67</v>
      </c>
    </row>
    <row r="119" spans="1:29" ht="14.25" customHeight="1" x14ac:dyDescent="0.45">
      <c r="A119" t="s">
        <v>242</v>
      </c>
      <c r="B119" s="10">
        <v>45765</v>
      </c>
      <c r="C119">
        <v>2025</v>
      </c>
      <c r="D119">
        <v>4</v>
      </c>
      <c r="E119" t="s">
        <v>77</v>
      </c>
      <c r="F119" t="s">
        <v>104</v>
      </c>
      <c r="G119" t="s">
        <v>105</v>
      </c>
      <c r="H119" t="s">
        <v>86</v>
      </c>
      <c r="I119" t="s">
        <v>87</v>
      </c>
      <c r="J119" t="s">
        <v>88</v>
      </c>
      <c r="K119" t="s">
        <v>89</v>
      </c>
      <c r="L119" t="s">
        <v>90</v>
      </c>
      <c r="M119" s="11">
        <v>65.319999999999993</v>
      </c>
      <c r="N119" s="11">
        <v>22.49</v>
      </c>
      <c r="O119" s="11">
        <v>7.33</v>
      </c>
      <c r="P119" s="11">
        <v>0.03</v>
      </c>
      <c r="Q119" s="11">
        <v>3.43</v>
      </c>
      <c r="R119" s="11">
        <v>1</v>
      </c>
      <c r="S119" s="11">
        <f t="shared" si="8"/>
        <v>65.319999999999993</v>
      </c>
      <c r="T119" s="11">
        <f t="shared" si="9"/>
        <v>22.49</v>
      </c>
      <c r="U119" s="11">
        <f t="shared" si="10"/>
        <v>7.33</v>
      </c>
      <c r="V119" s="11">
        <f t="shared" si="11"/>
        <v>1.96</v>
      </c>
      <c r="W119" s="11" t="s">
        <v>66</v>
      </c>
      <c r="X119" s="11">
        <v>0</v>
      </c>
      <c r="Y119" s="11">
        <f t="shared" si="12"/>
        <v>35.21</v>
      </c>
      <c r="Z119" s="11">
        <f t="shared" si="13"/>
        <v>30.109999999999992</v>
      </c>
      <c r="AA119" s="12">
        <f t="shared" si="14"/>
        <v>0.46096142069810159</v>
      </c>
      <c r="AB119" s="13">
        <f t="shared" si="15"/>
        <v>19.043731778425652</v>
      </c>
      <c r="AC119" t="s">
        <v>67</v>
      </c>
    </row>
    <row r="120" spans="1:29" ht="14.25" customHeight="1" x14ac:dyDescent="0.45">
      <c r="A120" t="s">
        <v>243</v>
      </c>
      <c r="B120" s="10">
        <v>45766</v>
      </c>
      <c r="C120">
        <v>2025</v>
      </c>
      <c r="D120">
        <v>4</v>
      </c>
      <c r="E120" t="s">
        <v>58</v>
      </c>
      <c r="F120" t="s">
        <v>92</v>
      </c>
      <c r="G120" t="s">
        <v>60</v>
      </c>
      <c r="H120" t="s">
        <v>127</v>
      </c>
      <c r="I120" t="s">
        <v>138</v>
      </c>
      <c r="J120" t="s">
        <v>139</v>
      </c>
      <c r="K120" t="s">
        <v>89</v>
      </c>
      <c r="L120" t="s">
        <v>140</v>
      </c>
      <c r="M120" s="11">
        <v>37.9</v>
      </c>
      <c r="N120" s="11">
        <v>8.31</v>
      </c>
      <c r="O120" s="11">
        <v>4.26</v>
      </c>
      <c r="P120" s="11">
        <v>0.03</v>
      </c>
      <c r="Q120" s="11">
        <v>17.11</v>
      </c>
      <c r="R120" s="11">
        <v>2</v>
      </c>
      <c r="S120" s="11">
        <f t="shared" si="8"/>
        <v>75.8</v>
      </c>
      <c r="T120" s="11">
        <f t="shared" si="9"/>
        <v>16.62</v>
      </c>
      <c r="U120" s="11">
        <f t="shared" si="10"/>
        <v>8.52</v>
      </c>
      <c r="V120" s="11">
        <f t="shared" si="11"/>
        <v>2.27</v>
      </c>
      <c r="W120" s="11" t="s">
        <v>66</v>
      </c>
      <c r="X120" s="11">
        <v>0</v>
      </c>
      <c r="Y120" s="11">
        <f t="shared" si="12"/>
        <v>44.519999999999996</v>
      </c>
      <c r="Z120" s="11">
        <f t="shared" si="13"/>
        <v>31.28</v>
      </c>
      <c r="AA120" s="12">
        <f t="shared" si="14"/>
        <v>0.4126649076517151</v>
      </c>
      <c r="AB120" s="13">
        <f t="shared" si="15"/>
        <v>4.4301578024547048</v>
      </c>
      <c r="AC120" t="s">
        <v>67</v>
      </c>
    </row>
    <row r="121" spans="1:29" ht="14.25" customHeight="1" x14ac:dyDescent="0.45">
      <c r="A121" t="s">
        <v>244</v>
      </c>
      <c r="B121" s="10">
        <v>45768</v>
      </c>
      <c r="C121">
        <v>2025</v>
      </c>
      <c r="D121">
        <v>4</v>
      </c>
      <c r="E121" t="s">
        <v>58</v>
      </c>
      <c r="F121" t="s">
        <v>92</v>
      </c>
      <c r="G121" t="s">
        <v>126</v>
      </c>
      <c r="H121" t="s">
        <v>127</v>
      </c>
      <c r="I121" t="s">
        <v>87</v>
      </c>
      <c r="J121" t="s">
        <v>88</v>
      </c>
      <c r="K121" t="s">
        <v>89</v>
      </c>
      <c r="L121" t="s">
        <v>90</v>
      </c>
      <c r="M121" s="11">
        <v>63.39</v>
      </c>
      <c r="N121" s="11">
        <v>23.22</v>
      </c>
      <c r="O121" s="11">
        <v>7.46</v>
      </c>
      <c r="P121" s="11">
        <v>0.03</v>
      </c>
      <c r="Q121" s="11">
        <v>13.41</v>
      </c>
      <c r="R121" s="11">
        <v>3</v>
      </c>
      <c r="S121" s="11">
        <f t="shared" si="8"/>
        <v>190.17000000000002</v>
      </c>
      <c r="T121" s="11">
        <f t="shared" si="9"/>
        <v>69.66</v>
      </c>
      <c r="U121" s="11">
        <f t="shared" si="10"/>
        <v>22.38</v>
      </c>
      <c r="V121" s="11">
        <f t="shared" si="11"/>
        <v>5.71</v>
      </c>
      <c r="W121" s="11" t="s">
        <v>66</v>
      </c>
      <c r="X121" s="11">
        <v>0</v>
      </c>
      <c r="Y121" s="11">
        <f t="shared" si="12"/>
        <v>111.15999999999998</v>
      </c>
      <c r="Z121" s="11">
        <f t="shared" si="13"/>
        <v>79.010000000000034</v>
      </c>
      <c r="AA121" s="12">
        <f t="shared" si="14"/>
        <v>0.41547036861755288</v>
      </c>
      <c r="AB121" s="13">
        <f t="shared" si="15"/>
        <v>14.181208053691277</v>
      </c>
      <c r="AC121" t="s">
        <v>67</v>
      </c>
    </row>
    <row r="122" spans="1:29" ht="14.25" customHeight="1" x14ac:dyDescent="0.45">
      <c r="A122" t="s">
        <v>245</v>
      </c>
      <c r="B122" s="10">
        <v>45770</v>
      </c>
      <c r="C122">
        <v>2025</v>
      </c>
      <c r="D122">
        <v>4</v>
      </c>
      <c r="E122" t="s">
        <v>58</v>
      </c>
      <c r="F122" t="s">
        <v>59</v>
      </c>
      <c r="G122" t="s">
        <v>105</v>
      </c>
      <c r="H122" t="s">
        <v>61</v>
      </c>
      <c r="I122" t="s">
        <v>107</v>
      </c>
      <c r="J122" t="s">
        <v>108</v>
      </c>
      <c r="K122" t="s">
        <v>109</v>
      </c>
      <c r="L122" t="s">
        <v>110</v>
      </c>
      <c r="M122" s="11">
        <v>21.71</v>
      </c>
      <c r="N122" s="11">
        <v>3.61</v>
      </c>
      <c r="O122" s="11">
        <v>2.77</v>
      </c>
      <c r="P122" s="11">
        <v>0.03</v>
      </c>
      <c r="Q122" s="11">
        <v>17.420000000000002</v>
      </c>
      <c r="R122" s="11">
        <v>2</v>
      </c>
      <c r="S122" s="11">
        <f t="shared" si="8"/>
        <v>43.42</v>
      </c>
      <c r="T122" s="11">
        <f t="shared" si="9"/>
        <v>7.22</v>
      </c>
      <c r="U122" s="11">
        <f t="shared" si="10"/>
        <v>5.54</v>
      </c>
      <c r="V122" s="11">
        <f t="shared" si="11"/>
        <v>1.3</v>
      </c>
      <c r="W122" s="11" t="s">
        <v>66</v>
      </c>
      <c r="X122" s="11">
        <v>0</v>
      </c>
      <c r="Y122" s="11">
        <f t="shared" si="12"/>
        <v>31.480000000000004</v>
      </c>
      <c r="Z122" s="11">
        <f t="shared" si="13"/>
        <v>11.939999999999998</v>
      </c>
      <c r="AA122" s="12">
        <f t="shared" si="14"/>
        <v>0.27498848456932284</v>
      </c>
      <c r="AB122" s="13">
        <f t="shared" si="15"/>
        <v>2.4925373134328357</v>
      </c>
      <c r="AC122" t="s">
        <v>67</v>
      </c>
    </row>
    <row r="123" spans="1:29" ht="14.25" customHeight="1" x14ac:dyDescent="0.45">
      <c r="A123" t="s">
        <v>246</v>
      </c>
      <c r="B123" s="10">
        <v>45770</v>
      </c>
      <c r="C123">
        <v>2025</v>
      </c>
      <c r="D123">
        <v>4</v>
      </c>
      <c r="E123" t="s">
        <v>69</v>
      </c>
      <c r="F123" t="s">
        <v>70</v>
      </c>
      <c r="G123" t="s">
        <v>126</v>
      </c>
      <c r="H123" t="s">
        <v>80</v>
      </c>
      <c r="I123" t="s">
        <v>113</v>
      </c>
      <c r="J123" t="s">
        <v>114</v>
      </c>
      <c r="K123" t="s">
        <v>115</v>
      </c>
      <c r="L123" t="s">
        <v>116</v>
      </c>
      <c r="M123" s="11">
        <v>47.47</v>
      </c>
      <c r="N123" s="11">
        <v>15.46</v>
      </c>
      <c r="O123" s="11">
        <v>6.81</v>
      </c>
      <c r="P123" s="11">
        <v>0.03</v>
      </c>
      <c r="Q123" s="11">
        <v>19.52</v>
      </c>
      <c r="R123" s="11">
        <v>3</v>
      </c>
      <c r="S123" s="11">
        <f t="shared" si="8"/>
        <v>142.41</v>
      </c>
      <c r="T123" s="11">
        <f t="shared" si="9"/>
        <v>46.38</v>
      </c>
      <c r="U123" s="11">
        <f t="shared" si="10"/>
        <v>20.43</v>
      </c>
      <c r="V123" s="11">
        <f t="shared" si="11"/>
        <v>4.2699999999999996</v>
      </c>
      <c r="W123" s="11" t="s">
        <v>66</v>
      </c>
      <c r="X123" s="11">
        <v>0</v>
      </c>
      <c r="Y123" s="11">
        <f t="shared" si="12"/>
        <v>90.6</v>
      </c>
      <c r="Z123" s="11">
        <f t="shared" si="13"/>
        <v>51.81</v>
      </c>
      <c r="AA123" s="12">
        <f t="shared" si="14"/>
        <v>0.36380872129766173</v>
      </c>
      <c r="AB123" s="13">
        <f t="shared" si="15"/>
        <v>7.295594262295082</v>
      </c>
      <c r="AC123" t="s">
        <v>67</v>
      </c>
    </row>
    <row r="124" spans="1:29" ht="14.25" customHeight="1" x14ac:dyDescent="0.45">
      <c r="A124" t="s">
        <v>247</v>
      </c>
      <c r="B124" s="10">
        <v>45771</v>
      </c>
      <c r="C124">
        <v>2025</v>
      </c>
      <c r="D124">
        <v>4</v>
      </c>
      <c r="E124" t="s">
        <v>77</v>
      </c>
      <c r="F124" t="s">
        <v>104</v>
      </c>
      <c r="G124" t="s">
        <v>93</v>
      </c>
      <c r="H124" t="s">
        <v>127</v>
      </c>
      <c r="I124" t="s">
        <v>133</v>
      </c>
      <c r="J124" t="s">
        <v>134</v>
      </c>
      <c r="K124" t="s">
        <v>135</v>
      </c>
      <c r="L124" t="s">
        <v>136</v>
      </c>
      <c r="M124" s="11">
        <v>15.07</v>
      </c>
      <c r="N124" s="11">
        <v>2</v>
      </c>
      <c r="O124" s="11">
        <v>1.8</v>
      </c>
      <c r="P124" s="11">
        <v>0.03</v>
      </c>
      <c r="Q124" s="11">
        <v>9.7100000000000009</v>
      </c>
      <c r="R124" s="11">
        <v>1</v>
      </c>
      <c r="S124" s="11">
        <f t="shared" si="8"/>
        <v>15.07</v>
      </c>
      <c r="T124" s="11">
        <f t="shared" si="9"/>
        <v>2</v>
      </c>
      <c r="U124" s="11">
        <f t="shared" si="10"/>
        <v>1.8</v>
      </c>
      <c r="V124" s="11">
        <f t="shared" si="11"/>
        <v>0.45</v>
      </c>
      <c r="W124" s="11" t="s">
        <v>66</v>
      </c>
      <c r="X124" s="11">
        <v>0</v>
      </c>
      <c r="Y124" s="11">
        <f t="shared" si="12"/>
        <v>13.96</v>
      </c>
      <c r="Z124" s="11">
        <f t="shared" si="13"/>
        <v>1.1099999999999994</v>
      </c>
      <c r="AA124" s="12">
        <f t="shared" si="14"/>
        <v>7.3656270736562668E-2</v>
      </c>
      <c r="AB124" s="13">
        <f t="shared" si="15"/>
        <v>1.5520082389289391</v>
      </c>
      <c r="AC124" t="s">
        <v>67</v>
      </c>
    </row>
    <row r="125" spans="1:29" ht="14.25" customHeight="1" x14ac:dyDescent="0.45">
      <c r="A125" t="s">
        <v>248</v>
      </c>
      <c r="B125" s="10">
        <v>45772</v>
      </c>
      <c r="C125">
        <v>2025</v>
      </c>
      <c r="D125">
        <v>4</v>
      </c>
      <c r="E125" t="s">
        <v>58</v>
      </c>
      <c r="F125" t="s">
        <v>92</v>
      </c>
      <c r="G125" t="s">
        <v>79</v>
      </c>
      <c r="H125" t="s">
        <v>127</v>
      </c>
      <c r="I125" t="s">
        <v>147</v>
      </c>
      <c r="J125" t="s">
        <v>148</v>
      </c>
      <c r="K125" t="s">
        <v>149</v>
      </c>
      <c r="L125" t="s">
        <v>150</v>
      </c>
      <c r="M125" s="11">
        <v>32.83</v>
      </c>
      <c r="N125" s="11">
        <v>7.29</v>
      </c>
      <c r="O125" s="11">
        <v>4.4000000000000004</v>
      </c>
      <c r="P125" s="11">
        <v>0.03</v>
      </c>
      <c r="Q125" s="11">
        <v>18.420000000000002</v>
      </c>
      <c r="R125" s="11">
        <v>2</v>
      </c>
      <c r="S125" s="11">
        <f t="shared" si="8"/>
        <v>65.66</v>
      </c>
      <c r="T125" s="11">
        <f t="shared" si="9"/>
        <v>14.58</v>
      </c>
      <c r="U125" s="11">
        <f t="shared" si="10"/>
        <v>8.8000000000000007</v>
      </c>
      <c r="V125" s="11">
        <f t="shared" si="11"/>
        <v>1.97</v>
      </c>
      <c r="W125" s="11" t="s">
        <v>66</v>
      </c>
      <c r="X125" s="11">
        <v>0</v>
      </c>
      <c r="Y125" s="11">
        <f t="shared" si="12"/>
        <v>43.77</v>
      </c>
      <c r="Z125" s="11">
        <f t="shared" si="13"/>
        <v>21.889999999999993</v>
      </c>
      <c r="AA125" s="12">
        <f t="shared" si="14"/>
        <v>0.33338409990862006</v>
      </c>
      <c r="AB125" s="13">
        <f t="shared" si="15"/>
        <v>3.5646036916395216</v>
      </c>
      <c r="AC125" t="s">
        <v>67</v>
      </c>
    </row>
    <row r="126" spans="1:29" ht="14.25" customHeight="1" x14ac:dyDescent="0.45">
      <c r="A126" t="s">
        <v>249</v>
      </c>
      <c r="B126" s="10">
        <v>45772</v>
      </c>
      <c r="C126">
        <v>2025</v>
      </c>
      <c r="D126">
        <v>4</v>
      </c>
      <c r="E126" t="s">
        <v>77</v>
      </c>
      <c r="F126" t="s">
        <v>102</v>
      </c>
      <c r="G126" t="s">
        <v>71</v>
      </c>
      <c r="H126" t="s">
        <v>86</v>
      </c>
      <c r="I126" t="s">
        <v>113</v>
      </c>
      <c r="J126" t="s">
        <v>114</v>
      </c>
      <c r="K126" t="s">
        <v>115</v>
      </c>
      <c r="L126" t="s">
        <v>116</v>
      </c>
      <c r="M126" s="11">
        <v>51.64</v>
      </c>
      <c r="N126" s="11">
        <v>16.29</v>
      </c>
      <c r="O126" s="11">
        <v>6.23</v>
      </c>
      <c r="P126" s="11">
        <v>0.03</v>
      </c>
      <c r="Q126" s="11">
        <v>0</v>
      </c>
      <c r="R126" s="11">
        <v>1</v>
      </c>
      <c r="S126" s="11">
        <f t="shared" si="8"/>
        <v>51.64</v>
      </c>
      <c r="T126" s="11">
        <f t="shared" si="9"/>
        <v>16.29</v>
      </c>
      <c r="U126" s="11">
        <f t="shared" si="10"/>
        <v>6.23</v>
      </c>
      <c r="V126" s="11">
        <f t="shared" si="11"/>
        <v>1.55</v>
      </c>
      <c r="W126" s="11" t="s">
        <v>66</v>
      </c>
      <c r="X126" s="11">
        <v>0</v>
      </c>
      <c r="Y126" s="11">
        <f t="shared" si="12"/>
        <v>24.07</v>
      </c>
      <c r="Z126" s="11">
        <f t="shared" si="13"/>
        <v>27.57</v>
      </c>
      <c r="AA126" s="12">
        <f t="shared" si="14"/>
        <v>0.53388845855925637</v>
      </c>
      <c r="AB126" s="13">
        <f t="shared" si="15"/>
        <v>0</v>
      </c>
      <c r="AC126" t="s">
        <v>67</v>
      </c>
    </row>
    <row r="127" spans="1:29" ht="14.25" customHeight="1" x14ac:dyDescent="0.45">
      <c r="A127" t="s">
        <v>250</v>
      </c>
      <c r="B127" s="10">
        <v>45775</v>
      </c>
      <c r="C127">
        <v>2025</v>
      </c>
      <c r="D127">
        <v>4</v>
      </c>
      <c r="E127" t="s">
        <v>58</v>
      </c>
      <c r="F127" t="s">
        <v>92</v>
      </c>
      <c r="G127" t="s">
        <v>60</v>
      </c>
      <c r="H127" t="s">
        <v>61</v>
      </c>
      <c r="I127" t="s">
        <v>62</v>
      </c>
      <c r="J127" t="s">
        <v>63</v>
      </c>
      <c r="K127" t="s">
        <v>64</v>
      </c>
      <c r="L127" t="s">
        <v>65</v>
      </c>
      <c r="M127" s="11">
        <v>30.38</v>
      </c>
      <c r="N127" s="11">
        <v>10.49</v>
      </c>
      <c r="O127" s="11">
        <v>4.21</v>
      </c>
      <c r="P127" s="11">
        <v>0.03</v>
      </c>
      <c r="Q127" s="11">
        <v>5.29</v>
      </c>
      <c r="R127" s="11">
        <v>2</v>
      </c>
      <c r="S127" s="11">
        <f t="shared" si="8"/>
        <v>60.76</v>
      </c>
      <c r="T127" s="11">
        <f t="shared" si="9"/>
        <v>20.98</v>
      </c>
      <c r="U127" s="11">
        <f t="shared" si="10"/>
        <v>8.42</v>
      </c>
      <c r="V127" s="11">
        <f t="shared" si="11"/>
        <v>1.82</v>
      </c>
      <c r="W127" s="11" t="s">
        <v>66</v>
      </c>
      <c r="X127" s="11">
        <v>0</v>
      </c>
      <c r="Y127" s="11">
        <f t="shared" si="12"/>
        <v>36.51</v>
      </c>
      <c r="Z127" s="11">
        <f t="shared" si="13"/>
        <v>24.25</v>
      </c>
      <c r="AA127" s="12">
        <f t="shared" si="14"/>
        <v>0.3991112574061883</v>
      </c>
      <c r="AB127" s="13">
        <f t="shared" si="15"/>
        <v>11.485822306238186</v>
      </c>
      <c r="AC127" t="s">
        <v>67</v>
      </c>
    </row>
    <row r="128" spans="1:29" ht="14.25" customHeight="1" x14ac:dyDescent="0.45">
      <c r="A128" t="s">
        <v>251</v>
      </c>
      <c r="B128" s="10">
        <v>45777</v>
      </c>
      <c r="C128">
        <v>2025</v>
      </c>
      <c r="D128">
        <v>4</v>
      </c>
      <c r="E128" t="s">
        <v>95</v>
      </c>
      <c r="F128" t="s">
        <v>96</v>
      </c>
      <c r="G128" t="s">
        <v>105</v>
      </c>
      <c r="H128" t="s">
        <v>86</v>
      </c>
      <c r="I128" t="s">
        <v>62</v>
      </c>
      <c r="J128" t="s">
        <v>63</v>
      </c>
      <c r="K128" t="s">
        <v>64</v>
      </c>
      <c r="L128" t="s">
        <v>65</v>
      </c>
      <c r="M128" s="11">
        <v>32.39</v>
      </c>
      <c r="N128" s="11">
        <v>10.39</v>
      </c>
      <c r="O128" s="11">
        <v>3.74</v>
      </c>
      <c r="P128" s="11">
        <v>0.03</v>
      </c>
      <c r="Q128" s="11">
        <v>9.52</v>
      </c>
      <c r="R128" s="11">
        <v>1</v>
      </c>
      <c r="S128" s="11">
        <f t="shared" si="8"/>
        <v>32.39</v>
      </c>
      <c r="T128" s="11">
        <f t="shared" si="9"/>
        <v>10.39</v>
      </c>
      <c r="U128" s="11">
        <f t="shared" si="10"/>
        <v>3.74</v>
      </c>
      <c r="V128" s="11">
        <f t="shared" si="11"/>
        <v>0.97</v>
      </c>
      <c r="W128" s="11" t="s">
        <v>66</v>
      </c>
      <c r="X128" s="11">
        <v>0</v>
      </c>
      <c r="Y128" s="11">
        <f t="shared" si="12"/>
        <v>24.62</v>
      </c>
      <c r="Z128" s="11">
        <f t="shared" si="13"/>
        <v>7.77</v>
      </c>
      <c r="AA128" s="12">
        <f t="shared" si="14"/>
        <v>0.23988885458474837</v>
      </c>
      <c r="AB128" s="13">
        <f t="shared" si="15"/>
        <v>3.4023109243697482</v>
      </c>
      <c r="AC128" t="s">
        <v>67</v>
      </c>
    </row>
    <row r="129" spans="1:29" ht="14.25" customHeight="1" x14ac:dyDescent="0.45">
      <c r="A129" t="s">
        <v>252</v>
      </c>
      <c r="B129" s="10">
        <v>45777</v>
      </c>
      <c r="C129">
        <v>2025</v>
      </c>
      <c r="D129">
        <v>4</v>
      </c>
      <c r="E129" t="s">
        <v>77</v>
      </c>
      <c r="F129" t="s">
        <v>78</v>
      </c>
      <c r="G129" t="s">
        <v>126</v>
      </c>
      <c r="H129" t="s">
        <v>86</v>
      </c>
      <c r="I129" t="s">
        <v>87</v>
      </c>
      <c r="J129" t="s">
        <v>88</v>
      </c>
      <c r="K129" t="s">
        <v>89</v>
      </c>
      <c r="L129" t="s">
        <v>90</v>
      </c>
      <c r="M129" s="11">
        <v>61.31</v>
      </c>
      <c r="N129" s="11">
        <v>21.33</v>
      </c>
      <c r="O129" s="11">
        <v>6.99</v>
      </c>
      <c r="P129" s="11">
        <v>0.03</v>
      </c>
      <c r="Q129" s="11">
        <v>17.59</v>
      </c>
      <c r="R129" s="11">
        <v>2</v>
      </c>
      <c r="S129" s="11">
        <f t="shared" si="8"/>
        <v>122.62</v>
      </c>
      <c r="T129" s="11">
        <f t="shared" si="9"/>
        <v>42.66</v>
      </c>
      <c r="U129" s="11">
        <f t="shared" si="10"/>
        <v>13.98</v>
      </c>
      <c r="V129" s="11">
        <f t="shared" si="11"/>
        <v>3.68</v>
      </c>
      <c r="W129" s="11" t="s">
        <v>66</v>
      </c>
      <c r="X129" s="11">
        <v>0</v>
      </c>
      <c r="Y129" s="11">
        <f t="shared" si="12"/>
        <v>77.91</v>
      </c>
      <c r="Z129" s="11">
        <f t="shared" si="13"/>
        <v>44.710000000000008</v>
      </c>
      <c r="AA129" s="12">
        <f t="shared" si="14"/>
        <v>0.36462241069972279</v>
      </c>
      <c r="AB129" s="13">
        <f t="shared" si="15"/>
        <v>6.9710062535531554</v>
      </c>
      <c r="AC129" t="s">
        <v>67</v>
      </c>
    </row>
    <row r="130" spans="1:29" ht="14.25" customHeight="1" x14ac:dyDescent="0.45">
      <c r="A130" t="s">
        <v>253</v>
      </c>
      <c r="B130" s="10">
        <v>45779</v>
      </c>
      <c r="C130">
        <v>2025</v>
      </c>
      <c r="D130">
        <v>5</v>
      </c>
      <c r="E130" t="s">
        <v>58</v>
      </c>
      <c r="F130" t="s">
        <v>59</v>
      </c>
      <c r="G130" t="s">
        <v>60</v>
      </c>
      <c r="H130" t="s">
        <v>127</v>
      </c>
      <c r="I130" t="s">
        <v>72</v>
      </c>
      <c r="J130" t="s">
        <v>73</v>
      </c>
      <c r="K130" t="s">
        <v>74</v>
      </c>
      <c r="L130" t="s">
        <v>75</v>
      </c>
      <c r="M130" s="11">
        <v>43.76</v>
      </c>
      <c r="N130" s="11">
        <v>14.95</v>
      </c>
      <c r="O130" s="11">
        <v>7.4</v>
      </c>
      <c r="P130" s="11">
        <v>0.03</v>
      </c>
      <c r="Q130" s="11">
        <v>16.239999999999998</v>
      </c>
      <c r="R130" s="11">
        <v>2</v>
      </c>
      <c r="S130" s="11">
        <f t="shared" ref="S130:S193" si="16">IF(AC130="Cancelled",0,M130*R130)</f>
        <v>87.52</v>
      </c>
      <c r="T130" s="11">
        <f t="shared" ref="T130:T193" si="17">IF(AC130="Cancelled",0,N130*R130)</f>
        <v>29.9</v>
      </c>
      <c r="U130" s="11">
        <f t="shared" ref="U130:U193" si="18">IF(AC130="Cancelled",0,O130*R130)</f>
        <v>14.8</v>
      </c>
      <c r="V130" s="11">
        <f t="shared" ref="V130:V193" si="19">IF(AC130="Cancelled",0,ROUND(P130*S130,2))</f>
        <v>2.63</v>
      </c>
      <c r="W130" s="11" t="s">
        <v>66</v>
      </c>
      <c r="X130" s="11">
        <v>0</v>
      </c>
      <c r="Y130" s="11">
        <f t="shared" ref="Y130:Y193" si="20">IF(AC130="Cancelled",0,T130+U130+V130+Q130+X130)</f>
        <v>63.570000000000007</v>
      </c>
      <c r="Z130" s="11">
        <f t="shared" ref="Z130:Z193" si="21">IF(AC130="Cancelled",-Q130,S130-Y130)</f>
        <v>23.949999999999989</v>
      </c>
      <c r="AA130" s="12">
        <f t="shared" ref="AA130:AA193" si="22">IF(OR(AC130="Cancelled",S130=0),0,Z130/S130)</f>
        <v>0.27365173674588655</v>
      </c>
      <c r="AB130" s="13">
        <f t="shared" ref="AB130:AB193" si="23">IFERROR(S130/Q130,0)</f>
        <v>5.389162561576355</v>
      </c>
      <c r="AC130" t="s">
        <v>67</v>
      </c>
    </row>
    <row r="131" spans="1:29" ht="14.25" customHeight="1" x14ac:dyDescent="0.45">
      <c r="A131" t="s">
        <v>254</v>
      </c>
      <c r="B131" s="10">
        <v>45780</v>
      </c>
      <c r="C131">
        <v>2025</v>
      </c>
      <c r="D131">
        <v>5</v>
      </c>
      <c r="E131" t="s">
        <v>69</v>
      </c>
      <c r="F131" t="s">
        <v>70</v>
      </c>
      <c r="G131" t="s">
        <v>93</v>
      </c>
      <c r="H131" t="s">
        <v>61</v>
      </c>
      <c r="I131" t="s">
        <v>107</v>
      </c>
      <c r="J131" t="s">
        <v>108</v>
      </c>
      <c r="K131" t="s">
        <v>109</v>
      </c>
      <c r="L131" t="s">
        <v>110</v>
      </c>
      <c r="M131" s="11">
        <v>21.59</v>
      </c>
      <c r="N131" s="11">
        <v>3.36</v>
      </c>
      <c r="O131" s="11">
        <v>2.37</v>
      </c>
      <c r="P131" s="11">
        <v>0.03</v>
      </c>
      <c r="Q131" s="11">
        <v>8.2200000000000006</v>
      </c>
      <c r="R131" s="11">
        <v>1</v>
      </c>
      <c r="S131" s="11">
        <f t="shared" si="16"/>
        <v>21.59</v>
      </c>
      <c r="T131" s="11">
        <f t="shared" si="17"/>
        <v>3.36</v>
      </c>
      <c r="U131" s="11">
        <f t="shared" si="18"/>
        <v>2.37</v>
      </c>
      <c r="V131" s="11">
        <f t="shared" si="19"/>
        <v>0.65</v>
      </c>
      <c r="W131" s="11" t="s">
        <v>66</v>
      </c>
      <c r="X131" s="11">
        <v>0</v>
      </c>
      <c r="Y131" s="11">
        <f t="shared" si="20"/>
        <v>14.600000000000001</v>
      </c>
      <c r="Z131" s="11">
        <f t="shared" si="21"/>
        <v>6.9899999999999984</v>
      </c>
      <c r="AA131" s="12">
        <f t="shared" si="22"/>
        <v>0.32376100046317735</v>
      </c>
      <c r="AB131" s="13">
        <f t="shared" si="23"/>
        <v>2.6265206812652067</v>
      </c>
      <c r="AC131" t="s">
        <v>67</v>
      </c>
    </row>
    <row r="132" spans="1:29" ht="14.25" customHeight="1" x14ac:dyDescent="0.45">
      <c r="A132" t="s">
        <v>255</v>
      </c>
      <c r="B132" s="10">
        <v>45781</v>
      </c>
      <c r="C132">
        <v>2025</v>
      </c>
      <c r="D132">
        <v>5</v>
      </c>
      <c r="E132" t="s">
        <v>77</v>
      </c>
      <c r="F132" t="s">
        <v>102</v>
      </c>
      <c r="G132" t="s">
        <v>93</v>
      </c>
      <c r="H132" t="s">
        <v>61</v>
      </c>
      <c r="I132" t="s">
        <v>81</v>
      </c>
      <c r="J132" t="s">
        <v>82</v>
      </c>
      <c r="K132" t="s">
        <v>83</v>
      </c>
      <c r="L132" t="s">
        <v>84</v>
      </c>
      <c r="M132" s="11">
        <v>22.78</v>
      </c>
      <c r="N132" s="11">
        <v>6.14</v>
      </c>
      <c r="O132" s="11">
        <v>3.21</v>
      </c>
      <c r="P132" s="11">
        <v>0.03</v>
      </c>
      <c r="Q132" s="11">
        <v>5.01</v>
      </c>
      <c r="R132" s="11">
        <v>1</v>
      </c>
      <c r="S132" s="11">
        <f t="shared" si="16"/>
        <v>22.78</v>
      </c>
      <c r="T132" s="11">
        <f t="shared" si="17"/>
        <v>6.14</v>
      </c>
      <c r="U132" s="11">
        <f t="shared" si="18"/>
        <v>3.21</v>
      </c>
      <c r="V132" s="11">
        <f t="shared" si="19"/>
        <v>0.68</v>
      </c>
      <c r="W132" s="11" t="s">
        <v>66</v>
      </c>
      <c r="X132" s="11">
        <v>0</v>
      </c>
      <c r="Y132" s="11">
        <f t="shared" si="20"/>
        <v>15.04</v>
      </c>
      <c r="Z132" s="11">
        <f t="shared" si="21"/>
        <v>7.740000000000002</v>
      </c>
      <c r="AA132" s="12">
        <f t="shared" si="22"/>
        <v>0.33977172958735741</v>
      </c>
      <c r="AB132" s="13">
        <f t="shared" si="23"/>
        <v>4.5469061876247512</v>
      </c>
      <c r="AC132" t="s">
        <v>67</v>
      </c>
    </row>
    <row r="133" spans="1:29" ht="14.25" customHeight="1" x14ac:dyDescent="0.45">
      <c r="A133" t="s">
        <v>256</v>
      </c>
      <c r="B133" s="10">
        <v>45781</v>
      </c>
      <c r="C133">
        <v>2025</v>
      </c>
      <c r="D133">
        <v>5</v>
      </c>
      <c r="E133" t="s">
        <v>77</v>
      </c>
      <c r="F133" t="s">
        <v>104</v>
      </c>
      <c r="G133" t="s">
        <v>93</v>
      </c>
      <c r="H133" t="s">
        <v>61</v>
      </c>
      <c r="I133" t="s">
        <v>133</v>
      </c>
      <c r="J133" t="s">
        <v>134</v>
      </c>
      <c r="K133" t="s">
        <v>135</v>
      </c>
      <c r="L133" t="s">
        <v>136</v>
      </c>
      <c r="M133" s="11">
        <v>15.5</v>
      </c>
      <c r="N133" s="11">
        <v>2.1</v>
      </c>
      <c r="O133" s="11">
        <v>2.16</v>
      </c>
      <c r="P133" s="11">
        <v>0.03</v>
      </c>
      <c r="Q133" s="11">
        <v>16.920000000000002</v>
      </c>
      <c r="R133" s="11">
        <v>2</v>
      </c>
      <c r="S133" s="11">
        <f t="shared" si="16"/>
        <v>31</v>
      </c>
      <c r="T133" s="11">
        <f t="shared" si="17"/>
        <v>4.2</v>
      </c>
      <c r="U133" s="11">
        <f t="shared" si="18"/>
        <v>4.32</v>
      </c>
      <c r="V133" s="11">
        <f t="shared" si="19"/>
        <v>0.93</v>
      </c>
      <c r="W133" s="11" t="s">
        <v>66</v>
      </c>
      <c r="X133" s="11">
        <v>0</v>
      </c>
      <c r="Y133" s="11">
        <f t="shared" si="20"/>
        <v>26.37</v>
      </c>
      <c r="Z133" s="11">
        <f t="shared" si="21"/>
        <v>4.629999999999999</v>
      </c>
      <c r="AA133" s="12">
        <f t="shared" si="22"/>
        <v>0.14935483870967739</v>
      </c>
      <c r="AB133" s="13">
        <f t="shared" si="23"/>
        <v>1.8321513002364065</v>
      </c>
      <c r="AC133" t="s">
        <v>67</v>
      </c>
    </row>
    <row r="134" spans="1:29" ht="14.25" customHeight="1" x14ac:dyDescent="0.45">
      <c r="A134" t="s">
        <v>257</v>
      </c>
      <c r="B134" s="10">
        <v>45781</v>
      </c>
      <c r="C134">
        <v>2025</v>
      </c>
      <c r="D134">
        <v>5</v>
      </c>
      <c r="E134" t="s">
        <v>58</v>
      </c>
      <c r="F134" t="s">
        <v>92</v>
      </c>
      <c r="G134" t="s">
        <v>60</v>
      </c>
      <c r="H134" t="s">
        <v>86</v>
      </c>
      <c r="I134" t="s">
        <v>138</v>
      </c>
      <c r="J134" t="s">
        <v>139</v>
      </c>
      <c r="K134" t="s">
        <v>89</v>
      </c>
      <c r="L134" t="s">
        <v>140</v>
      </c>
      <c r="M134" s="11">
        <v>36.56</v>
      </c>
      <c r="N134" s="11">
        <v>8.86</v>
      </c>
      <c r="O134" s="11">
        <v>4.33</v>
      </c>
      <c r="P134" s="11">
        <v>0.03</v>
      </c>
      <c r="Q134" s="11">
        <v>8.52</v>
      </c>
      <c r="R134" s="11">
        <v>1</v>
      </c>
      <c r="S134" s="11">
        <f t="shared" si="16"/>
        <v>36.56</v>
      </c>
      <c r="T134" s="11">
        <f t="shared" si="17"/>
        <v>8.86</v>
      </c>
      <c r="U134" s="11">
        <f t="shared" si="18"/>
        <v>4.33</v>
      </c>
      <c r="V134" s="11">
        <f t="shared" si="19"/>
        <v>1.1000000000000001</v>
      </c>
      <c r="W134" s="11" t="s">
        <v>66</v>
      </c>
      <c r="X134" s="11">
        <v>0</v>
      </c>
      <c r="Y134" s="11">
        <f t="shared" si="20"/>
        <v>22.81</v>
      </c>
      <c r="Z134" s="11">
        <f t="shared" si="21"/>
        <v>13.750000000000004</v>
      </c>
      <c r="AA134" s="12">
        <f t="shared" si="22"/>
        <v>0.37609409190372001</v>
      </c>
      <c r="AB134" s="13">
        <f t="shared" si="23"/>
        <v>4.291079812206573</v>
      </c>
      <c r="AC134" t="s">
        <v>67</v>
      </c>
    </row>
    <row r="135" spans="1:29" ht="14.25" customHeight="1" x14ac:dyDescent="0.45">
      <c r="A135" t="s">
        <v>258</v>
      </c>
      <c r="B135" s="10">
        <v>45781</v>
      </c>
      <c r="C135">
        <v>2025</v>
      </c>
      <c r="D135">
        <v>5</v>
      </c>
      <c r="E135" t="s">
        <v>95</v>
      </c>
      <c r="F135" t="s">
        <v>96</v>
      </c>
      <c r="G135" t="s">
        <v>105</v>
      </c>
      <c r="H135" t="s">
        <v>61</v>
      </c>
      <c r="I135" t="s">
        <v>107</v>
      </c>
      <c r="J135" t="s">
        <v>108</v>
      </c>
      <c r="K135" t="s">
        <v>109</v>
      </c>
      <c r="L135" t="s">
        <v>110</v>
      </c>
      <c r="M135" s="11">
        <v>20.239999999999998</v>
      </c>
      <c r="N135" s="11">
        <v>3.65</v>
      </c>
      <c r="O135" s="11">
        <v>2.4900000000000002</v>
      </c>
      <c r="P135" s="11">
        <v>0.03</v>
      </c>
      <c r="Q135" s="11">
        <v>19.16</v>
      </c>
      <c r="R135" s="11">
        <v>2</v>
      </c>
      <c r="S135" s="11">
        <f t="shared" si="16"/>
        <v>40.479999999999997</v>
      </c>
      <c r="T135" s="11">
        <f t="shared" si="17"/>
        <v>7.3</v>
      </c>
      <c r="U135" s="11">
        <f t="shared" si="18"/>
        <v>4.9800000000000004</v>
      </c>
      <c r="V135" s="11">
        <f t="shared" si="19"/>
        <v>1.21</v>
      </c>
      <c r="W135" s="11" t="s">
        <v>66</v>
      </c>
      <c r="X135" s="11">
        <v>0</v>
      </c>
      <c r="Y135" s="11">
        <f t="shared" si="20"/>
        <v>32.650000000000006</v>
      </c>
      <c r="Z135" s="11">
        <f t="shared" si="21"/>
        <v>7.8299999999999912</v>
      </c>
      <c r="AA135" s="12">
        <f t="shared" si="22"/>
        <v>0.19342885375494051</v>
      </c>
      <c r="AB135" s="13">
        <f t="shared" si="23"/>
        <v>2.1127348643006263</v>
      </c>
      <c r="AC135" t="s">
        <v>67</v>
      </c>
    </row>
    <row r="136" spans="1:29" ht="14.25" customHeight="1" x14ac:dyDescent="0.45">
      <c r="A136" t="s">
        <v>259</v>
      </c>
      <c r="B136" s="10">
        <v>45782</v>
      </c>
      <c r="C136">
        <v>2025</v>
      </c>
      <c r="D136">
        <v>5</v>
      </c>
      <c r="E136" t="s">
        <v>77</v>
      </c>
      <c r="F136" t="s">
        <v>104</v>
      </c>
      <c r="G136" t="s">
        <v>105</v>
      </c>
      <c r="H136" t="s">
        <v>61</v>
      </c>
      <c r="I136" t="s">
        <v>97</v>
      </c>
      <c r="J136" t="s">
        <v>98</v>
      </c>
      <c r="K136" t="s">
        <v>99</v>
      </c>
      <c r="L136" t="s">
        <v>100</v>
      </c>
      <c r="M136" s="11">
        <v>34.53</v>
      </c>
      <c r="N136" s="11">
        <v>9.24</v>
      </c>
      <c r="O136" s="11">
        <v>3.62</v>
      </c>
      <c r="P136" s="11">
        <v>0.03</v>
      </c>
      <c r="Q136" s="11">
        <v>7.47</v>
      </c>
      <c r="R136" s="11">
        <v>1</v>
      </c>
      <c r="S136" s="11">
        <f t="shared" si="16"/>
        <v>34.53</v>
      </c>
      <c r="T136" s="11">
        <f t="shared" si="17"/>
        <v>9.24</v>
      </c>
      <c r="U136" s="11">
        <f t="shared" si="18"/>
        <v>3.62</v>
      </c>
      <c r="V136" s="11">
        <f t="shared" si="19"/>
        <v>1.04</v>
      </c>
      <c r="W136" s="11" t="s">
        <v>66</v>
      </c>
      <c r="X136" s="11">
        <v>0</v>
      </c>
      <c r="Y136" s="11">
        <f t="shared" si="20"/>
        <v>21.369999999999997</v>
      </c>
      <c r="Z136" s="11">
        <f t="shared" si="21"/>
        <v>13.160000000000004</v>
      </c>
      <c r="AA136" s="12">
        <f t="shared" si="22"/>
        <v>0.38111786852012752</v>
      </c>
      <c r="AB136" s="13">
        <f t="shared" si="23"/>
        <v>4.6224899598393581</v>
      </c>
      <c r="AC136" t="s">
        <v>67</v>
      </c>
    </row>
    <row r="137" spans="1:29" ht="14.25" customHeight="1" x14ac:dyDescent="0.45">
      <c r="A137" t="s">
        <v>260</v>
      </c>
      <c r="B137" s="10">
        <v>45782</v>
      </c>
      <c r="C137">
        <v>2025</v>
      </c>
      <c r="D137">
        <v>5</v>
      </c>
      <c r="E137" t="s">
        <v>58</v>
      </c>
      <c r="F137" t="s">
        <v>92</v>
      </c>
      <c r="G137" t="s">
        <v>71</v>
      </c>
      <c r="H137" t="s">
        <v>61</v>
      </c>
      <c r="I137" t="s">
        <v>97</v>
      </c>
      <c r="J137" t="s">
        <v>98</v>
      </c>
      <c r="K137" t="s">
        <v>99</v>
      </c>
      <c r="L137" t="s">
        <v>100</v>
      </c>
      <c r="M137" s="11">
        <v>38.32</v>
      </c>
      <c r="N137" s="11">
        <v>8.6199999999999992</v>
      </c>
      <c r="O137" s="11">
        <v>4.04</v>
      </c>
      <c r="P137" s="11">
        <v>0.03</v>
      </c>
      <c r="Q137" s="11">
        <v>0</v>
      </c>
      <c r="R137" s="11">
        <v>1</v>
      </c>
      <c r="S137" s="11">
        <f t="shared" si="16"/>
        <v>38.32</v>
      </c>
      <c r="T137" s="11">
        <f t="shared" si="17"/>
        <v>8.6199999999999992</v>
      </c>
      <c r="U137" s="11">
        <f t="shared" si="18"/>
        <v>4.04</v>
      </c>
      <c r="V137" s="11">
        <f t="shared" si="19"/>
        <v>1.1499999999999999</v>
      </c>
      <c r="W137" s="11" t="s">
        <v>66</v>
      </c>
      <c r="X137" s="11">
        <v>0</v>
      </c>
      <c r="Y137" s="11">
        <f t="shared" si="20"/>
        <v>13.81</v>
      </c>
      <c r="Z137" s="11">
        <f t="shared" si="21"/>
        <v>24.509999999999998</v>
      </c>
      <c r="AA137" s="12">
        <f t="shared" si="22"/>
        <v>0.63961377870563674</v>
      </c>
      <c r="AB137" s="13">
        <f t="shared" si="23"/>
        <v>0</v>
      </c>
      <c r="AC137" t="s">
        <v>67</v>
      </c>
    </row>
    <row r="138" spans="1:29" ht="14.25" customHeight="1" x14ac:dyDescent="0.45">
      <c r="A138" t="s">
        <v>261</v>
      </c>
      <c r="B138" s="10">
        <v>45784</v>
      </c>
      <c r="C138">
        <v>2025</v>
      </c>
      <c r="D138">
        <v>5</v>
      </c>
      <c r="E138" t="s">
        <v>69</v>
      </c>
      <c r="F138" t="s">
        <v>70</v>
      </c>
      <c r="G138" t="s">
        <v>60</v>
      </c>
      <c r="H138" t="s">
        <v>86</v>
      </c>
      <c r="I138" t="s">
        <v>72</v>
      </c>
      <c r="J138" t="s">
        <v>73</v>
      </c>
      <c r="K138" t="s">
        <v>74</v>
      </c>
      <c r="L138" t="s">
        <v>75</v>
      </c>
      <c r="M138" s="11">
        <v>45.14</v>
      </c>
      <c r="N138" s="11">
        <v>14.11</v>
      </c>
      <c r="O138" s="11">
        <v>7.25</v>
      </c>
      <c r="P138" s="11">
        <v>0.03</v>
      </c>
      <c r="Q138" s="11">
        <v>3.93</v>
      </c>
      <c r="R138" s="11">
        <v>1</v>
      </c>
      <c r="S138" s="11">
        <f t="shared" si="16"/>
        <v>45.14</v>
      </c>
      <c r="T138" s="11">
        <f t="shared" si="17"/>
        <v>14.11</v>
      </c>
      <c r="U138" s="11">
        <f t="shared" si="18"/>
        <v>7.25</v>
      </c>
      <c r="V138" s="11">
        <f t="shared" si="19"/>
        <v>1.35</v>
      </c>
      <c r="W138" s="11" t="s">
        <v>66</v>
      </c>
      <c r="X138" s="11">
        <v>0</v>
      </c>
      <c r="Y138" s="11">
        <f t="shared" si="20"/>
        <v>26.64</v>
      </c>
      <c r="Z138" s="11">
        <f t="shared" si="21"/>
        <v>18.5</v>
      </c>
      <c r="AA138" s="12">
        <f t="shared" si="22"/>
        <v>0.4098360655737705</v>
      </c>
      <c r="AB138" s="13">
        <f t="shared" si="23"/>
        <v>11.486005089058525</v>
      </c>
      <c r="AC138" t="s">
        <v>67</v>
      </c>
    </row>
    <row r="139" spans="1:29" ht="14.25" customHeight="1" x14ac:dyDescent="0.45">
      <c r="A139" t="s">
        <v>262</v>
      </c>
      <c r="B139" s="10">
        <v>45784</v>
      </c>
      <c r="C139">
        <v>2025</v>
      </c>
      <c r="D139">
        <v>5</v>
      </c>
      <c r="E139" t="s">
        <v>95</v>
      </c>
      <c r="F139" t="s">
        <v>96</v>
      </c>
      <c r="G139" t="s">
        <v>71</v>
      </c>
      <c r="H139" t="s">
        <v>86</v>
      </c>
      <c r="I139" t="s">
        <v>97</v>
      </c>
      <c r="J139" t="s">
        <v>98</v>
      </c>
      <c r="K139" t="s">
        <v>99</v>
      </c>
      <c r="L139" t="s">
        <v>100</v>
      </c>
      <c r="M139" s="11">
        <v>36.54</v>
      </c>
      <c r="N139" s="11">
        <v>9.39</v>
      </c>
      <c r="O139" s="11">
        <v>3.91</v>
      </c>
      <c r="P139" s="11">
        <v>0.03</v>
      </c>
      <c r="Q139" s="11">
        <v>0</v>
      </c>
      <c r="R139" s="11">
        <v>1</v>
      </c>
      <c r="S139" s="11">
        <f t="shared" si="16"/>
        <v>36.54</v>
      </c>
      <c r="T139" s="11">
        <f t="shared" si="17"/>
        <v>9.39</v>
      </c>
      <c r="U139" s="11">
        <f t="shared" si="18"/>
        <v>3.91</v>
      </c>
      <c r="V139" s="11">
        <f t="shared" si="19"/>
        <v>1.1000000000000001</v>
      </c>
      <c r="W139" s="11" t="s">
        <v>66</v>
      </c>
      <c r="X139" s="11">
        <v>0</v>
      </c>
      <c r="Y139" s="11">
        <f t="shared" si="20"/>
        <v>14.4</v>
      </c>
      <c r="Z139" s="11">
        <f t="shared" si="21"/>
        <v>22.14</v>
      </c>
      <c r="AA139" s="12">
        <f t="shared" si="22"/>
        <v>0.60591133004926112</v>
      </c>
      <c r="AB139" s="13">
        <f t="shared" si="23"/>
        <v>0</v>
      </c>
      <c r="AC139" t="s">
        <v>67</v>
      </c>
    </row>
    <row r="140" spans="1:29" ht="14.25" customHeight="1" x14ac:dyDescent="0.45">
      <c r="A140" t="s">
        <v>263</v>
      </c>
      <c r="B140" s="10">
        <v>45786</v>
      </c>
      <c r="C140">
        <v>2025</v>
      </c>
      <c r="D140">
        <v>5</v>
      </c>
      <c r="E140" t="s">
        <v>58</v>
      </c>
      <c r="F140" t="s">
        <v>92</v>
      </c>
      <c r="G140" t="s">
        <v>60</v>
      </c>
      <c r="H140" t="s">
        <v>112</v>
      </c>
      <c r="I140" t="s">
        <v>138</v>
      </c>
      <c r="J140" t="s">
        <v>139</v>
      </c>
      <c r="K140" t="s">
        <v>89</v>
      </c>
      <c r="L140" t="s">
        <v>140</v>
      </c>
      <c r="M140" s="11">
        <v>40.869999999999997</v>
      </c>
      <c r="N140" s="11">
        <v>9.02</v>
      </c>
      <c r="O140" s="11">
        <v>4.05</v>
      </c>
      <c r="P140" s="11">
        <v>0.03</v>
      </c>
      <c r="Q140" s="11">
        <v>27.99</v>
      </c>
      <c r="R140" s="11">
        <v>3</v>
      </c>
      <c r="S140" s="11">
        <f t="shared" si="16"/>
        <v>122.60999999999999</v>
      </c>
      <c r="T140" s="11">
        <f t="shared" si="17"/>
        <v>27.06</v>
      </c>
      <c r="U140" s="11">
        <f t="shared" si="18"/>
        <v>12.149999999999999</v>
      </c>
      <c r="V140" s="11">
        <f t="shared" si="19"/>
        <v>3.68</v>
      </c>
      <c r="W140" s="11" t="s">
        <v>66</v>
      </c>
      <c r="X140" s="11">
        <v>0</v>
      </c>
      <c r="Y140" s="11">
        <f t="shared" si="20"/>
        <v>70.88</v>
      </c>
      <c r="Z140" s="11">
        <f t="shared" si="21"/>
        <v>51.72999999999999</v>
      </c>
      <c r="AA140" s="12">
        <f t="shared" si="22"/>
        <v>0.42190685914688847</v>
      </c>
      <c r="AB140" s="13">
        <f t="shared" si="23"/>
        <v>4.380493033226152</v>
      </c>
      <c r="AC140" t="s">
        <v>67</v>
      </c>
    </row>
    <row r="141" spans="1:29" ht="14.25" customHeight="1" x14ac:dyDescent="0.45">
      <c r="A141" t="s">
        <v>264</v>
      </c>
      <c r="B141" s="10">
        <v>45787</v>
      </c>
      <c r="C141">
        <v>2025</v>
      </c>
      <c r="D141">
        <v>5</v>
      </c>
      <c r="E141" t="s">
        <v>77</v>
      </c>
      <c r="F141" t="s">
        <v>104</v>
      </c>
      <c r="G141" t="s">
        <v>93</v>
      </c>
      <c r="H141" t="s">
        <v>61</v>
      </c>
      <c r="I141" t="s">
        <v>107</v>
      </c>
      <c r="J141" t="s">
        <v>108</v>
      </c>
      <c r="K141" t="s">
        <v>109</v>
      </c>
      <c r="L141" t="s">
        <v>110</v>
      </c>
      <c r="M141" s="11">
        <v>18.84</v>
      </c>
      <c r="N141" s="11">
        <v>3.55</v>
      </c>
      <c r="O141" s="11">
        <v>2.41</v>
      </c>
      <c r="P141" s="11">
        <v>0.03</v>
      </c>
      <c r="Q141" s="11">
        <v>7.06</v>
      </c>
      <c r="R141" s="11">
        <v>1</v>
      </c>
      <c r="S141" s="11">
        <f t="shared" si="16"/>
        <v>18.84</v>
      </c>
      <c r="T141" s="11">
        <f t="shared" si="17"/>
        <v>3.55</v>
      </c>
      <c r="U141" s="11">
        <f t="shared" si="18"/>
        <v>2.41</v>
      </c>
      <c r="V141" s="11">
        <f t="shared" si="19"/>
        <v>0.56999999999999995</v>
      </c>
      <c r="W141" s="11" t="s">
        <v>66</v>
      </c>
      <c r="X141" s="11">
        <v>0</v>
      </c>
      <c r="Y141" s="11">
        <f t="shared" si="20"/>
        <v>13.59</v>
      </c>
      <c r="Z141" s="11">
        <f t="shared" si="21"/>
        <v>5.25</v>
      </c>
      <c r="AA141" s="12">
        <f t="shared" si="22"/>
        <v>0.2786624203821656</v>
      </c>
      <c r="AB141" s="13">
        <f t="shared" si="23"/>
        <v>2.6685552407932014</v>
      </c>
      <c r="AC141" t="s">
        <v>67</v>
      </c>
    </row>
    <row r="142" spans="1:29" ht="14.25" customHeight="1" x14ac:dyDescent="0.45">
      <c r="A142" t="s">
        <v>265</v>
      </c>
      <c r="B142" s="10">
        <v>45788</v>
      </c>
      <c r="C142">
        <v>2025</v>
      </c>
      <c r="D142">
        <v>5</v>
      </c>
      <c r="E142" t="s">
        <v>95</v>
      </c>
      <c r="F142" t="s">
        <v>96</v>
      </c>
      <c r="G142" t="s">
        <v>126</v>
      </c>
      <c r="H142" t="s">
        <v>86</v>
      </c>
      <c r="I142" t="s">
        <v>72</v>
      </c>
      <c r="J142" t="s">
        <v>73</v>
      </c>
      <c r="K142" t="s">
        <v>74</v>
      </c>
      <c r="L142" t="s">
        <v>75</v>
      </c>
      <c r="M142" s="11">
        <v>44.32</v>
      </c>
      <c r="N142" s="11">
        <v>13.91</v>
      </c>
      <c r="O142" s="11">
        <v>6.97</v>
      </c>
      <c r="P142" s="11">
        <v>0.03</v>
      </c>
      <c r="Q142" s="11">
        <v>15.93</v>
      </c>
      <c r="R142" s="11">
        <v>2</v>
      </c>
      <c r="S142" s="11">
        <f t="shared" si="16"/>
        <v>88.64</v>
      </c>
      <c r="T142" s="11">
        <f t="shared" si="17"/>
        <v>27.82</v>
      </c>
      <c r="U142" s="11">
        <f t="shared" si="18"/>
        <v>13.94</v>
      </c>
      <c r="V142" s="11">
        <f t="shared" si="19"/>
        <v>2.66</v>
      </c>
      <c r="W142" s="11" t="s">
        <v>66</v>
      </c>
      <c r="X142" s="11">
        <v>0</v>
      </c>
      <c r="Y142" s="11">
        <f t="shared" si="20"/>
        <v>60.35</v>
      </c>
      <c r="Z142" s="11">
        <f t="shared" si="21"/>
        <v>28.29</v>
      </c>
      <c r="AA142" s="12">
        <f t="shared" si="22"/>
        <v>0.31915613718411551</v>
      </c>
      <c r="AB142" s="13">
        <f t="shared" si="23"/>
        <v>5.5643440050219715</v>
      </c>
      <c r="AC142" t="s">
        <v>67</v>
      </c>
    </row>
    <row r="143" spans="1:29" ht="14.25" customHeight="1" x14ac:dyDescent="0.45">
      <c r="A143" t="s">
        <v>266</v>
      </c>
      <c r="B143" s="10">
        <v>45788</v>
      </c>
      <c r="C143">
        <v>2025</v>
      </c>
      <c r="D143">
        <v>5</v>
      </c>
      <c r="E143" t="s">
        <v>77</v>
      </c>
      <c r="F143" t="s">
        <v>102</v>
      </c>
      <c r="G143" t="s">
        <v>60</v>
      </c>
      <c r="H143" t="s">
        <v>86</v>
      </c>
      <c r="I143" t="s">
        <v>62</v>
      </c>
      <c r="J143" t="s">
        <v>63</v>
      </c>
      <c r="K143" t="s">
        <v>64</v>
      </c>
      <c r="L143" t="s">
        <v>65</v>
      </c>
      <c r="M143" s="11">
        <v>33.51</v>
      </c>
      <c r="N143" s="11">
        <v>9.68</v>
      </c>
      <c r="O143" s="11">
        <v>4.58</v>
      </c>
      <c r="P143" s="11">
        <v>0.03</v>
      </c>
      <c r="Q143" s="11">
        <v>5.31</v>
      </c>
      <c r="R143" s="11">
        <v>1</v>
      </c>
      <c r="S143" s="11">
        <f t="shared" si="16"/>
        <v>33.51</v>
      </c>
      <c r="T143" s="11">
        <f t="shared" si="17"/>
        <v>9.68</v>
      </c>
      <c r="U143" s="11">
        <f t="shared" si="18"/>
        <v>4.58</v>
      </c>
      <c r="V143" s="11">
        <f t="shared" si="19"/>
        <v>1.01</v>
      </c>
      <c r="W143" s="11" t="s">
        <v>66</v>
      </c>
      <c r="X143" s="11">
        <v>0</v>
      </c>
      <c r="Y143" s="11">
        <f t="shared" si="20"/>
        <v>20.58</v>
      </c>
      <c r="Z143" s="11">
        <f t="shared" si="21"/>
        <v>12.93</v>
      </c>
      <c r="AA143" s="12">
        <f t="shared" si="22"/>
        <v>0.38585496866606983</v>
      </c>
      <c r="AB143" s="13">
        <f t="shared" si="23"/>
        <v>6.3107344632768365</v>
      </c>
      <c r="AC143" t="s">
        <v>67</v>
      </c>
    </row>
    <row r="144" spans="1:29" ht="14.25" customHeight="1" x14ac:dyDescent="0.45">
      <c r="A144" t="s">
        <v>267</v>
      </c>
      <c r="B144" s="10">
        <v>45789</v>
      </c>
      <c r="C144">
        <v>2025</v>
      </c>
      <c r="D144">
        <v>5</v>
      </c>
      <c r="E144" t="s">
        <v>77</v>
      </c>
      <c r="F144" t="s">
        <v>78</v>
      </c>
      <c r="G144" t="s">
        <v>126</v>
      </c>
      <c r="H144" t="s">
        <v>61</v>
      </c>
      <c r="I144" t="s">
        <v>113</v>
      </c>
      <c r="J144" t="s">
        <v>114</v>
      </c>
      <c r="K144" t="s">
        <v>115</v>
      </c>
      <c r="L144" t="s">
        <v>116</v>
      </c>
      <c r="M144" s="11">
        <v>51.01</v>
      </c>
      <c r="N144" s="11">
        <v>17.11</v>
      </c>
      <c r="O144" s="11">
        <v>6.62</v>
      </c>
      <c r="P144" s="11">
        <v>0.03</v>
      </c>
      <c r="Q144" s="11">
        <v>5.49</v>
      </c>
      <c r="R144" s="11">
        <v>1</v>
      </c>
      <c r="S144" s="11">
        <f t="shared" si="16"/>
        <v>51.01</v>
      </c>
      <c r="T144" s="11">
        <f t="shared" si="17"/>
        <v>17.11</v>
      </c>
      <c r="U144" s="11">
        <f t="shared" si="18"/>
        <v>6.62</v>
      </c>
      <c r="V144" s="11">
        <f t="shared" si="19"/>
        <v>1.53</v>
      </c>
      <c r="W144" s="11" t="s">
        <v>66</v>
      </c>
      <c r="X144" s="11">
        <v>0</v>
      </c>
      <c r="Y144" s="11">
        <f t="shared" si="20"/>
        <v>30.75</v>
      </c>
      <c r="Z144" s="11">
        <f t="shared" si="21"/>
        <v>20.259999999999998</v>
      </c>
      <c r="AA144" s="12">
        <f t="shared" si="22"/>
        <v>0.397177024112919</v>
      </c>
      <c r="AB144" s="13">
        <f t="shared" si="23"/>
        <v>9.2914389799635693</v>
      </c>
      <c r="AC144" t="s">
        <v>67</v>
      </c>
    </row>
    <row r="145" spans="1:29" ht="14.25" customHeight="1" x14ac:dyDescent="0.45">
      <c r="A145" t="s">
        <v>268</v>
      </c>
      <c r="B145" s="10">
        <v>45789</v>
      </c>
      <c r="C145">
        <v>2025</v>
      </c>
      <c r="D145">
        <v>5</v>
      </c>
      <c r="E145" t="s">
        <v>77</v>
      </c>
      <c r="F145" t="s">
        <v>102</v>
      </c>
      <c r="G145" t="s">
        <v>105</v>
      </c>
      <c r="H145" t="s">
        <v>61</v>
      </c>
      <c r="I145" t="s">
        <v>113</v>
      </c>
      <c r="J145" t="s">
        <v>114</v>
      </c>
      <c r="K145" t="s">
        <v>115</v>
      </c>
      <c r="L145" t="s">
        <v>116</v>
      </c>
      <c r="M145" s="11">
        <v>54.77</v>
      </c>
      <c r="N145" s="11">
        <v>15.53</v>
      </c>
      <c r="O145" s="11">
        <v>6.82</v>
      </c>
      <c r="P145" s="11">
        <v>0.03</v>
      </c>
      <c r="Q145" s="11">
        <v>7.66</v>
      </c>
      <c r="R145" s="11">
        <v>2</v>
      </c>
      <c r="S145" s="11">
        <f t="shared" si="16"/>
        <v>109.54</v>
      </c>
      <c r="T145" s="11">
        <f t="shared" si="17"/>
        <v>31.06</v>
      </c>
      <c r="U145" s="11">
        <f t="shared" si="18"/>
        <v>13.64</v>
      </c>
      <c r="V145" s="11">
        <f t="shared" si="19"/>
        <v>3.29</v>
      </c>
      <c r="W145" s="11" t="s">
        <v>66</v>
      </c>
      <c r="X145" s="11">
        <v>0</v>
      </c>
      <c r="Y145" s="11">
        <f t="shared" si="20"/>
        <v>55.650000000000006</v>
      </c>
      <c r="Z145" s="11">
        <f t="shared" si="21"/>
        <v>53.89</v>
      </c>
      <c r="AA145" s="12">
        <f t="shared" si="22"/>
        <v>0.49196640496622235</v>
      </c>
      <c r="AB145" s="13">
        <f t="shared" si="23"/>
        <v>14.300261096605745</v>
      </c>
      <c r="AC145" t="s">
        <v>67</v>
      </c>
    </row>
    <row r="146" spans="1:29" ht="14.25" customHeight="1" x14ac:dyDescent="0.45">
      <c r="A146" t="s">
        <v>269</v>
      </c>
      <c r="B146" s="10">
        <v>45789</v>
      </c>
      <c r="C146">
        <v>2025</v>
      </c>
      <c r="D146">
        <v>5</v>
      </c>
      <c r="E146" t="s">
        <v>77</v>
      </c>
      <c r="F146" t="s">
        <v>104</v>
      </c>
      <c r="G146" t="s">
        <v>105</v>
      </c>
      <c r="H146" t="s">
        <v>61</v>
      </c>
      <c r="I146" t="s">
        <v>87</v>
      </c>
      <c r="J146" t="s">
        <v>88</v>
      </c>
      <c r="K146" t="s">
        <v>89</v>
      </c>
      <c r="L146" t="s">
        <v>90</v>
      </c>
      <c r="M146" s="11">
        <v>63.85</v>
      </c>
      <c r="N146" s="11">
        <v>21.99</v>
      </c>
      <c r="O146" s="11">
        <v>6.77</v>
      </c>
      <c r="P146" s="11">
        <v>0.03</v>
      </c>
      <c r="Q146" s="11">
        <v>3.31</v>
      </c>
      <c r="R146" s="11">
        <v>1</v>
      </c>
      <c r="S146" s="11">
        <f t="shared" si="16"/>
        <v>63.85</v>
      </c>
      <c r="T146" s="11">
        <f t="shared" si="17"/>
        <v>21.99</v>
      </c>
      <c r="U146" s="11">
        <f t="shared" si="18"/>
        <v>6.77</v>
      </c>
      <c r="V146" s="11">
        <f t="shared" si="19"/>
        <v>1.92</v>
      </c>
      <c r="W146" s="11" t="s">
        <v>154</v>
      </c>
      <c r="X146" s="11">
        <v>56.02</v>
      </c>
      <c r="Y146" s="11">
        <f t="shared" si="20"/>
        <v>90.01</v>
      </c>
      <c r="Z146" s="11">
        <f t="shared" si="21"/>
        <v>-26.160000000000004</v>
      </c>
      <c r="AA146" s="12">
        <f t="shared" si="22"/>
        <v>-0.40971025841816761</v>
      </c>
      <c r="AB146" s="13">
        <f t="shared" si="23"/>
        <v>19.290030211480364</v>
      </c>
      <c r="AC146" t="s">
        <v>155</v>
      </c>
    </row>
    <row r="147" spans="1:29" ht="14.25" customHeight="1" x14ac:dyDescent="0.45">
      <c r="A147" t="s">
        <v>270</v>
      </c>
      <c r="B147" s="10">
        <v>45790</v>
      </c>
      <c r="C147">
        <v>2025</v>
      </c>
      <c r="D147">
        <v>5</v>
      </c>
      <c r="E147" t="s">
        <v>58</v>
      </c>
      <c r="F147" t="s">
        <v>59</v>
      </c>
      <c r="G147" t="s">
        <v>71</v>
      </c>
      <c r="H147" t="s">
        <v>112</v>
      </c>
      <c r="I147" t="s">
        <v>97</v>
      </c>
      <c r="J147" t="s">
        <v>98</v>
      </c>
      <c r="K147" t="s">
        <v>99</v>
      </c>
      <c r="L147" t="s">
        <v>100</v>
      </c>
      <c r="M147" s="11">
        <v>36.79</v>
      </c>
      <c r="N147" s="11">
        <v>8.6999999999999993</v>
      </c>
      <c r="O147" s="11">
        <v>4.09</v>
      </c>
      <c r="P147" s="11">
        <v>0.03</v>
      </c>
      <c r="Q147" s="11">
        <v>0</v>
      </c>
      <c r="R147" s="11">
        <v>2</v>
      </c>
      <c r="S147" s="11">
        <f t="shared" si="16"/>
        <v>73.58</v>
      </c>
      <c r="T147" s="11">
        <f t="shared" si="17"/>
        <v>17.399999999999999</v>
      </c>
      <c r="U147" s="11">
        <f t="shared" si="18"/>
        <v>8.18</v>
      </c>
      <c r="V147" s="11">
        <f t="shared" si="19"/>
        <v>2.21</v>
      </c>
      <c r="W147" s="11" t="s">
        <v>66</v>
      </c>
      <c r="X147" s="11">
        <v>0</v>
      </c>
      <c r="Y147" s="11">
        <f t="shared" si="20"/>
        <v>27.79</v>
      </c>
      <c r="Z147" s="11">
        <f t="shared" si="21"/>
        <v>45.79</v>
      </c>
      <c r="AA147" s="12">
        <f t="shared" si="22"/>
        <v>0.6223158466974722</v>
      </c>
      <c r="AB147" s="13">
        <f t="shared" si="23"/>
        <v>0</v>
      </c>
      <c r="AC147" t="s">
        <v>67</v>
      </c>
    </row>
    <row r="148" spans="1:29" ht="14.25" customHeight="1" x14ac:dyDescent="0.45">
      <c r="A148" t="s">
        <v>271</v>
      </c>
      <c r="B148" s="10">
        <v>45794</v>
      </c>
      <c r="C148">
        <v>2025</v>
      </c>
      <c r="D148">
        <v>5</v>
      </c>
      <c r="E148" t="s">
        <v>95</v>
      </c>
      <c r="F148" t="s">
        <v>96</v>
      </c>
      <c r="G148" t="s">
        <v>126</v>
      </c>
      <c r="H148" t="s">
        <v>127</v>
      </c>
      <c r="I148" t="s">
        <v>147</v>
      </c>
      <c r="J148" t="s">
        <v>148</v>
      </c>
      <c r="K148" t="s">
        <v>149</v>
      </c>
      <c r="L148" t="s">
        <v>150</v>
      </c>
      <c r="M148" s="11">
        <v>29.88</v>
      </c>
      <c r="N148" s="11">
        <v>7.53</v>
      </c>
      <c r="O148" s="11">
        <v>4.46</v>
      </c>
      <c r="P148" s="11">
        <v>0.03</v>
      </c>
      <c r="Q148" s="11">
        <v>5.6</v>
      </c>
      <c r="R148" s="11">
        <v>1</v>
      </c>
      <c r="S148" s="11">
        <f t="shared" si="16"/>
        <v>29.88</v>
      </c>
      <c r="T148" s="11">
        <f t="shared" si="17"/>
        <v>7.53</v>
      </c>
      <c r="U148" s="11">
        <f t="shared" si="18"/>
        <v>4.46</v>
      </c>
      <c r="V148" s="11">
        <f t="shared" si="19"/>
        <v>0.9</v>
      </c>
      <c r="W148" s="11" t="s">
        <v>66</v>
      </c>
      <c r="X148" s="11">
        <v>0</v>
      </c>
      <c r="Y148" s="11">
        <f t="shared" si="20"/>
        <v>18.490000000000002</v>
      </c>
      <c r="Z148" s="11">
        <f t="shared" si="21"/>
        <v>11.389999999999997</v>
      </c>
      <c r="AA148" s="12">
        <f t="shared" si="22"/>
        <v>0.38119143239625158</v>
      </c>
      <c r="AB148" s="13">
        <f t="shared" si="23"/>
        <v>5.3357142857142863</v>
      </c>
      <c r="AC148" t="s">
        <v>67</v>
      </c>
    </row>
    <row r="149" spans="1:29" ht="14.25" customHeight="1" x14ac:dyDescent="0.45">
      <c r="A149" t="s">
        <v>272</v>
      </c>
      <c r="B149" s="10">
        <v>45795</v>
      </c>
      <c r="C149">
        <v>2025</v>
      </c>
      <c r="D149">
        <v>5</v>
      </c>
      <c r="E149" t="s">
        <v>95</v>
      </c>
      <c r="F149" t="s">
        <v>96</v>
      </c>
      <c r="G149" t="s">
        <v>105</v>
      </c>
      <c r="H149" t="s">
        <v>80</v>
      </c>
      <c r="I149" t="s">
        <v>62</v>
      </c>
      <c r="J149" t="s">
        <v>63</v>
      </c>
      <c r="K149" t="s">
        <v>64</v>
      </c>
      <c r="L149" t="s">
        <v>65</v>
      </c>
      <c r="M149" s="11">
        <v>36.380000000000003</v>
      </c>
      <c r="N149" s="11">
        <v>10.72</v>
      </c>
      <c r="O149" s="11">
        <v>4.45</v>
      </c>
      <c r="P149" s="11">
        <v>0.03</v>
      </c>
      <c r="Q149" s="11">
        <v>5.85</v>
      </c>
      <c r="R149" s="11">
        <v>1</v>
      </c>
      <c r="S149" s="11">
        <f t="shared" si="16"/>
        <v>36.380000000000003</v>
      </c>
      <c r="T149" s="11">
        <f t="shared" si="17"/>
        <v>10.72</v>
      </c>
      <c r="U149" s="11">
        <f t="shared" si="18"/>
        <v>4.45</v>
      </c>
      <c r="V149" s="11">
        <f t="shared" si="19"/>
        <v>1.0900000000000001</v>
      </c>
      <c r="W149" s="11" t="s">
        <v>154</v>
      </c>
      <c r="X149" s="11">
        <v>19.64</v>
      </c>
      <c r="Y149" s="11">
        <f t="shared" si="20"/>
        <v>41.75</v>
      </c>
      <c r="Z149" s="11">
        <f t="shared" si="21"/>
        <v>-5.3699999999999974</v>
      </c>
      <c r="AA149" s="12">
        <f t="shared" si="22"/>
        <v>-0.14760857614073658</v>
      </c>
      <c r="AB149" s="13">
        <f t="shared" si="23"/>
        <v>6.2188034188034198</v>
      </c>
      <c r="AC149" t="s">
        <v>155</v>
      </c>
    </row>
    <row r="150" spans="1:29" ht="14.25" customHeight="1" x14ac:dyDescent="0.45">
      <c r="A150" t="s">
        <v>273</v>
      </c>
      <c r="B150" s="10">
        <v>45795</v>
      </c>
      <c r="C150">
        <v>2025</v>
      </c>
      <c r="D150">
        <v>5</v>
      </c>
      <c r="E150" t="s">
        <v>69</v>
      </c>
      <c r="F150" t="s">
        <v>70</v>
      </c>
      <c r="G150" t="s">
        <v>93</v>
      </c>
      <c r="H150" t="s">
        <v>127</v>
      </c>
      <c r="I150" t="s">
        <v>107</v>
      </c>
      <c r="J150" t="s">
        <v>108</v>
      </c>
      <c r="K150" t="s">
        <v>109</v>
      </c>
      <c r="L150" t="s">
        <v>110</v>
      </c>
      <c r="M150" s="11">
        <v>19.82</v>
      </c>
      <c r="N150" s="11">
        <v>3.43</v>
      </c>
      <c r="O150" s="11">
        <v>2.4900000000000002</v>
      </c>
      <c r="P150" s="11">
        <v>0.03</v>
      </c>
      <c r="Q150" s="11">
        <v>6.96</v>
      </c>
      <c r="R150" s="11">
        <v>1</v>
      </c>
      <c r="S150" s="11">
        <f t="shared" si="16"/>
        <v>19.82</v>
      </c>
      <c r="T150" s="11">
        <f t="shared" si="17"/>
        <v>3.43</v>
      </c>
      <c r="U150" s="11">
        <f t="shared" si="18"/>
        <v>2.4900000000000002</v>
      </c>
      <c r="V150" s="11">
        <f t="shared" si="19"/>
        <v>0.59</v>
      </c>
      <c r="W150" s="11" t="s">
        <v>66</v>
      </c>
      <c r="X150" s="11">
        <v>0</v>
      </c>
      <c r="Y150" s="11">
        <f t="shared" si="20"/>
        <v>13.469999999999999</v>
      </c>
      <c r="Z150" s="11">
        <f t="shared" si="21"/>
        <v>6.3500000000000014</v>
      </c>
      <c r="AA150" s="12">
        <f t="shared" si="22"/>
        <v>0.32038345105953586</v>
      </c>
      <c r="AB150" s="13">
        <f t="shared" si="23"/>
        <v>2.8477011494252875</v>
      </c>
      <c r="AC150" t="s">
        <v>67</v>
      </c>
    </row>
    <row r="151" spans="1:29" ht="14.25" customHeight="1" x14ac:dyDescent="0.45">
      <c r="A151" t="s">
        <v>274</v>
      </c>
      <c r="B151" s="10">
        <v>45796</v>
      </c>
      <c r="C151">
        <v>2025</v>
      </c>
      <c r="D151">
        <v>5</v>
      </c>
      <c r="E151" t="s">
        <v>77</v>
      </c>
      <c r="F151" t="s">
        <v>102</v>
      </c>
      <c r="G151" t="s">
        <v>105</v>
      </c>
      <c r="H151" t="s">
        <v>61</v>
      </c>
      <c r="I151" t="s">
        <v>62</v>
      </c>
      <c r="J151" t="s">
        <v>63</v>
      </c>
      <c r="K151" t="s">
        <v>64</v>
      </c>
      <c r="L151" t="s">
        <v>65</v>
      </c>
      <c r="M151" s="11">
        <v>30.9</v>
      </c>
      <c r="N151" s="11">
        <v>9.68</v>
      </c>
      <c r="O151" s="11">
        <v>3.85</v>
      </c>
      <c r="P151" s="11">
        <v>0.03</v>
      </c>
      <c r="Q151" s="11">
        <v>19.37</v>
      </c>
      <c r="R151" s="11">
        <v>2</v>
      </c>
      <c r="S151" s="11">
        <f t="shared" si="16"/>
        <v>61.8</v>
      </c>
      <c r="T151" s="11">
        <f t="shared" si="17"/>
        <v>19.36</v>
      </c>
      <c r="U151" s="11">
        <f t="shared" si="18"/>
        <v>7.7</v>
      </c>
      <c r="V151" s="11">
        <f t="shared" si="19"/>
        <v>1.85</v>
      </c>
      <c r="W151" s="11" t="s">
        <v>66</v>
      </c>
      <c r="X151" s="11">
        <v>0</v>
      </c>
      <c r="Y151" s="11">
        <f t="shared" si="20"/>
        <v>48.28</v>
      </c>
      <c r="Z151" s="11">
        <f t="shared" si="21"/>
        <v>13.519999999999996</v>
      </c>
      <c r="AA151" s="12">
        <f t="shared" si="22"/>
        <v>0.21877022653721678</v>
      </c>
      <c r="AB151" s="13">
        <f t="shared" si="23"/>
        <v>3.1905007743933917</v>
      </c>
      <c r="AC151" t="s">
        <v>67</v>
      </c>
    </row>
    <row r="152" spans="1:29" ht="14.25" customHeight="1" x14ac:dyDescent="0.45">
      <c r="A152" t="s">
        <v>275</v>
      </c>
      <c r="B152" s="10">
        <v>45799</v>
      </c>
      <c r="C152">
        <v>2025</v>
      </c>
      <c r="D152">
        <v>5</v>
      </c>
      <c r="E152" t="s">
        <v>77</v>
      </c>
      <c r="F152" t="s">
        <v>102</v>
      </c>
      <c r="G152" t="s">
        <v>105</v>
      </c>
      <c r="H152" t="s">
        <v>112</v>
      </c>
      <c r="I152" t="s">
        <v>62</v>
      </c>
      <c r="J152" t="s">
        <v>63</v>
      </c>
      <c r="K152" t="s">
        <v>64</v>
      </c>
      <c r="L152" t="s">
        <v>65</v>
      </c>
      <c r="M152" s="11">
        <v>36.22</v>
      </c>
      <c r="N152" s="11">
        <v>10.18</v>
      </c>
      <c r="O152" s="11">
        <v>4.51</v>
      </c>
      <c r="P152" s="11">
        <v>0.03</v>
      </c>
      <c r="Q152" s="11">
        <v>8.73</v>
      </c>
      <c r="R152" s="11">
        <v>2</v>
      </c>
      <c r="S152" s="11">
        <f t="shared" si="16"/>
        <v>72.44</v>
      </c>
      <c r="T152" s="11">
        <f t="shared" si="17"/>
        <v>20.36</v>
      </c>
      <c r="U152" s="11">
        <f t="shared" si="18"/>
        <v>9.02</v>
      </c>
      <c r="V152" s="11">
        <f t="shared" si="19"/>
        <v>2.17</v>
      </c>
      <c r="W152" s="11" t="s">
        <v>66</v>
      </c>
      <c r="X152" s="11">
        <v>0</v>
      </c>
      <c r="Y152" s="11">
        <f t="shared" si="20"/>
        <v>40.28</v>
      </c>
      <c r="Z152" s="11">
        <f t="shared" si="21"/>
        <v>32.159999999999997</v>
      </c>
      <c r="AA152" s="12">
        <f t="shared" si="22"/>
        <v>0.44395361678630585</v>
      </c>
      <c r="AB152" s="13">
        <f t="shared" si="23"/>
        <v>8.2978235967926679</v>
      </c>
      <c r="AC152" t="s">
        <v>67</v>
      </c>
    </row>
    <row r="153" spans="1:29" ht="14.25" customHeight="1" x14ac:dyDescent="0.45">
      <c r="A153" t="s">
        <v>276</v>
      </c>
      <c r="B153" s="10">
        <v>45799</v>
      </c>
      <c r="C153">
        <v>2025</v>
      </c>
      <c r="D153">
        <v>5</v>
      </c>
      <c r="E153" t="s">
        <v>77</v>
      </c>
      <c r="F153" t="s">
        <v>102</v>
      </c>
      <c r="G153" t="s">
        <v>105</v>
      </c>
      <c r="H153" t="s">
        <v>112</v>
      </c>
      <c r="I153" t="s">
        <v>62</v>
      </c>
      <c r="J153" t="s">
        <v>63</v>
      </c>
      <c r="K153" t="s">
        <v>64</v>
      </c>
      <c r="L153" t="s">
        <v>65</v>
      </c>
      <c r="M153" s="11">
        <v>36.07</v>
      </c>
      <c r="N153" s="11">
        <v>10.56</v>
      </c>
      <c r="O153" s="11">
        <v>3.81</v>
      </c>
      <c r="P153" s="11">
        <v>0.03</v>
      </c>
      <c r="Q153" s="11">
        <v>15.82</v>
      </c>
      <c r="R153" s="11">
        <v>3</v>
      </c>
      <c r="S153" s="11">
        <f t="shared" si="16"/>
        <v>108.21000000000001</v>
      </c>
      <c r="T153" s="11">
        <f t="shared" si="17"/>
        <v>31.68</v>
      </c>
      <c r="U153" s="11">
        <f t="shared" si="18"/>
        <v>11.43</v>
      </c>
      <c r="V153" s="11">
        <f t="shared" si="19"/>
        <v>3.25</v>
      </c>
      <c r="W153" s="11" t="s">
        <v>66</v>
      </c>
      <c r="X153" s="11">
        <v>0</v>
      </c>
      <c r="Y153" s="11">
        <f t="shared" si="20"/>
        <v>62.18</v>
      </c>
      <c r="Z153" s="11">
        <f t="shared" si="21"/>
        <v>46.030000000000008</v>
      </c>
      <c r="AA153" s="12">
        <f t="shared" si="22"/>
        <v>0.42537658257092692</v>
      </c>
      <c r="AB153" s="13">
        <f t="shared" si="23"/>
        <v>6.8400758533501902</v>
      </c>
      <c r="AC153" t="s">
        <v>67</v>
      </c>
    </row>
    <row r="154" spans="1:29" ht="14.25" customHeight="1" x14ac:dyDescent="0.45">
      <c r="A154" t="s">
        <v>277</v>
      </c>
      <c r="B154" s="10">
        <v>45800</v>
      </c>
      <c r="C154">
        <v>2025</v>
      </c>
      <c r="D154">
        <v>5</v>
      </c>
      <c r="E154" t="s">
        <v>95</v>
      </c>
      <c r="F154" t="s">
        <v>96</v>
      </c>
      <c r="G154" t="s">
        <v>79</v>
      </c>
      <c r="H154" t="s">
        <v>127</v>
      </c>
      <c r="I154" t="s">
        <v>62</v>
      </c>
      <c r="J154" t="s">
        <v>63</v>
      </c>
      <c r="K154" t="s">
        <v>64</v>
      </c>
      <c r="L154" t="s">
        <v>65</v>
      </c>
      <c r="M154" s="11">
        <v>33.479999999999997</v>
      </c>
      <c r="N154" s="11">
        <v>10.06</v>
      </c>
      <c r="O154" s="11">
        <v>4.55</v>
      </c>
      <c r="P154" s="11">
        <v>0.03</v>
      </c>
      <c r="Q154" s="11">
        <v>19.41</v>
      </c>
      <c r="R154" s="11">
        <v>2</v>
      </c>
      <c r="S154" s="11">
        <f t="shared" si="16"/>
        <v>0</v>
      </c>
      <c r="T154" s="11">
        <f t="shared" si="17"/>
        <v>0</v>
      </c>
      <c r="U154" s="11">
        <f t="shared" si="18"/>
        <v>0</v>
      </c>
      <c r="V154" s="11">
        <f t="shared" si="19"/>
        <v>0</v>
      </c>
      <c r="W154" s="11" t="s">
        <v>66</v>
      </c>
      <c r="X154" s="11">
        <v>0</v>
      </c>
      <c r="Y154" s="11">
        <f t="shared" si="20"/>
        <v>0</v>
      </c>
      <c r="Z154" s="11">
        <f t="shared" si="21"/>
        <v>-19.41</v>
      </c>
      <c r="AA154" s="12">
        <f t="shared" si="22"/>
        <v>0</v>
      </c>
      <c r="AB154" s="13">
        <f t="shared" si="23"/>
        <v>0</v>
      </c>
      <c r="AC154" t="s">
        <v>166</v>
      </c>
    </row>
    <row r="155" spans="1:29" ht="14.25" customHeight="1" x14ac:dyDescent="0.45">
      <c r="A155" t="s">
        <v>278</v>
      </c>
      <c r="B155" s="10">
        <v>45800</v>
      </c>
      <c r="C155">
        <v>2025</v>
      </c>
      <c r="D155">
        <v>5</v>
      </c>
      <c r="E155" t="s">
        <v>77</v>
      </c>
      <c r="F155" t="s">
        <v>104</v>
      </c>
      <c r="G155" t="s">
        <v>71</v>
      </c>
      <c r="H155" t="s">
        <v>61</v>
      </c>
      <c r="I155" t="s">
        <v>72</v>
      </c>
      <c r="J155" t="s">
        <v>73</v>
      </c>
      <c r="K155" t="s">
        <v>74</v>
      </c>
      <c r="L155" t="s">
        <v>75</v>
      </c>
      <c r="M155" s="11">
        <v>48.33</v>
      </c>
      <c r="N155" s="11">
        <v>13.89</v>
      </c>
      <c r="O155" s="11">
        <v>7.4</v>
      </c>
      <c r="P155" s="11">
        <v>0.03</v>
      </c>
      <c r="Q155" s="11">
        <v>0</v>
      </c>
      <c r="R155" s="11">
        <v>2</v>
      </c>
      <c r="S155" s="11">
        <f t="shared" si="16"/>
        <v>96.66</v>
      </c>
      <c r="T155" s="11">
        <f t="shared" si="17"/>
        <v>27.78</v>
      </c>
      <c r="U155" s="11">
        <f t="shared" si="18"/>
        <v>14.8</v>
      </c>
      <c r="V155" s="11">
        <f t="shared" si="19"/>
        <v>2.9</v>
      </c>
      <c r="W155" s="11" t="s">
        <v>66</v>
      </c>
      <c r="X155" s="11">
        <v>0</v>
      </c>
      <c r="Y155" s="11">
        <f t="shared" si="20"/>
        <v>45.48</v>
      </c>
      <c r="Z155" s="11">
        <f t="shared" si="21"/>
        <v>51.18</v>
      </c>
      <c r="AA155" s="12">
        <f t="shared" si="22"/>
        <v>0.52948479205462451</v>
      </c>
      <c r="AB155" s="13">
        <f t="shared" si="23"/>
        <v>0</v>
      </c>
      <c r="AC155" t="s">
        <v>67</v>
      </c>
    </row>
    <row r="156" spans="1:29" ht="14.25" customHeight="1" x14ac:dyDescent="0.45">
      <c r="A156" t="s">
        <v>279</v>
      </c>
      <c r="B156" s="10">
        <v>45800</v>
      </c>
      <c r="C156">
        <v>2025</v>
      </c>
      <c r="D156">
        <v>5</v>
      </c>
      <c r="E156" t="s">
        <v>58</v>
      </c>
      <c r="F156" t="s">
        <v>59</v>
      </c>
      <c r="G156" t="s">
        <v>93</v>
      </c>
      <c r="H156" t="s">
        <v>112</v>
      </c>
      <c r="I156" t="s">
        <v>107</v>
      </c>
      <c r="J156" t="s">
        <v>108</v>
      </c>
      <c r="K156" t="s">
        <v>109</v>
      </c>
      <c r="L156" t="s">
        <v>110</v>
      </c>
      <c r="M156" s="11">
        <v>18</v>
      </c>
      <c r="N156" s="11">
        <v>3.65</v>
      </c>
      <c r="O156" s="11">
        <v>2.44</v>
      </c>
      <c r="P156" s="11">
        <v>0.03</v>
      </c>
      <c r="Q156" s="11">
        <v>12.01</v>
      </c>
      <c r="R156" s="11">
        <v>2</v>
      </c>
      <c r="S156" s="11">
        <f t="shared" si="16"/>
        <v>36</v>
      </c>
      <c r="T156" s="11">
        <f t="shared" si="17"/>
        <v>7.3</v>
      </c>
      <c r="U156" s="11">
        <f t="shared" si="18"/>
        <v>4.88</v>
      </c>
      <c r="V156" s="11">
        <f t="shared" si="19"/>
        <v>1.08</v>
      </c>
      <c r="W156" s="11" t="s">
        <v>66</v>
      </c>
      <c r="X156" s="11">
        <v>0</v>
      </c>
      <c r="Y156" s="11">
        <f t="shared" si="20"/>
        <v>25.27</v>
      </c>
      <c r="Z156" s="11">
        <f t="shared" si="21"/>
        <v>10.73</v>
      </c>
      <c r="AA156" s="12">
        <f t="shared" si="22"/>
        <v>0.29805555555555557</v>
      </c>
      <c r="AB156" s="13">
        <f t="shared" si="23"/>
        <v>2.9975020815986677</v>
      </c>
      <c r="AC156" t="s">
        <v>67</v>
      </c>
    </row>
    <row r="157" spans="1:29" ht="14.25" customHeight="1" x14ac:dyDescent="0.45">
      <c r="A157" t="s">
        <v>280</v>
      </c>
      <c r="B157" s="10">
        <v>45800</v>
      </c>
      <c r="C157">
        <v>2025</v>
      </c>
      <c r="D157">
        <v>5</v>
      </c>
      <c r="E157" t="s">
        <v>58</v>
      </c>
      <c r="F157" t="s">
        <v>92</v>
      </c>
      <c r="G157" t="s">
        <v>60</v>
      </c>
      <c r="H157" t="s">
        <v>127</v>
      </c>
      <c r="I157" t="s">
        <v>133</v>
      </c>
      <c r="J157" t="s">
        <v>134</v>
      </c>
      <c r="K157" t="s">
        <v>135</v>
      </c>
      <c r="L157" t="s">
        <v>136</v>
      </c>
      <c r="M157" s="11">
        <v>14.77</v>
      </c>
      <c r="N157" s="11">
        <v>2.16</v>
      </c>
      <c r="O157" s="11">
        <v>2.14</v>
      </c>
      <c r="P157" s="11">
        <v>0.03</v>
      </c>
      <c r="Q157" s="11">
        <v>8.2799999999999994</v>
      </c>
      <c r="R157" s="11">
        <v>1</v>
      </c>
      <c r="S157" s="11">
        <f t="shared" si="16"/>
        <v>0</v>
      </c>
      <c r="T157" s="11">
        <f t="shared" si="17"/>
        <v>0</v>
      </c>
      <c r="U157" s="11">
        <f t="shared" si="18"/>
        <v>0</v>
      </c>
      <c r="V157" s="11">
        <f t="shared" si="19"/>
        <v>0</v>
      </c>
      <c r="W157" s="11" t="s">
        <v>66</v>
      </c>
      <c r="X157" s="11">
        <v>0</v>
      </c>
      <c r="Y157" s="11">
        <f t="shared" si="20"/>
        <v>0</v>
      </c>
      <c r="Z157" s="11">
        <f t="shared" si="21"/>
        <v>-8.2799999999999994</v>
      </c>
      <c r="AA157" s="12">
        <f t="shared" si="22"/>
        <v>0</v>
      </c>
      <c r="AB157" s="13">
        <f t="shared" si="23"/>
        <v>0</v>
      </c>
      <c r="AC157" t="s">
        <v>166</v>
      </c>
    </row>
    <row r="158" spans="1:29" ht="14.25" customHeight="1" x14ac:dyDescent="0.45">
      <c r="A158" t="s">
        <v>281</v>
      </c>
      <c r="B158" s="10">
        <v>45803</v>
      </c>
      <c r="C158">
        <v>2025</v>
      </c>
      <c r="D158">
        <v>5</v>
      </c>
      <c r="E158" t="s">
        <v>77</v>
      </c>
      <c r="F158" t="s">
        <v>104</v>
      </c>
      <c r="G158" t="s">
        <v>93</v>
      </c>
      <c r="H158" t="s">
        <v>61</v>
      </c>
      <c r="I158" t="s">
        <v>87</v>
      </c>
      <c r="J158" t="s">
        <v>88</v>
      </c>
      <c r="K158" t="s">
        <v>89</v>
      </c>
      <c r="L158" t="s">
        <v>90</v>
      </c>
      <c r="M158" s="11">
        <v>55.75</v>
      </c>
      <c r="N158" s="11">
        <v>23.1</v>
      </c>
      <c r="O158" s="11">
        <v>8.02</v>
      </c>
      <c r="P158" s="11">
        <v>0.03</v>
      </c>
      <c r="Q158" s="11">
        <v>20.420000000000002</v>
      </c>
      <c r="R158" s="11">
        <v>2</v>
      </c>
      <c r="S158" s="11">
        <f t="shared" si="16"/>
        <v>111.5</v>
      </c>
      <c r="T158" s="11">
        <f t="shared" si="17"/>
        <v>46.2</v>
      </c>
      <c r="U158" s="11">
        <f t="shared" si="18"/>
        <v>16.04</v>
      </c>
      <c r="V158" s="11">
        <f t="shared" si="19"/>
        <v>3.35</v>
      </c>
      <c r="W158" s="11" t="s">
        <v>66</v>
      </c>
      <c r="X158" s="11">
        <v>0</v>
      </c>
      <c r="Y158" s="11">
        <f t="shared" si="20"/>
        <v>86.01</v>
      </c>
      <c r="Z158" s="11">
        <f t="shared" si="21"/>
        <v>25.489999999999995</v>
      </c>
      <c r="AA158" s="12">
        <f t="shared" si="22"/>
        <v>0.22860986547085196</v>
      </c>
      <c r="AB158" s="13">
        <f t="shared" si="23"/>
        <v>5.4603330068560227</v>
      </c>
      <c r="AC158" t="s">
        <v>67</v>
      </c>
    </row>
    <row r="159" spans="1:29" ht="14.25" customHeight="1" x14ac:dyDescent="0.45">
      <c r="A159" t="s">
        <v>282</v>
      </c>
      <c r="B159" s="10">
        <v>45804</v>
      </c>
      <c r="C159">
        <v>2025</v>
      </c>
      <c r="D159">
        <v>5</v>
      </c>
      <c r="E159" t="s">
        <v>58</v>
      </c>
      <c r="F159" t="s">
        <v>59</v>
      </c>
      <c r="G159" t="s">
        <v>126</v>
      </c>
      <c r="H159" t="s">
        <v>112</v>
      </c>
      <c r="I159" t="s">
        <v>107</v>
      </c>
      <c r="J159" t="s">
        <v>108</v>
      </c>
      <c r="K159" t="s">
        <v>109</v>
      </c>
      <c r="L159" t="s">
        <v>110</v>
      </c>
      <c r="M159" s="11">
        <v>20.88</v>
      </c>
      <c r="N159" s="11">
        <v>3.61</v>
      </c>
      <c r="O159" s="11">
        <v>2.4500000000000002</v>
      </c>
      <c r="P159" s="11">
        <v>0.03</v>
      </c>
      <c r="Q159" s="11">
        <v>10.84</v>
      </c>
      <c r="R159" s="11">
        <v>3</v>
      </c>
      <c r="S159" s="11">
        <f t="shared" si="16"/>
        <v>62.64</v>
      </c>
      <c r="T159" s="11">
        <f t="shared" si="17"/>
        <v>10.83</v>
      </c>
      <c r="U159" s="11">
        <f t="shared" si="18"/>
        <v>7.3500000000000005</v>
      </c>
      <c r="V159" s="11">
        <f t="shared" si="19"/>
        <v>1.88</v>
      </c>
      <c r="W159" s="11" t="s">
        <v>66</v>
      </c>
      <c r="X159" s="11">
        <v>0</v>
      </c>
      <c r="Y159" s="11">
        <f t="shared" si="20"/>
        <v>30.9</v>
      </c>
      <c r="Z159" s="11">
        <f t="shared" si="21"/>
        <v>31.740000000000002</v>
      </c>
      <c r="AA159" s="12">
        <f t="shared" si="22"/>
        <v>0.50670498084291193</v>
      </c>
      <c r="AB159" s="13">
        <f t="shared" si="23"/>
        <v>5.7785977859778601</v>
      </c>
      <c r="AC159" t="s">
        <v>67</v>
      </c>
    </row>
    <row r="160" spans="1:29" ht="14.25" customHeight="1" x14ac:dyDescent="0.45">
      <c r="A160" t="s">
        <v>283</v>
      </c>
      <c r="B160" s="10">
        <v>45804</v>
      </c>
      <c r="C160">
        <v>2025</v>
      </c>
      <c r="D160">
        <v>5</v>
      </c>
      <c r="E160" t="s">
        <v>77</v>
      </c>
      <c r="F160" t="s">
        <v>104</v>
      </c>
      <c r="G160" t="s">
        <v>79</v>
      </c>
      <c r="H160" t="s">
        <v>80</v>
      </c>
      <c r="I160" t="s">
        <v>62</v>
      </c>
      <c r="J160" t="s">
        <v>63</v>
      </c>
      <c r="K160" t="s">
        <v>64</v>
      </c>
      <c r="L160" t="s">
        <v>65</v>
      </c>
      <c r="M160" s="11">
        <v>32.92</v>
      </c>
      <c r="N160" s="11">
        <v>10.66</v>
      </c>
      <c r="O160" s="11">
        <v>4.41</v>
      </c>
      <c r="P160" s="11">
        <v>0.03</v>
      </c>
      <c r="Q160" s="11">
        <v>5.28</v>
      </c>
      <c r="R160" s="11">
        <v>1</v>
      </c>
      <c r="S160" s="11">
        <f t="shared" si="16"/>
        <v>32.92</v>
      </c>
      <c r="T160" s="11">
        <f t="shared" si="17"/>
        <v>10.66</v>
      </c>
      <c r="U160" s="11">
        <f t="shared" si="18"/>
        <v>4.41</v>
      </c>
      <c r="V160" s="11">
        <f t="shared" si="19"/>
        <v>0.99</v>
      </c>
      <c r="W160" s="11" t="s">
        <v>66</v>
      </c>
      <c r="X160" s="11">
        <v>0</v>
      </c>
      <c r="Y160" s="11">
        <f t="shared" si="20"/>
        <v>21.34</v>
      </c>
      <c r="Z160" s="11">
        <f t="shared" si="21"/>
        <v>11.580000000000002</v>
      </c>
      <c r="AA160" s="12">
        <f t="shared" si="22"/>
        <v>0.35176184690157963</v>
      </c>
      <c r="AB160" s="13">
        <f t="shared" si="23"/>
        <v>6.2348484848484853</v>
      </c>
      <c r="AC160" t="s">
        <v>67</v>
      </c>
    </row>
    <row r="161" spans="1:29" ht="14.25" customHeight="1" x14ac:dyDescent="0.45">
      <c r="A161" t="s">
        <v>284</v>
      </c>
      <c r="B161" s="10">
        <v>45805</v>
      </c>
      <c r="C161">
        <v>2025</v>
      </c>
      <c r="D161">
        <v>5</v>
      </c>
      <c r="E161" t="s">
        <v>77</v>
      </c>
      <c r="F161" t="s">
        <v>102</v>
      </c>
      <c r="G161" t="s">
        <v>105</v>
      </c>
      <c r="H161" t="s">
        <v>127</v>
      </c>
      <c r="I161" t="s">
        <v>147</v>
      </c>
      <c r="J161" t="s">
        <v>148</v>
      </c>
      <c r="K161" t="s">
        <v>149</v>
      </c>
      <c r="L161" t="s">
        <v>150</v>
      </c>
      <c r="M161" s="11">
        <v>29.12</v>
      </c>
      <c r="N161" s="11">
        <v>7.17</v>
      </c>
      <c r="O161" s="11">
        <v>5.08</v>
      </c>
      <c r="P161" s="11">
        <v>0.03</v>
      </c>
      <c r="Q161" s="11">
        <v>16.73</v>
      </c>
      <c r="R161" s="11">
        <v>2</v>
      </c>
      <c r="S161" s="11">
        <f t="shared" si="16"/>
        <v>58.24</v>
      </c>
      <c r="T161" s="11">
        <f t="shared" si="17"/>
        <v>14.34</v>
      </c>
      <c r="U161" s="11">
        <f t="shared" si="18"/>
        <v>10.16</v>
      </c>
      <c r="V161" s="11">
        <f t="shared" si="19"/>
        <v>1.75</v>
      </c>
      <c r="W161" s="11" t="s">
        <v>66</v>
      </c>
      <c r="X161" s="11">
        <v>0</v>
      </c>
      <c r="Y161" s="11">
        <f t="shared" si="20"/>
        <v>42.980000000000004</v>
      </c>
      <c r="Z161" s="11">
        <f t="shared" si="21"/>
        <v>15.259999999999998</v>
      </c>
      <c r="AA161" s="12">
        <f t="shared" si="22"/>
        <v>0.26201923076923073</v>
      </c>
      <c r="AB161" s="13">
        <f t="shared" si="23"/>
        <v>3.481171548117155</v>
      </c>
      <c r="AC161" t="s">
        <v>67</v>
      </c>
    </row>
    <row r="162" spans="1:29" ht="14.25" customHeight="1" x14ac:dyDescent="0.45">
      <c r="A162" t="s">
        <v>285</v>
      </c>
      <c r="B162" s="10">
        <v>45807</v>
      </c>
      <c r="C162">
        <v>2025</v>
      </c>
      <c r="D162">
        <v>5</v>
      </c>
      <c r="E162" t="s">
        <v>69</v>
      </c>
      <c r="F162" t="s">
        <v>70</v>
      </c>
      <c r="G162" t="s">
        <v>60</v>
      </c>
      <c r="H162" t="s">
        <v>61</v>
      </c>
      <c r="I162" t="s">
        <v>62</v>
      </c>
      <c r="J162" t="s">
        <v>63</v>
      </c>
      <c r="K162" t="s">
        <v>64</v>
      </c>
      <c r="L162" t="s">
        <v>65</v>
      </c>
      <c r="M162" s="11">
        <v>36.11</v>
      </c>
      <c r="N162" s="11">
        <v>10.42</v>
      </c>
      <c r="O162" s="11">
        <v>4.4800000000000004</v>
      </c>
      <c r="P162" s="11">
        <v>0.03</v>
      </c>
      <c r="Q162" s="11">
        <v>7.2</v>
      </c>
      <c r="R162" s="11">
        <v>1</v>
      </c>
      <c r="S162" s="11">
        <f t="shared" si="16"/>
        <v>36.11</v>
      </c>
      <c r="T162" s="11">
        <f t="shared" si="17"/>
        <v>10.42</v>
      </c>
      <c r="U162" s="11">
        <f t="shared" si="18"/>
        <v>4.4800000000000004</v>
      </c>
      <c r="V162" s="11">
        <f t="shared" si="19"/>
        <v>1.08</v>
      </c>
      <c r="W162" s="11" t="s">
        <v>66</v>
      </c>
      <c r="X162" s="11">
        <v>0</v>
      </c>
      <c r="Y162" s="11">
        <f t="shared" si="20"/>
        <v>23.18</v>
      </c>
      <c r="Z162" s="11">
        <f t="shared" si="21"/>
        <v>12.93</v>
      </c>
      <c r="AA162" s="12">
        <f t="shared" si="22"/>
        <v>0.35807255607864857</v>
      </c>
      <c r="AB162" s="13">
        <f t="shared" si="23"/>
        <v>5.0152777777777775</v>
      </c>
      <c r="AC162" t="s">
        <v>67</v>
      </c>
    </row>
    <row r="163" spans="1:29" ht="14.25" customHeight="1" x14ac:dyDescent="0.45">
      <c r="A163" t="s">
        <v>286</v>
      </c>
      <c r="B163" s="10">
        <v>45807</v>
      </c>
      <c r="C163">
        <v>2025</v>
      </c>
      <c r="D163">
        <v>5</v>
      </c>
      <c r="E163" t="s">
        <v>58</v>
      </c>
      <c r="F163" t="s">
        <v>92</v>
      </c>
      <c r="G163" t="s">
        <v>105</v>
      </c>
      <c r="H163" t="s">
        <v>61</v>
      </c>
      <c r="I163" t="s">
        <v>138</v>
      </c>
      <c r="J163" t="s">
        <v>139</v>
      </c>
      <c r="K163" t="s">
        <v>89</v>
      </c>
      <c r="L163" t="s">
        <v>140</v>
      </c>
      <c r="M163" s="11">
        <v>39.090000000000003</v>
      </c>
      <c r="N163" s="11">
        <v>8.5500000000000007</v>
      </c>
      <c r="O163" s="11">
        <v>3.71</v>
      </c>
      <c r="P163" s="11">
        <v>0.03</v>
      </c>
      <c r="Q163" s="11">
        <v>18.13</v>
      </c>
      <c r="R163" s="11">
        <v>2</v>
      </c>
      <c r="S163" s="11">
        <f t="shared" si="16"/>
        <v>78.180000000000007</v>
      </c>
      <c r="T163" s="11">
        <f t="shared" si="17"/>
        <v>17.100000000000001</v>
      </c>
      <c r="U163" s="11">
        <f t="shared" si="18"/>
        <v>7.42</v>
      </c>
      <c r="V163" s="11">
        <f t="shared" si="19"/>
        <v>2.35</v>
      </c>
      <c r="W163" s="11" t="s">
        <v>66</v>
      </c>
      <c r="X163" s="11">
        <v>0</v>
      </c>
      <c r="Y163" s="11">
        <f t="shared" si="20"/>
        <v>45</v>
      </c>
      <c r="Z163" s="11">
        <f t="shared" si="21"/>
        <v>33.180000000000007</v>
      </c>
      <c r="AA163" s="12">
        <f t="shared" si="22"/>
        <v>0.42440521872601694</v>
      </c>
      <c r="AB163" s="13">
        <f t="shared" si="23"/>
        <v>4.3121897407611698</v>
      </c>
      <c r="AC163" t="s">
        <v>67</v>
      </c>
    </row>
    <row r="164" spans="1:29" ht="14.25" customHeight="1" x14ac:dyDescent="0.45">
      <c r="A164" t="s">
        <v>287</v>
      </c>
      <c r="B164" s="10">
        <v>45807</v>
      </c>
      <c r="C164">
        <v>2025</v>
      </c>
      <c r="D164">
        <v>5</v>
      </c>
      <c r="E164" t="s">
        <v>69</v>
      </c>
      <c r="F164" t="s">
        <v>70</v>
      </c>
      <c r="G164" t="s">
        <v>105</v>
      </c>
      <c r="H164" t="s">
        <v>86</v>
      </c>
      <c r="I164" t="s">
        <v>62</v>
      </c>
      <c r="J164" t="s">
        <v>63</v>
      </c>
      <c r="K164" t="s">
        <v>64</v>
      </c>
      <c r="L164" t="s">
        <v>65</v>
      </c>
      <c r="M164" s="11">
        <v>30.87</v>
      </c>
      <c r="N164" s="11">
        <v>9.85</v>
      </c>
      <c r="O164" s="11">
        <v>3.62</v>
      </c>
      <c r="P164" s="11">
        <v>0.03</v>
      </c>
      <c r="Q164" s="11">
        <v>8.51</v>
      </c>
      <c r="R164" s="11">
        <v>1</v>
      </c>
      <c r="S164" s="11">
        <f t="shared" si="16"/>
        <v>30.87</v>
      </c>
      <c r="T164" s="11">
        <f t="shared" si="17"/>
        <v>9.85</v>
      </c>
      <c r="U164" s="11">
        <f t="shared" si="18"/>
        <v>3.62</v>
      </c>
      <c r="V164" s="11">
        <f t="shared" si="19"/>
        <v>0.93</v>
      </c>
      <c r="W164" s="11" t="s">
        <v>66</v>
      </c>
      <c r="X164" s="11">
        <v>0</v>
      </c>
      <c r="Y164" s="11">
        <f t="shared" si="20"/>
        <v>22.909999999999997</v>
      </c>
      <c r="Z164" s="11">
        <f t="shared" si="21"/>
        <v>7.9600000000000044</v>
      </c>
      <c r="AA164" s="12">
        <f t="shared" si="22"/>
        <v>0.25785552316164573</v>
      </c>
      <c r="AB164" s="13">
        <f t="shared" si="23"/>
        <v>3.6274970622796712</v>
      </c>
      <c r="AC164" t="s">
        <v>67</v>
      </c>
    </row>
    <row r="165" spans="1:29" ht="14.25" customHeight="1" x14ac:dyDescent="0.45">
      <c r="A165" t="s">
        <v>288</v>
      </c>
      <c r="B165" s="10">
        <v>45807</v>
      </c>
      <c r="C165">
        <v>2025</v>
      </c>
      <c r="D165">
        <v>5</v>
      </c>
      <c r="E165" t="s">
        <v>122</v>
      </c>
      <c r="F165" t="s">
        <v>123</v>
      </c>
      <c r="G165" t="s">
        <v>105</v>
      </c>
      <c r="H165" t="s">
        <v>80</v>
      </c>
      <c r="I165" t="s">
        <v>138</v>
      </c>
      <c r="J165" t="s">
        <v>139</v>
      </c>
      <c r="K165" t="s">
        <v>89</v>
      </c>
      <c r="L165" t="s">
        <v>140</v>
      </c>
      <c r="M165" s="11">
        <v>42.22</v>
      </c>
      <c r="N165" s="11">
        <v>8.82</v>
      </c>
      <c r="O165" s="11">
        <v>4.3</v>
      </c>
      <c r="P165" s="11">
        <v>0.03</v>
      </c>
      <c r="Q165" s="11">
        <v>9.82</v>
      </c>
      <c r="R165" s="11">
        <v>1</v>
      </c>
      <c r="S165" s="11">
        <f t="shared" si="16"/>
        <v>42.22</v>
      </c>
      <c r="T165" s="11">
        <f t="shared" si="17"/>
        <v>8.82</v>
      </c>
      <c r="U165" s="11">
        <f t="shared" si="18"/>
        <v>4.3</v>
      </c>
      <c r="V165" s="11">
        <f t="shared" si="19"/>
        <v>1.27</v>
      </c>
      <c r="W165" s="11" t="s">
        <v>66</v>
      </c>
      <c r="X165" s="11">
        <v>0</v>
      </c>
      <c r="Y165" s="11">
        <f t="shared" si="20"/>
        <v>24.21</v>
      </c>
      <c r="Z165" s="11">
        <f t="shared" si="21"/>
        <v>18.009999999999998</v>
      </c>
      <c r="AA165" s="12">
        <f t="shared" si="22"/>
        <v>0.4265750828990999</v>
      </c>
      <c r="AB165" s="13">
        <f t="shared" si="23"/>
        <v>4.2993890020366594</v>
      </c>
      <c r="AC165" t="s">
        <v>67</v>
      </c>
    </row>
    <row r="166" spans="1:29" ht="14.25" customHeight="1" x14ac:dyDescent="0.45">
      <c r="A166" t="s">
        <v>289</v>
      </c>
      <c r="B166" s="10">
        <v>45807</v>
      </c>
      <c r="C166">
        <v>2025</v>
      </c>
      <c r="D166">
        <v>5</v>
      </c>
      <c r="E166" t="s">
        <v>58</v>
      </c>
      <c r="F166" t="s">
        <v>92</v>
      </c>
      <c r="G166" t="s">
        <v>105</v>
      </c>
      <c r="H166" t="s">
        <v>86</v>
      </c>
      <c r="I166" t="s">
        <v>87</v>
      </c>
      <c r="J166" t="s">
        <v>88</v>
      </c>
      <c r="K166" t="s">
        <v>89</v>
      </c>
      <c r="L166" t="s">
        <v>90</v>
      </c>
      <c r="M166" s="11">
        <v>63.57</v>
      </c>
      <c r="N166" s="11">
        <v>22.29</v>
      </c>
      <c r="O166" s="11">
        <v>7.14</v>
      </c>
      <c r="P166" s="11">
        <v>0.03</v>
      </c>
      <c r="Q166" s="11">
        <v>15.42</v>
      </c>
      <c r="R166" s="11">
        <v>3</v>
      </c>
      <c r="S166" s="11">
        <f t="shared" si="16"/>
        <v>190.71</v>
      </c>
      <c r="T166" s="11">
        <f t="shared" si="17"/>
        <v>66.87</v>
      </c>
      <c r="U166" s="11">
        <f t="shared" si="18"/>
        <v>21.419999999999998</v>
      </c>
      <c r="V166" s="11">
        <f t="shared" si="19"/>
        <v>5.72</v>
      </c>
      <c r="W166" s="11" t="s">
        <v>66</v>
      </c>
      <c r="X166" s="11">
        <v>0</v>
      </c>
      <c r="Y166" s="11">
        <f t="shared" si="20"/>
        <v>109.43</v>
      </c>
      <c r="Z166" s="11">
        <f t="shared" si="21"/>
        <v>81.28</v>
      </c>
      <c r="AA166" s="12">
        <f t="shared" si="22"/>
        <v>0.42619684337475749</v>
      </c>
      <c r="AB166" s="13">
        <f t="shared" si="23"/>
        <v>12.367704280155642</v>
      </c>
      <c r="AC166" t="s">
        <v>67</v>
      </c>
    </row>
    <row r="167" spans="1:29" ht="14.25" customHeight="1" x14ac:dyDescent="0.45">
      <c r="A167" t="s">
        <v>290</v>
      </c>
      <c r="B167" s="10">
        <v>45807</v>
      </c>
      <c r="C167">
        <v>2025</v>
      </c>
      <c r="D167">
        <v>5</v>
      </c>
      <c r="E167" t="s">
        <v>77</v>
      </c>
      <c r="F167" t="s">
        <v>102</v>
      </c>
      <c r="G167" t="s">
        <v>79</v>
      </c>
      <c r="H167" t="s">
        <v>86</v>
      </c>
      <c r="I167" t="s">
        <v>133</v>
      </c>
      <c r="J167" t="s">
        <v>134</v>
      </c>
      <c r="K167" t="s">
        <v>135</v>
      </c>
      <c r="L167" t="s">
        <v>136</v>
      </c>
      <c r="M167" s="11">
        <v>15.88</v>
      </c>
      <c r="N167" s="11">
        <v>2.15</v>
      </c>
      <c r="O167" s="11">
        <v>2</v>
      </c>
      <c r="P167" s="11">
        <v>0.03</v>
      </c>
      <c r="Q167" s="11">
        <v>14.06</v>
      </c>
      <c r="R167" s="11">
        <v>2</v>
      </c>
      <c r="S167" s="11">
        <f t="shared" si="16"/>
        <v>31.76</v>
      </c>
      <c r="T167" s="11">
        <f t="shared" si="17"/>
        <v>4.3</v>
      </c>
      <c r="U167" s="11">
        <f t="shared" si="18"/>
        <v>4</v>
      </c>
      <c r="V167" s="11">
        <f t="shared" si="19"/>
        <v>0.95</v>
      </c>
      <c r="W167" s="11" t="s">
        <v>66</v>
      </c>
      <c r="X167" s="11">
        <v>0</v>
      </c>
      <c r="Y167" s="11">
        <f t="shared" si="20"/>
        <v>23.310000000000002</v>
      </c>
      <c r="Z167" s="11">
        <f t="shared" si="21"/>
        <v>8.4499999999999993</v>
      </c>
      <c r="AA167" s="12">
        <f t="shared" si="22"/>
        <v>0.2660579345088161</v>
      </c>
      <c r="AB167" s="13">
        <f t="shared" si="23"/>
        <v>2.2588904694167851</v>
      </c>
      <c r="AC167" t="s">
        <v>67</v>
      </c>
    </row>
    <row r="168" spans="1:29" ht="14.25" customHeight="1" x14ac:dyDescent="0.45">
      <c r="A168" t="s">
        <v>291</v>
      </c>
      <c r="B168" s="10">
        <v>45808</v>
      </c>
      <c r="C168">
        <v>2025</v>
      </c>
      <c r="D168">
        <v>5</v>
      </c>
      <c r="E168" t="s">
        <v>69</v>
      </c>
      <c r="F168" t="s">
        <v>70</v>
      </c>
      <c r="G168" t="s">
        <v>105</v>
      </c>
      <c r="H168" t="s">
        <v>112</v>
      </c>
      <c r="I168" t="s">
        <v>138</v>
      </c>
      <c r="J168" t="s">
        <v>139</v>
      </c>
      <c r="K168" t="s">
        <v>89</v>
      </c>
      <c r="L168" t="s">
        <v>140</v>
      </c>
      <c r="M168" s="11">
        <v>39.19</v>
      </c>
      <c r="N168" s="11">
        <v>8.4</v>
      </c>
      <c r="O168" s="11">
        <v>3.69</v>
      </c>
      <c r="P168" s="11">
        <v>0.03</v>
      </c>
      <c r="Q168" s="11">
        <v>19.84</v>
      </c>
      <c r="R168" s="11">
        <v>2</v>
      </c>
      <c r="S168" s="11">
        <f t="shared" si="16"/>
        <v>78.38</v>
      </c>
      <c r="T168" s="11">
        <f t="shared" si="17"/>
        <v>16.8</v>
      </c>
      <c r="U168" s="11">
        <f t="shared" si="18"/>
        <v>7.38</v>
      </c>
      <c r="V168" s="11">
        <f t="shared" si="19"/>
        <v>2.35</v>
      </c>
      <c r="W168" s="11" t="s">
        <v>66</v>
      </c>
      <c r="X168" s="11">
        <v>0</v>
      </c>
      <c r="Y168" s="11">
        <f t="shared" si="20"/>
        <v>46.370000000000005</v>
      </c>
      <c r="Z168" s="11">
        <f t="shared" si="21"/>
        <v>32.009999999999991</v>
      </c>
      <c r="AA168" s="12">
        <f t="shared" si="22"/>
        <v>0.40839499872416424</v>
      </c>
      <c r="AB168" s="13">
        <f t="shared" si="23"/>
        <v>3.950604838709677</v>
      </c>
      <c r="AC168" t="s">
        <v>67</v>
      </c>
    </row>
    <row r="169" spans="1:29" ht="14.25" customHeight="1" x14ac:dyDescent="0.45">
      <c r="A169" t="s">
        <v>292</v>
      </c>
      <c r="B169" s="10">
        <v>45810</v>
      </c>
      <c r="C169">
        <v>2025</v>
      </c>
      <c r="D169">
        <v>6</v>
      </c>
      <c r="E169" t="s">
        <v>58</v>
      </c>
      <c r="F169" t="s">
        <v>59</v>
      </c>
      <c r="G169" t="s">
        <v>79</v>
      </c>
      <c r="H169" t="s">
        <v>112</v>
      </c>
      <c r="I169" t="s">
        <v>138</v>
      </c>
      <c r="J169" t="s">
        <v>139</v>
      </c>
      <c r="K169" t="s">
        <v>89</v>
      </c>
      <c r="L169" t="s">
        <v>140</v>
      </c>
      <c r="M169" s="11">
        <v>41.76</v>
      </c>
      <c r="N169" s="11">
        <v>9.0500000000000007</v>
      </c>
      <c r="O169" s="11">
        <v>4.22</v>
      </c>
      <c r="P169" s="11">
        <v>0.03</v>
      </c>
      <c r="Q169" s="11">
        <v>19.79</v>
      </c>
      <c r="R169" s="11">
        <v>2</v>
      </c>
      <c r="S169" s="11">
        <f t="shared" si="16"/>
        <v>83.52</v>
      </c>
      <c r="T169" s="11">
        <f t="shared" si="17"/>
        <v>18.100000000000001</v>
      </c>
      <c r="U169" s="11">
        <f t="shared" si="18"/>
        <v>8.44</v>
      </c>
      <c r="V169" s="11">
        <f t="shared" si="19"/>
        <v>2.5099999999999998</v>
      </c>
      <c r="W169" s="11" t="s">
        <v>66</v>
      </c>
      <c r="X169" s="11">
        <v>0</v>
      </c>
      <c r="Y169" s="11">
        <f t="shared" si="20"/>
        <v>48.839999999999996</v>
      </c>
      <c r="Z169" s="11">
        <f t="shared" si="21"/>
        <v>34.68</v>
      </c>
      <c r="AA169" s="12">
        <f t="shared" si="22"/>
        <v>0.41522988505747127</v>
      </c>
      <c r="AB169" s="13">
        <f t="shared" si="23"/>
        <v>4.2203132895401714</v>
      </c>
      <c r="AC169" t="s">
        <v>67</v>
      </c>
    </row>
    <row r="170" spans="1:29" ht="14.25" customHeight="1" x14ac:dyDescent="0.45">
      <c r="A170" t="s">
        <v>293</v>
      </c>
      <c r="B170" s="10">
        <v>45810</v>
      </c>
      <c r="C170">
        <v>2025</v>
      </c>
      <c r="D170">
        <v>6</v>
      </c>
      <c r="E170" t="s">
        <v>77</v>
      </c>
      <c r="F170" t="s">
        <v>102</v>
      </c>
      <c r="G170" t="s">
        <v>126</v>
      </c>
      <c r="H170" t="s">
        <v>80</v>
      </c>
      <c r="I170" t="s">
        <v>72</v>
      </c>
      <c r="J170" t="s">
        <v>73</v>
      </c>
      <c r="K170" t="s">
        <v>74</v>
      </c>
      <c r="L170" t="s">
        <v>75</v>
      </c>
      <c r="M170" s="11">
        <v>47.28</v>
      </c>
      <c r="N170" s="11">
        <v>14.58</v>
      </c>
      <c r="O170" s="11">
        <v>6.05</v>
      </c>
      <c r="P170" s="11">
        <v>0.03</v>
      </c>
      <c r="Q170" s="11">
        <v>13.28</v>
      </c>
      <c r="R170" s="11">
        <v>3</v>
      </c>
      <c r="S170" s="11">
        <f t="shared" si="16"/>
        <v>141.84</v>
      </c>
      <c r="T170" s="11">
        <f t="shared" si="17"/>
        <v>43.74</v>
      </c>
      <c r="U170" s="11">
        <f t="shared" si="18"/>
        <v>18.149999999999999</v>
      </c>
      <c r="V170" s="11">
        <f t="shared" si="19"/>
        <v>4.26</v>
      </c>
      <c r="W170" s="11" t="s">
        <v>66</v>
      </c>
      <c r="X170" s="11">
        <v>0</v>
      </c>
      <c r="Y170" s="11">
        <f t="shared" si="20"/>
        <v>79.430000000000007</v>
      </c>
      <c r="Z170" s="11">
        <f t="shared" si="21"/>
        <v>62.41</v>
      </c>
      <c r="AA170" s="12">
        <f t="shared" si="22"/>
        <v>0.44000282007896219</v>
      </c>
      <c r="AB170" s="13">
        <f t="shared" si="23"/>
        <v>10.680722891566266</v>
      </c>
      <c r="AC170" t="s">
        <v>67</v>
      </c>
    </row>
    <row r="171" spans="1:29" ht="14.25" customHeight="1" x14ac:dyDescent="0.45">
      <c r="A171" t="s">
        <v>294</v>
      </c>
      <c r="B171" s="10">
        <v>45811</v>
      </c>
      <c r="C171">
        <v>2025</v>
      </c>
      <c r="D171">
        <v>6</v>
      </c>
      <c r="E171" t="s">
        <v>122</v>
      </c>
      <c r="F171" t="s">
        <v>123</v>
      </c>
      <c r="G171" t="s">
        <v>79</v>
      </c>
      <c r="H171" t="s">
        <v>86</v>
      </c>
      <c r="I171" t="s">
        <v>72</v>
      </c>
      <c r="J171" t="s">
        <v>73</v>
      </c>
      <c r="K171" t="s">
        <v>74</v>
      </c>
      <c r="L171" t="s">
        <v>75</v>
      </c>
      <c r="M171" s="11">
        <v>46.78</v>
      </c>
      <c r="N171" s="11">
        <v>14.88</v>
      </c>
      <c r="O171" s="11">
        <v>6.87</v>
      </c>
      <c r="P171" s="11">
        <v>0.03</v>
      </c>
      <c r="Q171" s="11">
        <v>15.77</v>
      </c>
      <c r="R171" s="11">
        <v>3</v>
      </c>
      <c r="S171" s="11">
        <f t="shared" si="16"/>
        <v>140.34</v>
      </c>
      <c r="T171" s="11">
        <f t="shared" si="17"/>
        <v>44.64</v>
      </c>
      <c r="U171" s="11">
        <f t="shared" si="18"/>
        <v>20.61</v>
      </c>
      <c r="V171" s="11">
        <f t="shared" si="19"/>
        <v>4.21</v>
      </c>
      <c r="W171" s="11" t="s">
        <v>66</v>
      </c>
      <c r="X171" s="11">
        <v>0</v>
      </c>
      <c r="Y171" s="11">
        <f t="shared" si="20"/>
        <v>85.22999999999999</v>
      </c>
      <c r="Z171" s="11">
        <f t="shared" si="21"/>
        <v>55.110000000000014</v>
      </c>
      <c r="AA171" s="12">
        <f t="shared" si="22"/>
        <v>0.39268918341171449</v>
      </c>
      <c r="AB171" s="13">
        <f t="shared" si="23"/>
        <v>8.8991756499682939</v>
      </c>
      <c r="AC171" t="s">
        <v>67</v>
      </c>
    </row>
    <row r="172" spans="1:29" ht="14.25" customHeight="1" x14ac:dyDescent="0.45">
      <c r="A172" t="s">
        <v>295</v>
      </c>
      <c r="B172" s="10">
        <v>45812</v>
      </c>
      <c r="C172">
        <v>2025</v>
      </c>
      <c r="D172">
        <v>6</v>
      </c>
      <c r="E172" t="s">
        <v>69</v>
      </c>
      <c r="F172" t="s">
        <v>70</v>
      </c>
      <c r="G172" t="s">
        <v>105</v>
      </c>
      <c r="H172" t="s">
        <v>80</v>
      </c>
      <c r="I172" t="s">
        <v>138</v>
      </c>
      <c r="J172" t="s">
        <v>139</v>
      </c>
      <c r="K172" t="s">
        <v>89</v>
      </c>
      <c r="L172" t="s">
        <v>140</v>
      </c>
      <c r="M172" s="11">
        <v>42.08</v>
      </c>
      <c r="N172" s="11">
        <v>8.5299999999999994</v>
      </c>
      <c r="O172" s="11">
        <v>3.77</v>
      </c>
      <c r="P172" s="11">
        <v>0.03</v>
      </c>
      <c r="Q172" s="11">
        <v>1.4</v>
      </c>
      <c r="R172" s="11">
        <v>1</v>
      </c>
      <c r="S172" s="11">
        <f t="shared" si="16"/>
        <v>42.08</v>
      </c>
      <c r="T172" s="11">
        <f t="shared" si="17"/>
        <v>8.5299999999999994</v>
      </c>
      <c r="U172" s="11">
        <f t="shared" si="18"/>
        <v>3.77</v>
      </c>
      <c r="V172" s="11">
        <f t="shared" si="19"/>
        <v>1.26</v>
      </c>
      <c r="W172" s="11" t="s">
        <v>66</v>
      </c>
      <c r="X172" s="11">
        <v>0</v>
      </c>
      <c r="Y172" s="11">
        <f t="shared" si="20"/>
        <v>14.959999999999999</v>
      </c>
      <c r="Z172" s="11">
        <f t="shared" si="21"/>
        <v>27.119999999999997</v>
      </c>
      <c r="AA172" s="12">
        <f t="shared" si="22"/>
        <v>0.64448669201520914</v>
      </c>
      <c r="AB172" s="13">
        <f t="shared" si="23"/>
        <v>30.057142857142857</v>
      </c>
      <c r="AC172" t="s">
        <v>67</v>
      </c>
    </row>
    <row r="173" spans="1:29" ht="14.25" customHeight="1" x14ac:dyDescent="0.45">
      <c r="A173" t="s">
        <v>296</v>
      </c>
      <c r="B173" s="10">
        <v>45812</v>
      </c>
      <c r="C173">
        <v>2025</v>
      </c>
      <c r="D173">
        <v>6</v>
      </c>
      <c r="E173" t="s">
        <v>95</v>
      </c>
      <c r="F173" t="s">
        <v>96</v>
      </c>
      <c r="G173" t="s">
        <v>126</v>
      </c>
      <c r="H173" t="s">
        <v>86</v>
      </c>
      <c r="I173" t="s">
        <v>81</v>
      </c>
      <c r="J173" t="s">
        <v>82</v>
      </c>
      <c r="K173" t="s">
        <v>83</v>
      </c>
      <c r="L173" t="s">
        <v>84</v>
      </c>
      <c r="M173" s="11">
        <v>26.6</v>
      </c>
      <c r="N173" s="11">
        <v>6.27</v>
      </c>
      <c r="O173" s="11">
        <v>3.35</v>
      </c>
      <c r="P173" s="11">
        <v>0.03</v>
      </c>
      <c r="Q173" s="11">
        <v>19.809999999999999</v>
      </c>
      <c r="R173" s="11">
        <v>2</v>
      </c>
      <c r="S173" s="11">
        <f t="shared" si="16"/>
        <v>53.2</v>
      </c>
      <c r="T173" s="11">
        <f t="shared" si="17"/>
        <v>12.54</v>
      </c>
      <c r="U173" s="11">
        <f t="shared" si="18"/>
        <v>6.7</v>
      </c>
      <c r="V173" s="11">
        <f t="shared" si="19"/>
        <v>1.6</v>
      </c>
      <c r="W173" s="11" t="s">
        <v>66</v>
      </c>
      <c r="X173" s="11">
        <v>0</v>
      </c>
      <c r="Y173" s="11">
        <f t="shared" si="20"/>
        <v>40.65</v>
      </c>
      <c r="Z173" s="11">
        <f t="shared" si="21"/>
        <v>12.550000000000004</v>
      </c>
      <c r="AA173" s="12">
        <f t="shared" si="22"/>
        <v>0.23590225563909781</v>
      </c>
      <c r="AB173" s="13">
        <f t="shared" si="23"/>
        <v>2.6855123674911665</v>
      </c>
      <c r="AC173" t="s">
        <v>67</v>
      </c>
    </row>
    <row r="174" spans="1:29" ht="14.25" customHeight="1" x14ac:dyDescent="0.45">
      <c r="A174" t="s">
        <v>297</v>
      </c>
      <c r="B174" s="10">
        <v>45812</v>
      </c>
      <c r="C174">
        <v>2025</v>
      </c>
      <c r="D174">
        <v>6</v>
      </c>
      <c r="E174" t="s">
        <v>58</v>
      </c>
      <c r="F174" t="s">
        <v>59</v>
      </c>
      <c r="G174" t="s">
        <v>93</v>
      </c>
      <c r="H174" t="s">
        <v>127</v>
      </c>
      <c r="I174" t="s">
        <v>147</v>
      </c>
      <c r="J174" t="s">
        <v>148</v>
      </c>
      <c r="K174" t="s">
        <v>149</v>
      </c>
      <c r="L174" t="s">
        <v>150</v>
      </c>
      <c r="M174" s="11">
        <v>29.92</v>
      </c>
      <c r="N174" s="11">
        <v>6.8</v>
      </c>
      <c r="O174" s="11">
        <v>4.72</v>
      </c>
      <c r="P174" s="11">
        <v>0.03</v>
      </c>
      <c r="Q174" s="11">
        <v>8.94</v>
      </c>
      <c r="R174" s="11">
        <v>1</v>
      </c>
      <c r="S174" s="11">
        <f t="shared" si="16"/>
        <v>29.92</v>
      </c>
      <c r="T174" s="11">
        <f t="shared" si="17"/>
        <v>6.8</v>
      </c>
      <c r="U174" s="11">
        <f t="shared" si="18"/>
        <v>4.72</v>
      </c>
      <c r="V174" s="11">
        <f t="shared" si="19"/>
        <v>0.9</v>
      </c>
      <c r="W174" s="11" t="s">
        <v>66</v>
      </c>
      <c r="X174" s="11">
        <v>0</v>
      </c>
      <c r="Y174" s="11">
        <f t="shared" si="20"/>
        <v>21.36</v>
      </c>
      <c r="Z174" s="11">
        <f t="shared" si="21"/>
        <v>8.5600000000000023</v>
      </c>
      <c r="AA174" s="12">
        <f t="shared" si="22"/>
        <v>0.28609625668449201</v>
      </c>
      <c r="AB174" s="13">
        <f t="shared" si="23"/>
        <v>3.34675615212528</v>
      </c>
      <c r="AC174" t="s">
        <v>67</v>
      </c>
    </row>
    <row r="175" spans="1:29" ht="14.25" customHeight="1" x14ac:dyDescent="0.45">
      <c r="A175" t="s">
        <v>298</v>
      </c>
      <c r="B175" s="10">
        <v>45812</v>
      </c>
      <c r="C175">
        <v>2025</v>
      </c>
      <c r="D175">
        <v>6</v>
      </c>
      <c r="E175" t="s">
        <v>58</v>
      </c>
      <c r="F175" t="s">
        <v>59</v>
      </c>
      <c r="G175" t="s">
        <v>105</v>
      </c>
      <c r="H175" t="s">
        <v>86</v>
      </c>
      <c r="I175" t="s">
        <v>72</v>
      </c>
      <c r="J175" t="s">
        <v>73</v>
      </c>
      <c r="K175" t="s">
        <v>74</v>
      </c>
      <c r="L175" t="s">
        <v>75</v>
      </c>
      <c r="M175" s="11">
        <v>47.37</v>
      </c>
      <c r="N175" s="11">
        <v>14.58</v>
      </c>
      <c r="O175" s="11">
        <v>7.09</v>
      </c>
      <c r="P175" s="11">
        <v>0.03</v>
      </c>
      <c r="Q175" s="11">
        <v>4.9000000000000004</v>
      </c>
      <c r="R175" s="11">
        <v>2</v>
      </c>
      <c r="S175" s="11">
        <f t="shared" si="16"/>
        <v>94.74</v>
      </c>
      <c r="T175" s="11">
        <f t="shared" si="17"/>
        <v>29.16</v>
      </c>
      <c r="U175" s="11">
        <f t="shared" si="18"/>
        <v>14.18</v>
      </c>
      <c r="V175" s="11">
        <f t="shared" si="19"/>
        <v>2.84</v>
      </c>
      <c r="W175" s="11" t="s">
        <v>154</v>
      </c>
      <c r="X175" s="11">
        <v>65.040000000000006</v>
      </c>
      <c r="Y175" s="11">
        <f t="shared" si="20"/>
        <v>116.12</v>
      </c>
      <c r="Z175" s="11">
        <f t="shared" si="21"/>
        <v>-21.38000000000001</v>
      </c>
      <c r="AA175" s="12">
        <f t="shared" si="22"/>
        <v>-0.22567025543593003</v>
      </c>
      <c r="AB175" s="13">
        <f t="shared" si="23"/>
        <v>19.334693877551018</v>
      </c>
      <c r="AC175" t="s">
        <v>155</v>
      </c>
    </row>
    <row r="176" spans="1:29" ht="14.25" customHeight="1" x14ac:dyDescent="0.45">
      <c r="A176" t="s">
        <v>299</v>
      </c>
      <c r="B176" s="10">
        <v>45813</v>
      </c>
      <c r="C176">
        <v>2025</v>
      </c>
      <c r="D176">
        <v>6</v>
      </c>
      <c r="E176" t="s">
        <v>58</v>
      </c>
      <c r="F176" t="s">
        <v>59</v>
      </c>
      <c r="G176" t="s">
        <v>126</v>
      </c>
      <c r="H176" t="s">
        <v>112</v>
      </c>
      <c r="I176" t="s">
        <v>81</v>
      </c>
      <c r="J176" t="s">
        <v>82</v>
      </c>
      <c r="K176" t="s">
        <v>83</v>
      </c>
      <c r="L176" t="s">
        <v>84</v>
      </c>
      <c r="M176" s="11">
        <v>26.78</v>
      </c>
      <c r="N176" s="11">
        <v>5.72</v>
      </c>
      <c r="O176" s="11">
        <v>3.64</v>
      </c>
      <c r="P176" s="11">
        <v>0.03</v>
      </c>
      <c r="Q176" s="11">
        <v>8.92</v>
      </c>
      <c r="R176" s="11">
        <v>1</v>
      </c>
      <c r="S176" s="11">
        <f t="shared" si="16"/>
        <v>26.78</v>
      </c>
      <c r="T176" s="11">
        <f t="shared" si="17"/>
        <v>5.72</v>
      </c>
      <c r="U176" s="11">
        <f t="shared" si="18"/>
        <v>3.64</v>
      </c>
      <c r="V176" s="11">
        <f t="shared" si="19"/>
        <v>0.8</v>
      </c>
      <c r="W176" s="11" t="s">
        <v>66</v>
      </c>
      <c r="X176" s="11">
        <v>0</v>
      </c>
      <c r="Y176" s="11">
        <f t="shared" si="20"/>
        <v>19.079999999999998</v>
      </c>
      <c r="Z176" s="11">
        <f t="shared" si="21"/>
        <v>7.7000000000000028</v>
      </c>
      <c r="AA176" s="12">
        <f t="shared" si="22"/>
        <v>0.28752800597460804</v>
      </c>
      <c r="AB176" s="13">
        <f t="shared" si="23"/>
        <v>3.0022421524663678</v>
      </c>
      <c r="AC176" t="s">
        <v>67</v>
      </c>
    </row>
    <row r="177" spans="1:29" ht="14.25" customHeight="1" x14ac:dyDescent="0.45">
      <c r="A177" t="s">
        <v>300</v>
      </c>
      <c r="B177" s="10">
        <v>45813</v>
      </c>
      <c r="C177">
        <v>2025</v>
      </c>
      <c r="D177">
        <v>6</v>
      </c>
      <c r="E177" t="s">
        <v>58</v>
      </c>
      <c r="F177" t="s">
        <v>59</v>
      </c>
      <c r="G177" t="s">
        <v>126</v>
      </c>
      <c r="H177" t="s">
        <v>61</v>
      </c>
      <c r="I177" t="s">
        <v>81</v>
      </c>
      <c r="J177" t="s">
        <v>82</v>
      </c>
      <c r="K177" t="s">
        <v>83</v>
      </c>
      <c r="L177" t="s">
        <v>84</v>
      </c>
      <c r="M177" s="11">
        <v>24.77</v>
      </c>
      <c r="N177" s="11">
        <v>5.93</v>
      </c>
      <c r="O177" s="11">
        <v>3.77</v>
      </c>
      <c r="P177" s="11">
        <v>0.03</v>
      </c>
      <c r="Q177" s="11">
        <v>16.88</v>
      </c>
      <c r="R177" s="11">
        <v>3</v>
      </c>
      <c r="S177" s="11">
        <f t="shared" si="16"/>
        <v>74.31</v>
      </c>
      <c r="T177" s="11">
        <f t="shared" si="17"/>
        <v>17.79</v>
      </c>
      <c r="U177" s="11">
        <f t="shared" si="18"/>
        <v>11.31</v>
      </c>
      <c r="V177" s="11">
        <f t="shared" si="19"/>
        <v>2.23</v>
      </c>
      <c r="W177" s="11" t="s">
        <v>66</v>
      </c>
      <c r="X177" s="11">
        <v>0</v>
      </c>
      <c r="Y177" s="11">
        <f t="shared" si="20"/>
        <v>48.21</v>
      </c>
      <c r="Z177" s="11">
        <f t="shared" si="21"/>
        <v>26.1</v>
      </c>
      <c r="AA177" s="12">
        <f t="shared" si="22"/>
        <v>0.3512313282196205</v>
      </c>
      <c r="AB177" s="13">
        <f t="shared" si="23"/>
        <v>4.4022511848341237</v>
      </c>
      <c r="AC177" t="s">
        <v>67</v>
      </c>
    </row>
    <row r="178" spans="1:29" ht="14.25" customHeight="1" x14ac:dyDescent="0.45">
      <c r="A178" t="s">
        <v>301</v>
      </c>
      <c r="B178" s="10">
        <v>45813</v>
      </c>
      <c r="C178">
        <v>2025</v>
      </c>
      <c r="D178">
        <v>6</v>
      </c>
      <c r="E178" t="s">
        <v>77</v>
      </c>
      <c r="F178" t="s">
        <v>102</v>
      </c>
      <c r="G178" t="s">
        <v>79</v>
      </c>
      <c r="H178" t="s">
        <v>127</v>
      </c>
      <c r="I178" t="s">
        <v>72</v>
      </c>
      <c r="J178" t="s">
        <v>73</v>
      </c>
      <c r="K178" t="s">
        <v>74</v>
      </c>
      <c r="L178" t="s">
        <v>75</v>
      </c>
      <c r="M178" s="11">
        <v>47.64</v>
      </c>
      <c r="N178" s="11">
        <v>14.49</v>
      </c>
      <c r="O178" s="11">
        <v>6.83</v>
      </c>
      <c r="P178" s="11">
        <v>0.03</v>
      </c>
      <c r="Q178" s="11">
        <v>3.12</v>
      </c>
      <c r="R178" s="11">
        <v>3</v>
      </c>
      <c r="S178" s="11">
        <f t="shared" si="16"/>
        <v>142.92000000000002</v>
      </c>
      <c r="T178" s="11">
        <f t="shared" si="17"/>
        <v>43.47</v>
      </c>
      <c r="U178" s="11">
        <f t="shared" si="18"/>
        <v>20.490000000000002</v>
      </c>
      <c r="V178" s="11">
        <f t="shared" si="19"/>
        <v>4.29</v>
      </c>
      <c r="W178" s="11" t="s">
        <v>66</v>
      </c>
      <c r="X178" s="11">
        <v>0</v>
      </c>
      <c r="Y178" s="11">
        <f t="shared" si="20"/>
        <v>71.37</v>
      </c>
      <c r="Z178" s="11">
        <f t="shared" si="21"/>
        <v>71.550000000000011</v>
      </c>
      <c r="AA178" s="12">
        <f t="shared" si="22"/>
        <v>0.50062972292191443</v>
      </c>
      <c r="AB178" s="13">
        <f t="shared" si="23"/>
        <v>45.807692307692314</v>
      </c>
      <c r="AC178" t="s">
        <v>67</v>
      </c>
    </row>
    <row r="179" spans="1:29" ht="14.25" customHeight="1" x14ac:dyDescent="0.45">
      <c r="A179" t="s">
        <v>302</v>
      </c>
      <c r="B179" s="10">
        <v>45814</v>
      </c>
      <c r="C179">
        <v>2025</v>
      </c>
      <c r="D179">
        <v>6</v>
      </c>
      <c r="E179" t="s">
        <v>69</v>
      </c>
      <c r="F179" t="s">
        <v>70</v>
      </c>
      <c r="G179" t="s">
        <v>126</v>
      </c>
      <c r="H179" t="s">
        <v>112</v>
      </c>
      <c r="I179" t="s">
        <v>138</v>
      </c>
      <c r="J179" t="s">
        <v>139</v>
      </c>
      <c r="K179" t="s">
        <v>89</v>
      </c>
      <c r="L179" t="s">
        <v>140</v>
      </c>
      <c r="M179" s="11">
        <v>42.65</v>
      </c>
      <c r="N179" s="11">
        <v>8.5</v>
      </c>
      <c r="O179" s="11">
        <v>4.58</v>
      </c>
      <c r="P179" s="11">
        <v>0.03</v>
      </c>
      <c r="Q179" s="11">
        <v>13.29</v>
      </c>
      <c r="R179" s="11">
        <v>3</v>
      </c>
      <c r="S179" s="11">
        <f t="shared" si="16"/>
        <v>127.94999999999999</v>
      </c>
      <c r="T179" s="11">
        <f t="shared" si="17"/>
        <v>25.5</v>
      </c>
      <c r="U179" s="11">
        <f t="shared" si="18"/>
        <v>13.74</v>
      </c>
      <c r="V179" s="11">
        <f t="shared" si="19"/>
        <v>3.84</v>
      </c>
      <c r="W179" s="11" t="s">
        <v>66</v>
      </c>
      <c r="X179" s="11">
        <v>0</v>
      </c>
      <c r="Y179" s="11">
        <f t="shared" si="20"/>
        <v>56.37</v>
      </c>
      <c r="Z179" s="11">
        <f t="shared" si="21"/>
        <v>71.579999999999984</v>
      </c>
      <c r="AA179" s="12">
        <f t="shared" si="22"/>
        <v>0.55943728018757322</v>
      </c>
      <c r="AB179" s="13">
        <f t="shared" si="23"/>
        <v>9.6275395033860036</v>
      </c>
      <c r="AC179" t="s">
        <v>67</v>
      </c>
    </row>
    <row r="180" spans="1:29" ht="14.25" customHeight="1" x14ac:dyDescent="0.45">
      <c r="A180" t="s">
        <v>303</v>
      </c>
      <c r="B180" s="10">
        <v>45814</v>
      </c>
      <c r="C180">
        <v>2025</v>
      </c>
      <c r="D180">
        <v>6</v>
      </c>
      <c r="E180" t="s">
        <v>69</v>
      </c>
      <c r="F180" t="s">
        <v>70</v>
      </c>
      <c r="G180" t="s">
        <v>105</v>
      </c>
      <c r="H180" t="s">
        <v>61</v>
      </c>
      <c r="I180" t="s">
        <v>138</v>
      </c>
      <c r="J180" t="s">
        <v>139</v>
      </c>
      <c r="K180" t="s">
        <v>89</v>
      </c>
      <c r="L180" t="s">
        <v>140</v>
      </c>
      <c r="M180" s="11">
        <v>44.77</v>
      </c>
      <c r="N180" s="11">
        <v>8.1199999999999992</v>
      </c>
      <c r="O180" s="11">
        <v>3.66</v>
      </c>
      <c r="P180" s="11">
        <v>0.03</v>
      </c>
      <c r="Q180" s="11">
        <v>11.24</v>
      </c>
      <c r="R180" s="11">
        <v>2</v>
      </c>
      <c r="S180" s="11">
        <f t="shared" si="16"/>
        <v>89.54</v>
      </c>
      <c r="T180" s="11">
        <f t="shared" si="17"/>
        <v>16.239999999999998</v>
      </c>
      <c r="U180" s="11">
        <f t="shared" si="18"/>
        <v>7.32</v>
      </c>
      <c r="V180" s="11">
        <f t="shared" si="19"/>
        <v>2.69</v>
      </c>
      <c r="W180" s="11" t="s">
        <v>66</v>
      </c>
      <c r="X180" s="11">
        <v>0</v>
      </c>
      <c r="Y180" s="11">
        <f t="shared" si="20"/>
        <v>37.49</v>
      </c>
      <c r="Z180" s="11">
        <f t="shared" si="21"/>
        <v>52.050000000000004</v>
      </c>
      <c r="AA180" s="12">
        <f t="shared" si="22"/>
        <v>0.58130444494080857</v>
      </c>
      <c r="AB180" s="13">
        <f t="shared" si="23"/>
        <v>7.9661921708185055</v>
      </c>
      <c r="AC180" t="s">
        <v>67</v>
      </c>
    </row>
    <row r="181" spans="1:29" ht="14.25" customHeight="1" x14ac:dyDescent="0.45">
      <c r="A181" t="s">
        <v>304</v>
      </c>
      <c r="B181" s="10">
        <v>45817</v>
      </c>
      <c r="C181">
        <v>2025</v>
      </c>
      <c r="D181">
        <v>6</v>
      </c>
      <c r="E181" t="s">
        <v>77</v>
      </c>
      <c r="F181" t="s">
        <v>104</v>
      </c>
      <c r="G181" t="s">
        <v>126</v>
      </c>
      <c r="H181" t="s">
        <v>112</v>
      </c>
      <c r="I181" t="s">
        <v>97</v>
      </c>
      <c r="J181" t="s">
        <v>98</v>
      </c>
      <c r="K181" t="s">
        <v>99</v>
      </c>
      <c r="L181" t="s">
        <v>100</v>
      </c>
      <c r="M181" s="11">
        <v>37.200000000000003</v>
      </c>
      <c r="N181" s="11">
        <v>8.81</v>
      </c>
      <c r="O181" s="11">
        <v>3.65</v>
      </c>
      <c r="P181" s="11">
        <v>0.03</v>
      </c>
      <c r="Q181" s="11">
        <v>3.9</v>
      </c>
      <c r="R181" s="11">
        <v>1</v>
      </c>
      <c r="S181" s="11">
        <f t="shared" si="16"/>
        <v>37.200000000000003</v>
      </c>
      <c r="T181" s="11">
        <f t="shared" si="17"/>
        <v>8.81</v>
      </c>
      <c r="U181" s="11">
        <f t="shared" si="18"/>
        <v>3.65</v>
      </c>
      <c r="V181" s="11">
        <f t="shared" si="19"/>
        <v>1.1200000000000001</v>
      </c>
      <c r="W181" s="11" t="s">
        <v>66</v>
      </c>
      <c r="X181" s="11">
        <v>0</v>
      </c>
      <c r="Y181" s="11">
        <f t="shared" si="20"/>
        <v>17.48</v>
      </c>
      <c r="Z181" s="11">
        <f t="shared" si="21"/>
        <v>19.720000000000002</v>
      </c>
      <c r="AA181" s="12">
        <f t="shared" si="22"/>
        <v>0.53010752688172047</v>
      </c>
      <c r="AB181" s="13">
        <f t="shared" si="23"/>
        <v>9.5384615384615401</v>
      </c>
      <c r="AC181" t="s">
        <v>67</v>
      </c>
    </row>
    <row r="182" spans="1:29" ht="14.25" customHeight="1" x14ac:dyDescent="0.45">
      <c r="A182" t="s">
        <v>305</v>
      </c>
      <c r="B182" s="10">
        <v>45817</v>
      </c>
      <c r="C182">
        <v>2025</v>
      </c>
      <c r="D182">
        <v>6</v>
      </c>
      <c r="E182" t="s">
        <v>58</v>
      </c>
      <c r="F182" t="s">
        <v>92</v>
      </c>
      <c r="G182" t="s">
        <v>126</v>
      </c>
      <c r="H182" t="s">
        <v>61</v>
      </c>
      <c r="I182" t="s">
        <v>81</v>
      </c>
      <c r="J182" t="s">
        <v>82</v>
      </c>
      <c r="K182" t="s">
        <v>83</v>
      </c>
      <c r="L182" t="s">
        <v>84</v>
      </c>
      <c r="M182" s="11">
        <v>23.51</v>
      </c>
      <c r="N182" s="11">
        <v>6.35</v>
      </c>
      <c r="O182" s="11">
        <v>3.44</v>
      </c>
      <c r="P182" s="11">
        <v>0.03</v>
      </c>
      <c r="Q182" s="11">
        <v>5.59</v>
      </c>
      <c r="R182" s="11">
        <v>1</v>
      </c>
      <c r="S182" s="11">
        <f t="shared" si="16"/>
        <v>23.51</v>
      </c>
      <c r="T182" s="11">
        <f t="shared" si="17"/>
        <v>6.35</v>
      </c>
      <c r="U182" s="11">
        <f t="shared" si="18"/>
        <v>3.44</v>
      </c>
      <c r="V182" s="11">
        <f t="shared" si="19"/>
        <v>0.71</v>
      </c>
      <c r="W182" s="11" t="s">
        <v>66</v>
      </c>
      <c r="X182" s="11">
        <v>0</v>
      </c>
      <c r="Y182" s="11">
        <f t="shared" si="20"/>
        <v>16.09</v>
      </c>
      <c r="Z182" s="11">
        <f t="shared" si="21"/>
        <v>7.4200000000000017</v>
      </c>
      <c r="AA182" s="12">
        <f t="shared" si="22"/>
        <v>0.31561037856231394</v>
      </c>
      <c r="AB182" s="13">
        <f t="shared" si="23"/>
        <v>4.20572450805009</v>
      </c>
      <c r="AC182" t="s">
        <v>67</v>
      </c>
    </row>
    <row r="183" spans="1:29" ht="14.25" customHeight="1" x14ac:dyDescent="0.45">
      <c r="A183" t="s">
        <v>306</v>
      </c>
      <c r="B183" s="10">
        <v>45818</v>
      </c>
      <c r="C183">
        <v>2025</v>
      </c>
      <c r="D183">
        <v>6</v>
      </c>
      <c r="E183" t="s">
        <v>58</v>
      </c>
      <c r="F183" t="s">
        <v>59</v>
      </c>
      <c r="G183" t="s">
        <v>71</v>
      </c>
      <c r="H183" t="s">
        <v>86</v>
      </c>
      <c r="I183" t="s">
        <v>72</v>
      </c>
      <c r="J183" t="s">
        <v>73</v>
      </c>
      <c r="K183" t="s">
        <v>74</v>
      </c>
      <c r="L183" t="s">
        <v>75</v>
      </c>
      <c r="M183" s="11">
        <v>40.869999999999997</v>
      </c>
      <c r="N183" s="11">
        <v>14.89</v>
      </c>
      <c r="O183" s="11">
        <v>6.97</v>
      </c>
      <c r="P183" s="11">
        <v>0.03</v>
      </c>
      <c r="Q183" s="11">
        <v>0</v>
      </c>
      <c r="R183" s="11">
        <v>1</v>
      </c>
      <c r="S183" s="11">
        <f t="shared" si="16"/>
        <v>0</v>
      </c>
      <c r="T183" s="11">
        <f t="shared" si="17"/>
        <v>0</v>
      </c>
      <c r="U183" s="11">
        <f t="shared" si="18"/>
        <v>0</v>
      </c>
      <c r="V183" s="11">
        <f t="shared" si="19"/>
        <v>0</v>
      </c>
      <c r="W183" s="11" t="s">
        <v>66</v>
      </c>
      <c r="X183" s="11">
        <v>0</v>
      </c>
      <c r="Y183" s="11">
        <f t="shared" si="20"/>
        <v>0</v>
      </c>
      <c r="Z183" s="11">
        <f t="shared" si="21"/>
        <v>0</v>
      </c>
      <c r="AA183" s="12">
        <f t="shared" si="22"/>
        <v>0</v>
      </c>
      <c r="AB183" s="13">
        <f t="shared" si="23"/>
        <v>0</v>
      </c>
      <c r="AC183" t="s">
        <v>166</v>
      </c>
    </row>
    <row r="184" spans="1:29" ht="14.25" customHeight="1" x14ac:dyDescent="0.45">
      <c r="A184" t="s">
        <v>307</v>
      </c>
      <c r="B184" s="10">
        <v>45818</v>
      </c>
      <c r="C184">
        <v>2025</v>
      </c>
      <c r="D184">
        <v>6</v>
      </c>
      <c r="E184" t="s">
        <v>58</v>
      </c>
      <c r="F184" t="s">
        <v>59</v>
      </c>
      <c r="G184" t="s">
        <v>105</v>
      </c>
      <c r="H184" t="s">
        <v>127</v>
      </c>
      <c r="I184" t="s">
        <v>97</v>
      </c>
      <c r="J184" t="s">
        <v>98</v>
      </c>
      <c r="K184" t="s">
        <v>99</v>
      </c>
      <c r="L184" t="s">
        <v>100</v>
      </c>
      <c r="M184" s="11">
        <v>34.840000000000003</v>
      </c>
      <c r="N184" s="11">
        <v>9.49</v>
      </c>
      <c r="O184" s="11">
        <v>4.41</v>
      </c>
      <c r="P184" s="11">
        <v>0.03</v>
      </c>
      <c r="Q184" s="11">
        <v>3.84</v>
      </c>
      <c r="R184" s="11">
        <v>2</v>
      </c>
      <c r="S184" s="11">
        <f t="shared" si="16"/>
        <v>69.680000000000007</v>
      </c>
      <c r="T184" s="11">
        <f t="shared" si="17"/>
        <v>18.98</v>
      </c>
      <c r="U184" s="11">
        <f t="shared" si="18"/>
        <v>8.82</v>
      </c>
      <c r="V184" s="11">
        <f t="shared" si="19"/>
        <v>2.09</v>
      </c>
      <c r="W184" s="11" t="s">
        <v>66</v>
      </c>
      <c r="X184" s="11">
        <v>0</v>
      </c>
      <c r="Y184" s="11">
        <f t="shared" si="20"/>
        <v>33.730000000000004</v>
      </c>
      <c r="Z184" s="11">
        <f t="shared" si="21"/>
        <v>35.950000000000003</v>
      </c>
      <c r="AA184" s="12">
        <f t="shared" si="22"/>
        <v>0.51592996555683124</v>
      </c>
      <c r="AB184" s="13">
        <f t="shared" si="23"/>
        <v>18.145833333333336</v>
      </c>
      <c r="AC184" t="s">
        <v>67</v>
      </c>
    </row>
    <row r="185" spans="1:29" ht="14.25" customHeight="1" x14ac:dyDescent="0.45">
      <c r="A185" t="s">
        <v>308</v>
      </c>
      <c r="B185" s="10">
        <v>45819</v>
      </c>
      <c r="C185">
        <v>2025</v>
      </c>
      <c r="D185">
        <v>6</v>
      </c>
      <c r="E185" t="s">
        <v>69</v>
      </c>
      <c r="F185" t="s">
        <v>70</v>
      </c>
      <c r="G185" t="s">
        <v>105</v>
      </c>
      <c r="H185" t="s">
        <v>61</v>
      </c>
      <c r="I185" t="s">
        <v>138</v>
      </c>
      <c r="J185" t="s">
        <v>139</v>
      </c>
      <c r="K185" t="s">
        <v>89</v>
      </c>
      <c r="L185" t="s">
        <v>140</v>
      </c>
      <c r="M185" s="11">
        <v>42.83</v>
      </c>
      <c r="N185" s="11">
        <v>8.6999999999999993</v>
      </c>
      <c r="O185" s="11">
        <v>3.62</v>
      </c>
      <c r="P185" s="11">
        <v>0.03</v>
      </c>
      <c r="Q185" s="11">
        <v>6.3</v>
      </c>
      <c r="R185" s="11">
        <v>1</v>
      </c>
      <c r="S185" s="11">
        <f t="shared" si="16"/>
        <v>42.83</v>
      </c>
      <c r="T185" s="11">
        <f t="shared" si="17"/>
        <v>8.6999999999999993</v>
      </c>
      <c r="U185" s="11">
        <f t="shared" si="18"/>
        <v>3.62</v>
      </c>
      <c r="V185" s="11">
        <f t="shared" si="19"/>
        <v>1.28</v>
      </c>
      <c r="W185" s="11" t="s">
        <v>66</v>
      </c>
      <c r="X185" s="11">
        <v>0</v>
      </c>
      <c r="Y185" s="11">
        <f t="shared" si="20"/>
        <v>19.899999999999999</v>
      </c>
      <c r="Z185" s="11">
        <f t="shared" si="21"/>
        <v>22.93</v>
      </c>
      <c r="AA185" s="12">
        <f t="shared" si="22"/>
        <v>0.53537240252159701</v>
      </c>
      <c r="AB185" s="13">
        <f t="shared" si="23"/>
        <v>6.7984126984126982</v>
      </c>
      <c r="AC185" t="s">
        <v>67</v>
      </c>
    </row>
    <row r="186" spans="1:29" ht="14.25" customHeight="1" x14ac:dyDescent="0.45">
      <c r="A186" t="s">
        <v>309</v>
      </c>
      <c r="B186" s="10">
        <v>45820</v>
      </c>
      <c r="C186">
        <v>2025</v>
      </c>
      <c r="D186">
        <v>6</v>
      </c>
      <c r="E186" t="s">
        <v>58</v>
      </c>
      <c r="F186" t="s">
        <v>92</v>
      </c>
      <c r="G186" t="s">
        <v>93</v>
      </c>
      <c r="H186" t="s">
        <v>112</v>
      </c>
      <c r="I186" t="s">
        <v>62</v>
      </c>
      <c r="J186" t="s">
        <v>63</v>
      </c>
      <c r="K186" t="s">
        <v>64</v>
      </c>
      <c r="L186" t="s">
        <v>65</v>
      </c>
      <c r="M186" s="11">
        <v>36.36</v>
      </c>
      <c r="N186" s="11">
        <v>10.37</v>
      </c>
      <c r="O186" s="11">
        <v>4.1100000000000003</v>
      </c>
      <c r="P186" s="11">
        <v>0.03</v>
      </c>
      <c r="Q186" s="11">
        <v>19.36</v>
      </c>
      <c r="R186" s="11">
        <v>3</v>
      </c>
      <c r="S186" s="11">
        <f t="shared" si="16"/>
        <v>109.08</v>
      </c>
      <c r="T186" s="11">
        <f t="shared" si="17"/>
        <v>31.11</v>
      </c>
      <c r="U186" s="11">
        <f t="shared" si="18"/>
        <v>12.330000000000002</v>
      </c>
      <c r="V186" s="11">
        <f t="shared" si="19"/>
        <v>3.27</v>
      </c>
      <c r="W186" s="11" t="s">
        <v>66</v>
      </c>
      <c r="X186" s="11">
        <v>0</v>
      </c>
      <c r="Y186" s="11">
        <f t="shared" si="20"/>
        <v>66.069999999999993</v>
      </c>
      <c r="Z186" s="11">
        <f t="shared" si="21"/>
        <v>43.010000000000005</v>
      </c>
      <c r="AA186" s="12">
        <f t="shared" si="22"/>
        <v>0.39429776310964437</v>
      </c>
      <c r="AB186" s="13">
        <f t="shared" si="23"/>
        <v>5.634297520661157</v>
      </c>
      <c r="AC186" t="s">
        <v>67</v>
      </c>
    </row>
    <row r="187" spans="1:29" ht="14.25" customHeight="1" x14ac:dyDescent="0.45">
      <c r="A187" t="s">
        <v>310</v>
      </c>
      <c r="B187" s="10">
        <v>45820</v>
      </c>
      <c r="C187">
        <v>2025</v>
      </c>
      <c r="D187">
        <v>6</v>
      </c>
      <c r="E187" t="s">
        <v>58</v>
      </c>
      <c r="F187" t="s">
        <v>59</v>
      </c>
      <c r="G187" t="s">
        <v>126</v>
      </c>
      <c r="H187" t="s">
        <v>127</v>
      </c>
      <c r="I187" t="s">
        <v>133</v>
      </c>
      <c r="J187" t="s">
        <v>134</v>
      </c>
      <c r="K187" t="s">
        <v>135</v>
      </c>
      <c r="L187" t="s">
        <v>136</v>
      </c>
      <c r="M187" s="11">
        <v>14.06</v>
      </c>
      <c r="N187" s="11">
        <v>1.94</v>
      </c>
      <c r="O187" s="11">
        <v>1.84</v>
      </c>
      <c r="P187" s="11">
        <v>0.03</v>
      </c>
      <c r="Q187" s="11">
        <v>9.49</v>
      </c>
      <c r="R187" s="11">
        <v>1</v>
      </c>
      <c r="S187" s="11">
        <f t="shared" si="16"/>
        <v>14.06</v>
      </c>
      <c r="T187" s="11">
        <f t="shared" si="17"/>
        <v>1.94</v>
      </c>
      <c r="U187" s="11">
        <f t="shared" si="18"/>
        <v>1.84</v>
      </c>
      <c r="V187" s="11">
        <f t="shared" si="19"/>
        <v>0.42</v>
      </c>
      <c r="W187" s="11" t="s">
        <v>66</v>
      </c>
      <c r="X187" s="11">
        <v>0</v>
      </c>
      <c r="Y187" s="11">
        <f t="shared" si="20"/>
        <v>13.690000000000001</v>
      </c>
      <c r="Z187" s="11">
        <f t="shared" si="21"/>
        <v>0.36999999999999922</v>
      </c>
      <c r="AA187" s="12">
        <f t="shared" si="22"/>
        <v>2.6315789473684154E-2</v>
      </c>
      <c r="AB187" s="13">
        <f t="shared" si="23"/>
        <v>1.481559536354057</v>
      </c>
      <c r="AC187" t="s">
        <v>67</v>
      </c>
    </row>
    <row r="188" spans="1:29" ht="14.25" customHeight="1" x14ac:dyDescent="0.45">
      <c r="A188" t="s">
        <v>311</v>
      </c>
      <c r="B188" s="10">
        <v>45820</v>
      </c>
      <c r="C188">
        <v>2025</v>
      </c>
      <c r="D188">
        <v>6</v>
      </c>
      <c r="E188" t="s">
        <v>69</v>
      </c>
      <c r="F188" t="s">
        <v>70</v>
      </c>
      <c r="G188" t="s">
        <v>71</v>
      </c>
      <c r="H188" t="s">
        <v>86</v>
      </c>
      <c r="I188" t="s">
        <v>133</v>
      </c>
      <c r="J188" t="s">
        <v>134</v>
      </c>
      <c r="K188" t="s">
        <v>135</v>
      </c>
      <c r="L188" t="s">
        <v>136</v>
      </c>
      <c r="M188" s="11">
        <v>14.97</v>
      </c>
      <c r="N188" s="11">
        <v>2.04</v>
      </c>
      <c r="O188" s="11">
        <v>1.96</v>
      </c>
      <c r="P188" s="11">
        <v>0.03</v>
      </c>
      <c r="Q188" s="11">
        <v>0</v>
      </c>
      <c r="R188" s="11">
        <v>1</v>
      </c>
      <c r="S188" s="11">
        <f t="shared" si="16"/>
        <v>14.97</v>
      </c>
      <c r="T188" s="11">
        <f t="shared" si="17"/>
        <v>2.04</v>
      </c>
      <c r="U188" s="11">
        <f t="shared" si="18"/>
        <v>1.96</v>
      </c>
      <c r="V188" s="11">
        <f t="shared" si="19"/>
        <v>0.45</v>
      </c>
      <c r="W188" s="11" t="s">
        <v>154</v>
      </c>
      <c r="X188" s="11">
        <v>10.25</v>
      </c>
      <c r="Y188" s="11">
        <f t="shared" si="20"/>
        <v>14.7</v>
      </c>
      <c r="Z188" s="11">
        <f t="shared" si="21"/>
        <v>0.27000000000000135</v>
      </c>
      <c r="AA188" s="12">
        <f t="shared" si="22"/>
        <v>1.8036072144288668E-2</v>
      </c>
      <c r="AB188" s="13">
        <f t="shared" si="23"/>
        <v>0</v>
      </c>
      <c r="AC188" t="s">
        <v>155</v>
      </c>
    </row>
    <row r="189" spans="1:29" ht="14.25" customHeight="1" x14ac:dyDescent="0.45">
      <c r="A189" t="s">
        <v>312</v>
      </c>
      <c r="B189" s="10">
        <v>45824</v>
      </c>
      <c r="C189">
        <v>2025</v>
      </c>
      <c r="D189">
        <v>6</v>
      </c>
      <c r="E189" t="s">
        <v>77</v>
      </c>
      <c r="F189" t="s">
        <v>102</v>
      </c>
      <c r="G189" t="s">
        <v>126</v>
      </c>
      <c r="H189" t="s">
        <v>80</v>
      </c>
      <c r="I189" t="s">
        <v>113</v>
      </c>
      <c r="J189" t="s">
        <v>114</v>
      </c>
      <c r="K189" t="s">
        <v>115</v>
      </c>
      <c r="L189" t="s">
        <v>116</v>
      </c>
      <c r="M189" s="11">
        <v>48.98</v>
      </c>
      <c r="N189" s="11">
        <v>16.66</v>
      </c>
      <c r="O189" s="11">
        <v>6.74</v>
      </c>
      <c r="P189" s="11">
        <v>0.03</v>
      </c>
      <c r="Q189" s="11">
        <v>19.8</v>
      </c>
      <c r="R189" s="11">
        <v>2</v>
      </c>
      <c r="S189" s="11">
        <f t="shared" si="16"/>
        <v>97.96</v>
      </c>
      <c r="T189" s="11">
        <f t="shared" si="17"/>
        <v>33.32</v>
      </c>
      <c r="U189" s="11">
        <f t="shared" si="18"/>
        <v>13.48</v>
      </c>
      <c r="V189" s="11">
        <f t="shared" si="19"/>
        <v>2.94</v>
      </c>
      <c r="W189" s="11" t="s">
        <v>66</v>
      </c>
      <c r="X189" s="11">
        <v>0</v>
      </c>
      <c r="Y189" s="11">
        <f t="shared" si="20"/>
        <v>69.539999999999992</v>
      </c>
      <c r="Z189" s="11">
        <f t="shared" si="21"/>
        <v>28.42</v>
      </c>
      <c r="AA189" s="12">
        <f t="shared" si="22"/>
        <v>0.29011841567986935</v>
      </c>
      <c r="AB189" s="13">
        <f t="shared" si="23"/>
        <v>4.9474747474747467</v>
      </c>
      <c r="AC189" t="s">
        <v>67</v>
      </c>
    </row>
    <row r="190" spans="1:29" ht="14.25" customHeight="1" x14ac:dyDescent="0.45">
      <c r="A190" t="s">
        <v>313</v>
      </c>
      <c r="B190" s="10">
        <v>45825</v>
      </c>
      <c r="C190">
        <v>2025</v>
      </c>
      <c r="D190">
        <v>6</v>
      </c>
      <c r="E190" t="s">
        <v>77</v>
      </c>
      <c r="F190" t="s">
        <v>78</v>
      </c>
      <c r="G190" t="s">
        <v>93</v>
      </c>
      <c r="H190" t="s">
        <v>80</v>
      </c>
      <c r="I190" t="s">
        <v>107</v>
      </c>
      <c r="J190" t="s">
        <v>108</v>
      </c>
      <c r="K190" t="s">
        <v>109</v>
      </c>
      <c r="L190" t="s">
        <v>110</v>
      </c>
      <c r="M190" s="11">
        <v>21.94</v>
      </c>
      <c r="N190" s="11">
        <v>3.44</v>
      </c>
      <c r="O190" s="11">
        <v>2.41</v>
      </c>
      <c r="P190" s="11">
        <v>0.03</v>
      </c>
      <c r="Q190" s="11">
        <v>4.8499999999999996</v>
      </c>
      <c r="R190" s="11">
        <v>1</v>
      </c>
      <c r="S190" s="11">
        <f t="shared" si="16"/>
        <v>21.94</v>
      </c>
      <c r="T190" s="11">
        <f t="shared" si="17"/>
        <v>3.44</v>
      </c>
      <c r="U190" s="11">
        <f t="shared" si="18"/>
        <v>2.41</v>
      </c>
      <c r="V190" s="11">
        <f t="shared" si="19"/>
        <v>0.66</v>
      </c>
      <c r="W190" s="11" t="s">
        <v>66</v>
      </c>
      <c r="X190" s="11">
        <v>0</v>
      </c>
      <c r="Y190" s="11">
        <f t="shared" si="20"/>
        <v>11.36</v>
      </c>
      <c r="Z190" s="11">
        <f t="shared" si="21"/>
        <v>10.580000000000002</v>
      </c>
      <c r="AA190" s="12">
        <f t="shared" si="22"/>
        <v>0.48222424794895175</v>
      </c>
      <c r="AB190" s="13">
        <f t="shared" si="23"/>
        <v>4.5237113402061864</v>
      </c>
      <c r="AC190" t="s">
        <v>67</v>
      </c>
    </row>
    <row r="191" spans="1:29" ht="14.25" customHeight="1" x14ac:dyDescent="0.45">
      <c r="A191" t="s">
        <v>314</v>
      </c>
      <c r="B191" s="10">
        <v>45829</v>
      </c>
      <c r="C191">
        <v>2025</v>
      </c>
      <c r="D191">
        <v>6</v>
      </c>
      <c r="E191" t="s">
        <v>77</v>
      </c>
      <c r="F191" t="s">
        <v>78</v>
      </c>
      <c r="G191" t="s">
        <v>93</v>
      </c>
      <c r="H191" t="s">
        <v>112</v>
      </c>
      <c r="I191" t="s">
        <v>97</v>
      </c>
      <c r="J191" t="s">
        <v>98</v>
      </c>
      <c r="K191" t="s">
        <v>99</v>
      </c>
      <c r="L191" t="s">
        <v>100</v>
      </c>
      <c r="M191" s="11">
        <v>31.87</v>
      </c>
      <c r="N191" s="11">
        <v>9.66</v>
      </c>
      <c r="O191" s="11">
        <v>3.69</v>
      </c>
      <c r="P191" s="11">
        <v>0.03</v>
      </c>
      <c r="Q191" s="11">
        <v>9.15</v>
      </c>
      <c r="R191" s="11">
        <v>1</v>
      </c>
      <c r="S191" s="11">
        <f t="shared" si="16"/>
        <v>31.87</v>
      </c>
      <c r="T191" s="11">
        <f t="shared" si="17"/>
        <v>9.66</v>
      </c>
      <c r="U191" s="11">
        <f t="shared" si="18"/>
        <v>3.69</v>
      </c>
      <c r="V191" s="11">
        <f t="shared" si="19"/>
        <v>0.96</v>
      </c>
      <c r="W191" s="11" t="s">
        <v>66</v>
      </c>
      <c r="X191" s="11">
        <v>0</v>
      </c>
      <c r="Y191" s="11">
        <f t="shared" si="20"/>
        <v>23.46</v>
      </c>
      <c r="Z191" s="11">
        <f t="shared" si="21"/>
        <v>8.41</v>
      </c>
      <c r="AA191" s="12">
        <f t="shared" si="22"/>
        <v>0.26388453090680891</v>
      </c>
      <c r="AB191" s="13">
        <f t="shared" si="23"/>
        <v>3.4830601092896174</v>
      </c>
      <c r="AC191" t="s">
        <v>67</v>
      </c>
    </row>
    <row r="192" spans="1:29" ht="14.25" customHeight="1" x14ac:dyDescent="0.45">
      <c r="A192" t="s">
        <v>315</v>
      </c>
      <c r="B192" s="10">
        <v>45831</v>
      </c>
      <c r="C192">
        <v>2025</v>
      </c>
      <c r="D192">
        <v>6</v>
      </c>
      <c r="E192" t="s">
        <v>69</v>
      </c>
      <c r="F192" t="s">
        <v>70</v>
      </c>
      <c r="G192" t="s">
        <v>105</v>
      </c>
      <c r="H192" t="s">
        <v>61</v>
      </c>
      <c r="I192" t="s">
        <v>72</v>
      </c>
      <c r="J192" t="s">
        <v>73</v>
      </c>
      <c r="K192" t="s">
        <v>74</v>
      </c>
      <c r="L192" t="s">
        <v>75</v>
      </c>
      <c r="M192" s="11">
        <v>44.34</v>
      </c>
      <c r="N192" s="11">
        <v>14.15</v>
      </c>
      <c r="O192" s="11">
        <v>6.3</v>
      </c>
      <c r="P192" s="11">
        <v>0.03</v>
      </c>
      <c r="Q192" s="11">
        <v>9.0299999999999994</v>
      </c>
      <c r="R192" s="11">
        <v>3</v>
      </c>
      <c r="S192" s="11">
        <f t="shared" si="16"/>
        <v>133.02000000000001</v>
      </c>
      <c r="T192" s="11">
        <f t="shared" si="17"/>
        <v>42.45</v>
      </c>
      <c r="U192" s="11">
        <f t="shared" si="18"/>
        <v>18.899999999999999</v>
      </c>
      <c r="V192" s="11">
        <f t="shared" si="19"/>
        <v>3.99</v>
      </c>
      <c r="W192" s="11" t="s">
        <v>66</v>
      </c>
      <c r="X192" s="11">
        <v>0</v>
      </c>
      <c r="Y192" s="11">
        <f t="shared" si="20"/>
        <v>74.37</v>
      </c>
      <c r="Z192" s="11">
        <f t="shared" si="21"/>
        <v>58.650000000000006</v>
      </c>
      <c r="AA192" s="12">
        <f t="shared" si="22"/>
        <v>0.44091114118177721</v>
      </c>
      <c r="AB192" s="13">
        <f t="shared" si="23"/>
        <v>14.73089700996678</v>
      </c>
      <c r="AC192" t="s">
        <v>67</v>
      </c>
    </row>
    <row r="193" spans="1:29" ht="14.25" customHeight="1" x14ac:dyDescent="0.45">
      <c r="A193" t="s">
        <v>316</v>
      </c>
      <c r="B193" s="10">
        <v>45831</v>
      </c>
      <c r="C193">
        <v>2025</v>
      </c>
      <c r="D193">
        <v>6</v>
      </c>
      <c r="E193" t="s">
        <v>58</v>
      </c>
      <c r="F193" t="s">
        <v>59</v>
      </c>
      <c r="G193" t="s">
        <v>105</v>
      </c>
      <c r="H193" t="s">
        <v>112</v>
      </c>
      <c r="I193" t="s">
        <v>133</v>
      </c>
      <c r="J193" t="s">
        <v>134</v>
      </c>
      <c r="K193" t="s">
        <v>135</v>
      </c>
      <c r="L193" t="s">
        <v>136</v>
      </c>
      <c r="M193" s="11">
        <v>14.59</v>
      </c>
      <c r="N193" s="11">
        <v>2.12</v>
      </c>
      <c r="O193" s="11">
        <v>1.98</v>
      </c>
      <c r="P193" s="11">
        <v>0.03</v>
      </c>
      <c r="Q193" s="11">
        <v>6.79</v>
      </c>
      <c r="R193" s="11">
        <v>1</v>
      </c>
      <c r="S193" s="11">
        <f t="shared" si="16"/>
        <v>14.59</v>
      </c>
      <c r="T193" s="11">
        <f t="shared" si="17"/>
        <v>2.12</v>
      </c>
      <c r="U193" s="11">
        <f t="shared" si="18"/>
        <v>1.98</v>
      </c>
      <c r="V193" s="11">
        <f t="shared" si="19"/>
        <v>0.44</v>
      </c>
      <c r="W193" s="11" t="s">
        <v>66</v>
      </c>
      <c r="X193" s="11">
        <v>0</v>
      </c>
      <c r="Y193" s="11">
        <f t="shared" si="20"/>
        <v>11.33</v>
      </c>
      <c r="Z193" s="11">
        <f t="shared" si="21"/>
        <v>3.26</v>
      </c>
      <c r="AA193" s="12">
        <f t="shared" si="22"/>
        <v>0.22344071281699793</v>
      </c>
      <c r="AB193" s="13">
        <f t="shared" si="23"/>
        <v>2.1487481590574373</v>
      </c>
      <c r="AC193" t="s">
        <v>67</v>
      </c>
    </row>
    <row r="194" spans="1:29" ht="14.25" customHeight="1" x14ac:dyDescent="0.45">
      <c r="A194" t="s">
        <v>317</v>
      </c>
      <c r="B194" s="10">
        <v>45832</v>
      </c>
      <c r="C194">
        <v>2025</v>
      </c>
      <c r="D194">
        <v>6</v>
      </c>
      <c r="E194" t="s">
        <v>77</v>
      </c>
      <c r="F194" t="s">
        <v>102</v>
      </c>
      <c r="G194" t="s">
        <v>105</v>
      </c>
      <c r="H194" t="s">
        <v>86</v>
      </c>
      <c r="I194" t="s">
        <v>138</v>
      </c>
      <c r="J194" t="s">
        <v>139</v>
      </c>
      <c r="K194" t="s">
        <v>89</v>
      </c>
      <c r="L194" t="s">
        <v>140</v>
      </c>
      <c r="M194" s="11">
        <v>36.32</v>
      </c>
      <c r="N194" s="11">
        <v>8.4600000000000009</v>
      </c>
      <c r="O194" s="11">
        <v>4.32</v>
      </c>
      <c r="P194" s="11">
        <v>0.03</v>
      </c>
      <c r="Q194" s="11">
        <v>9.43</v>
      </c>
      <c r="R194" s="11">
        <v>3</v>
      </c>
      <c r="S194" s="11">
        <f t="shared" ref="S194:S257" si="24">IF(AC194="Cancelled",0,M194*R194)</f>
        <v>108.96000000000001</v>
      </c>
      <c r="T194" s="11">
        <f t="shared" ref="T194:T257" si="25">IF(AC194="Cancelled",0,N194*R194)</f>
        <v>25.380000000000003</v>
      </c>
      <c r="U194" s="11">
        <f t="shared" ref="U194:U257" si="26">IF(AC194="Cancelled",0,O194*R194)</f>
        <v>12.96</v>
      </c>
      <c r="V194" s="11">
        <f t="shared" ref="V194:V257" si="27">IF(AC194="Cancelled",0,ROUND(P194*S194,2))</f>
        <v>3.27</v>
      </c>
      <c r="W194" s="11" t="s">
        <v>66</v>
      </c>
      <c r="X194" s="11">
        <v>0</v>
      </c>
      <c r="Y194" s="11">
        <f t="shared" ref="Y194:Y257" si="28">IF(AC194="Cancelled",0,T194+U194+V194+Q194+X194)</f>
        <v>51.040000000000006</v>
      </c>
      <c r="Z194" s="11">
        <f t="shared" ref="Z194:Z257" si="29">IF(AC194="Cancelled",-Q194,S194-Y194)</f>
        <v>57.92</v>
      </c>
      <c r="AA194" s="12">
        <f t="shared" ref="AA194:AA257" si="30">IF(OR(AC194="Cancelled",S194=0),0,Z194/S194)</f>
        <v>0.53157121879588842</v>
      </c>
      <c r="AB194" s="13">
        <f t="shared" ref="AB194:AB257" si="31">IFERROR(S194/Q194,0)</f>
        <v>11.554612937433724</v>
      </c>
      <c r="AC194" t="s">
        <v>67</v>
      </c>
    </row>
    <row r="195" spans="1:29" ht="14.25" customHeight="1" x14ac:dyDescent="0.45">
      <c r="A195" t="s">
        <v>318</v>
      </c>
      <c r="B195" s="10">
        <v>45834</v>
      </c>
      <c r="C195">
        <v>2025</v>
      </c>
      <c r="D195">
        <v>6</v>
      </c>
      <c r="E195" t="s">
        <v>69</v>
      </c>
      <c r="F195" t="s">
        <v>70</v>
      </c>
      <c r="G195" t="s">
        <v>93</v>
      </c>
      <c r="H195" t="s">
        <v>112</v>
      </c>
      <c r="I195" t="s">
        <v>72</v>
      </c>
      <c r="J195" t="s">
        <v>73</v>
      </c>
      <c r="K195" t="s">
        <v>74</v>
      </c>
      <c r="L195" t="s">
        <v>75</v>
      </c>
      <c r="M195" s="11">
        <v>40.61</v>
      </c>
      <c r="N195" s="11">
        <v>13.59</v>
      </c>
      <c r="O195" s="11">
        <v>6.95</v>
      </c>
      <c r="P195" s="11">
        <v>0.03</v>
      </c>
      <c r="Q195" s="11">
        <v>15.17</v>
      </c>
      <c r="R195" s="11">
        <v>2</v>
      </c>
      <c r="S195" s="11">
        <f t="shared" si="24"/>
        <v>81.22</v>
      </c>
      <c r="T195" s="11">
        <f t="shared" si="25"/>
        <v>27.18</v>
      </c>
      <c r="U195" s="11">
        <f t="shared" si="26"/>
        <v>13.9</v>
      </c>
      <c r="V195" s="11">
        <f t="shared" si="27"/>
        <v>2.44</v>
      </c>
      <c r="W195" s="11" t="s">
        <v>66</v>
      </c>
      <c r="X195" s="11">
        <v>0</v>
      </c>
      <c r="Y195" s="11">
        <f t="shared" si="28"/>
        <v>58.69</v>
      </c>
      <c r="Z195" s="11">
        <f t="shared" si="29"/>
        <v>22.53</v>
      </c>
      <c r="AA195" s="12">
        <f t="shared" si="30"/>
        <v>0.27739473036197981</v>
      </c>
      <c r="AB195" s="13">
        <f t="shared" si="31"/>
        <v>5.353988134475939</v>
      </c>
      <c r="AC195" t="s">
        <v>67</v>
      </c>
    </row>
    <row r="196" spans="1:29" ht="14.25" customHeight="1" x14ac:dyDescent="0.45">
      <c r="A196" t="s">
        <v>319</v>
      </c>
      <c r="B196" s="10">
        <v>45834</v>
      </c>
      <c r="C196">
        <v>2025</v>
      </c>
      <c r="D196">
        <v>6</v>
      </c>
      <c r="E196" t="s">
        <v>122</v>
      </c>
      <c r="F196" t="s">
        <v>123</v>
      </c>
      <c r="G196" t="s">
        <v>71</v>
      </c>
      <c r="H196" t="s">
        <v>61</v>
      </c>
      <c r="I196" t="s">
        <v>133</v>
      </c>
      <c r="J196" t="s">
        <v>134</v>
      </c>
      <c r="K196" t="s">
        <v>135</v>
      </c>
      <c r="L196" t="s">
        <v>136</v>
      </c>
      <c r="M196" s="11">
        <v>14.86</v>
      </c>
      <c r="N196" s="11">
        <v>1.92</v>
      </c>
      <c r="O196" s="11">
        <v>1.9</v>
      </c>
      <c r="P196" s="11">
        <v>0.03</v>
      </c>
      <c r="Q196" s="11">
        <v>0</v>
      </c>
      <c r="R196" s="11">
        <v>1</v>
      </c>
      <c r="S196" s="11">
        <f t="shared" si="24"/>
        <v>14.86</v>
      </c>
      <c r="T196" s="11">
        <f t="shared" si="25"/>
        <v>1.92</v>
      </c>
      <c r="U196" s="11">
        <f t="shared" si="26"/>
        <v>1.9</v>
      </c>
      <c r="V196" s="11">
        <f t="shared" si="27"/>
        <v>0.45</v>
      </c>
      <c r="W196" s="11" t="s">
        <v>66</v>
      </c>
      <c r="X196" s="11">
        <v>0</v>
      </c>
      <c r="Y196" s="11">
        <f t="shared" si="28"/>
        <v>4.2699999999999996</v>
      </c>
      <c r="Z196" s="11">
        <f t="shared" si="29"/>
        <v>10.59</v>
      </c>
      <c r="AA196" s="12">
        <f t="shared" si="30"/>
        <v>0.71265141318977121</v>
      </c>
      <c r="AB196" s="13">
        <f t="shared" si="31"/>
        <v>0</v>
      </c>
      <c r="AC196" t="s">
        <v>67</v>
      </c>
    </row>
    <row r="197" spans="1:29" ht="14.25" customHeight="1" x14ac:dyDescent="0.45">
      <c r="A197" t="s">
        <v>320</v>
      </c>
      <c r="B197" s="10">
        <v>45835</v>
      </c>
      <c r="C197">
        <v>2025</v>
      </c>
      <c r="D197">
        <v>6</v>
      </c>
      <c r="E197" t="s">
        <v>77</v>
      </c>
      <c r="F197" t="s">
        <v>78</v>
      </c>
      <c r="G197" t="s">
        <v>60</v>
      </c>
      <c r="H197" t="s">
        <v>80</v>
      </c>
      <c r="I197" t="s">
        <v>107</v>
      </c>
      <c r="J197" t="s">
        <v>108</v>
      </c>
      <c r="K197" t="s">
        <v>109</v>
      </c>
      <c r="L197" t="s">
        <v>110</v>
      </c>
      <c r="M197" s="11">
        <v>18.32</v>
      </c>
      <c r="N197" s="11">
        <v>3.41</v>
      </c>
      <c r="O197" s="11">
        <v>2.4700000000000002</v>
      </c>
      <c r="P197" s="11">
        <v>0.03</v>
      </c>
      <c r="Q197" s="11">
        <v>12.17</v>
      </c>
      <c r="R197" s="11">
        <v>2</v>
      </c>
      <c r="S197" s="11">
        <f t="shared" si="24"/>
        <v>36.64</v>
      </c>
      <c r="T197" s="11">
        <f t="shared" si="25"/>
        <v>6.82</v>
      </c>
      <c r="U197" s="11">
        <f t="shared" si="26"/>
        <v>4.9400000000000004</v>
      </c>
      <c r="V197" s="11">
        <f t="shared" si="27"/>
        <v>1.1000000000000001</v>
      </c>
      <c r="W197" s="11" t="s">
        <v>66</v>
      </c>
      <c r="X197" s="11">
        <v>0</v>
      </c>
      <c r="Y197" s="11">
        <f t="shared" si="28"/>
        <v>25.03</v>
      </c>
      <c r="Z197" s="11">
        <f t="shared" si="29"/>
        <v>11.61</v>
      </c>
      <c r="AA197" s="12">
        <f t="shared" si="30"/>
        <v>0.31686681222707419</v>
      </c>
      <c r="AB197" s="13">
        <f t="shared" si="31"/>
        <v>3.0106820049301564</v>
      </c>
      <c r="AC197" t="s">
        <v>67</v>
      </c>
    </row>
    <row r="198" spans="1:29" ht="14.25" customHeight="1" x14ac:dyDescent="0.45">
      <c r="A198" t="s">
        <v>321</v>
      </c>
      <c r="B198" s="10">
        <v>45835</v>
      </c>
      <c r="C198">
        <v>2025</v>
      </c>
      <c r="D198">
        <v>6</v>
      </c>
      <c r="E198" t="s">
        <v>58</v>
      </c>
      <c r="F198" t="s">
        <v>59</v>
      </c>
      <c r="G198" t="s">
        <v>79</v>
      </c>
      <c r="H198" t="s">
        <v>61</v>
      </c>
      <c r="I198" t="s">
        <v>147</v>
      </c>
      <c r="J198" t="s">
        <v>148</v>
      </c>
      <c r="K198" t="s">
        <v>149</v>
      </c>
      <c r="L198" t="s">
        <v>150</v>
      </c>
      <c r="M198" s="11">
        <v>33.11</v>
      </c>
      <c r="N198" s="11">
        <v>7.56</v>
      </c>
      <c r="O198" s="11">
        <v>4.18</v>
      </c>
      <c r="P198" s="11">
        <v>0.03</v>
      </c>
      <c r="Q198" s="11">
        <v>27.02</v>
      </c>
      <c r="R198" s="11">
        <v>3</v>
      </c>
      <c r="S198" s="11">
        <f t="shared" si="24"/>
        <v>99.33</v>
      </c>
      <c r="T198" s="11">
        <f t="shared" si="25"/>
        <v>22.68</v>
      </c>
      <c r="U198" s="11">
        <f t="shared" si="26"/>
        <v>12.54</v>
      </c>
      <c r="V198" s="11">
        <f t="shared" si="27"/>
        <v>2.98</v>
      </c>
      <c r="W198" s="11" t="s">
        <v>66</v>
      </c>
      <c r="X198" s="11">
        <v>0</v>
      </c>
      <c r="Y198" s="11">
        <f t="shared" si="28"/>
        <v>65.22</v>
      </c>
      <c r="Z198" s="11">
        <f t="shared" si="29"/>
        <v>34.11</v>
      </c>
      <c r="AA198" s="12">
        <f t="shared" si="30"/>
        <v>0.3434007852612504</v>
      </c>
      <c r="AB198" s="13">
        <f t="shared" si="31"/>
        <v>3.6761658031088085</v>
      </c>
      <c r="AC198" t="s">
        <v>67</v>
      </c>
    </row>
    <row r="199" spans="1:29" ht="14.25" customHeight="1" x14ac:dyDescent="0.45">
      <c r="A199" t="s">
        <v>322</v>
      </c>
      <c r="B199" s="10">
        <v>45836</v>
      </c>
      <c r="C199">
        <v>2025</v>
      </c>
      <c r="D199">
        <v>6</v>
      </c>
      <c r="E199" t="s">
        <v>77</v>
      </c>
      <c r="F199" t="s">
        <v>78</v>
      </c>
      <c r="G199" t="s">
        <v>93</v>
      </c>
      <c r="H199" t="s">
        <v>80</v>
      </c>
      <c r="I199" t="s">
        <v>133</v>
      </c>
      <c r="J199" t="s">
        <v>134</v>
      </c>
      <c r="K199" t="s">
        <v>135</v>
      </c>
      <c r="L199" t="s">
        <v>136</v>
      </c>
      <c r="M199" s="11">
        <v>15.1</v>
      </c>
      <c r="N199" s="11">
        <v>2.13</v>
      </c>
      <c r="O199" s="11">
        <v>1.9</v>
      </c>
      <c r="P199" s="11">
        <v>0.03</v>
      </c>
      <c r="Q199" s="11">
        <v>3.43</v>
      </c>
      <c r="R199" s="11">
        <v>1</v>
      </c>
      <c r="S199" s="11">
        <f t="shared" si="24"/>
        <v>15.1</v>
      </c>
      <c r="T199" s="11">
        <f t="shared" si="25"/>
        <v>2.13</v>
      </c>
      <c r="U199" s="11">
        <f t="shared" si="26"/>
        <v>1.9</v>
      </c>
      <c r="V199" s="11">
        <f t="shared" si="27"/>
        <v>0.45</v>
      </c>
      <c r="W199" s="11" t="s">
        <v>154</v>
      </c>
      <c r="X199" s="11">
        <v>11.27</v>
      </c>
      <c r="Y199" s="11">
        <f t="shared" si="28"/>
        <v>19.18</v>
      </c>
      <c r="Z199" s="11">
        <f t="shared" si="29"/>
        <v>-4.08</v>
      </c>
      <c r="AA199" s="12">
        <f t="shared" si="30"/>
        <v>-0.27019867549668874</v>
      </c>
      <c r="AB199" s="13">
        <f t="shared" si="31"/>
        <v>4.4023323615160344</v>
      </c>
      <c r="AC199" t="s">
        <v>155</v>
      </c>
    </row>
    <row r="200" spans="1:29" ht="14.25" customHeight="1" x14ac:dyDescent="0.45">
      <c r="A200" t="s">
        <v>323</v>
      </c>
      <c r="B200" s="10">
        <v>45837</v>
      </c>
      <c r="C200">
        <v>2025</v>
      </c>
      <c r="D200">
        <v>6</v>
      </c>
      <c r="E200" t="s">
        <v>58</v>
      </c>
      <c r="F200" t="s">
        <v>92</v>
      </c>
      <c r="G200" t="s">
        <v>60</v>
      </c>
      <c r="H200" t="s">
        <v>112</v>
      </c>
      <c r="I200" t="s">
        <v>62</v>
      </c>
      <c r="J200" t="s">
        <v>63</v>
      </c>
      <c r="K200" t="s">
        <v>64</v>
      </c>
      <c r="L200" t="s">
        <v>65</v>
      </c>
      <c r="M200" s="11">
        <v>31.48</v>
      </c>
      <c r="N200" s="11">
        <v>10.72</v>
      </c>
      <c r="O200" s="11">
        <v>4.0999999999999996</v>
      </c>
      <c r="P200" s="11">
        <v>0.03</v>
      </c>
      <c r="Q200" s="11">
        <v>16.46</v>
      </c>
      <c r="R200" s="11">
        <v>2</v>
      </c>
      <c r="S200" s="11">
        <f t="shared" si="24"/>
        <v>62.96</v>
      </c>
      <c r="T200" s="11">
        <f t="shared" si="25"/>
        <v>21.44</v>
      </c>
      <c r="U200" s="11">
        <f t="shared" si="26"/>
        <v>8.1999999999999993</v>
      </c>
      <c r="V200" s="11">
        <f t="shared" si="27"/>
        <v>1.89</v>
      </c>
      <c r="W200" s="11" t="s">
        <v>66</v>
      </c>
      <c r="X200" s="11">
        <v>0</v>
      </c>
      <c r="Y200" s="11">
        <f t="shared" si="28"/>
        <v>47.99</v>
      </c>
      <c r="Z200" s="11">
        <f t="shared" si="29"/>
        <v>14.969999999999999</v>
      </c>
      <c r="AA200" s="12">
        <f t="shared" si="30"/>
        <v>0.23777001270648029</v>
      </c>
      <c r="AB200" s="13">
        <f t="shared" si="31"/>
        <v>3.8250303766707168</v>
      </c>
      <c r="AC200" t="s">
        <v>67</v>
      </c>
    </row>
    <row r="201" spans="1:29" ht="14.25" customHeight="1" x14ac:dyDescent="0.45">
      <c r="A201" t="s">
        <v>324</v>
      </c>
      <c r="B201" s="10">
        <v>45838</v>
      </c>
      <c r="C201">
        <v>2025</v>
      </c>
      <c r="D201">
        <v>6</v>
      </c>
      <c r="E201" t="s">
        <v>122</v>
      </c>
      <c r="F201" t="s">
        <v>123</v>
      </c>
      <c r="G201" t="s">
        <v>105</v>
      </c>
      <c r="H201" t="s">
        <v>86</v>
      </c>
      <c r="I201" t="s">
        <v>62</v>
      </c>
      <c r="J201" t="s">
        <v>63</v>
      </c>
      <c r="K201" t="s">
        <v>64</v>
      </c>
      <c r="L201" t="s">
        <v>65</v>
      </c>
      <c r="M201" s="11">
        <v>31.99</v>
      </c>
      <c r="N201" s="11">
        <v>10.72</v>
      </c>
      <c r="O201" s="11">
        <v>3.73</v>
      </c>
      <c r="P201" s="11">
        <v>0.03</v>
      </c>
      <c r="Q201" s="11">
        <v>10.7</v>
      </c>
      <c r="R201" s="11">
        <v>2</v>
      </c>
      <c r="S201" s="11">
        <f t="shared" si="24"/>
        <v>63.98</v>
      </c>
      <c r="T201" s="11">
        <f t="shared" si="25"/>
        <v>21.44</v>
      </c>
      <c r="U201" s="11">
        <f t="shared" si="26"/>
        <v>7.46</v>
      </c>
      <c r="V201" s="11">
        <f t="shared" si="27"/>
        <v>1.92</v>
      </c>
      <c r="W201" s="11" t="s">
        <v>66</v>
      </c>
      <c r="X201" s="11">
        <v>0</v>
      </c>
      <c r="Y201" s="11">
        <f t="shared" si="28"/>
        <v>41.519999999999996</v>
      </c>
      <c r="Z201" s="11">
        <f t="shared" si="29"/>
        <v>22.46</v>
      </c>
      <c r="AA201" s="12">
        <f t="shared" si="30"/>
        <v>0.35104720225070335</v>
      </c>
      <c r="AB201" s="13">
        <f t="shared" si="31"/>
        <v>5.9794392523364488</v>
      </c>
      <c r="AC201" t="s">
        <v>67</v>
      </c>
    </row>
    <row r="202" spans="1:29" ht="14.25" customHeight="1" x14ac:dyDescent="0.45">
      <c r="A202" t="s">
        <v>325</v>
      </c>
      <c r="B202" s="10">
        <v>45839</v>
      </c>
      <c r="C202">
        <v>2025</v>
      </c>
      <c r="D202">
        <v>7</v>
      </c>
      <c r="E202" t="s">
        <v>122</v>
      </c>
      <c r="F202" t="s">
        <v>123</v>
      </c>
      <c r="G202" t="s">
        <v>126</v>
      </c>
      <c r="H202" t="s">
        <v>61</v>
      </c>
      <c r="I202" t="s">
        <v>72</v>
      </c>
      <c r="J202" t="s">
        <v>73</v>
      </c>
      <c r="K202" t="s">
        <v>74</v>
      </c>
      <c r="L202" t="s">
        <v>75</v>
      </c>
      <c r="M202" s="11">
        <v>41.85</v>
      </c>
      <c r="N202" s="11">
        <v>13.69</v>
      </c>
      <c r="O202" s="11">
        <v>7</v>
      </c>
      <c r="P202" s="11">
        <v>0.03</v>
      </c>
      <c r="Q202" s="11">
        <v>26.46</v>
      </c>
      <c r="R202" s="11">
        <v>3</v>
      </c>
      <c r="S202" s="11">
        <f t="shared" si="24"/>
        <v>125.55000000000001</v>
      </c>
      <c r="T202" s="11">
        <f t="shared" si="25"/>
        <v>41.07</v>
      </c>
      <c r="U202" s="11">
        <f t="shared" si="26"/>
        <v>21</v>
      </c>
      <c r="V202" s="11">
        <f t="shared" si="27"/>
        <v>3.77</v>
      </c>
      <c r="W202" s="11" t="s">
        <v>66</v>
      </c>
      <c r="X202" s="11">
        <v>0</v>
      </c>
      <c r="Y202" s="11">
        <f t="shared" si="28"/>
        <v>92.300000000000011</v>
      </c>
      <c r="Z202" s="11">
        <f t="shared" si="29"/>
        <v>33.25</v>
      </c>
      <c r="AA202" s="12">
        <f t="shared" si="30"/>
        <v>0.26483472720031859</v>
      </c>
      <c r="AB202" s="13">
        <f t="shared" si="31"/>
        <v>4.7448979591836737</v>
      </c>
      <c r="AC202" t="s">
        <v>67</v>
      </c>
    </row>
    <row r="203" spans="1:29" ht="14.25" customHeight="1" x14ac:dyDescent="0.45">
      <c r="A203" t="s">
        <v>326</v>
      </c>
      <c r="B203" s="10">
        <v>45842</v>
      </c>
      <c r="C203">
        <v>2025</v>
      </c>
      <c r="D203">
        <v>7</v>
      </c>
      <c r="E203" t="s">
        <v>122</v>
      </c>
      <c r="F203" t="s">
        <v>123</v>
      </c>
      <c r="G203" t="s">
        <v>105</v>
      </c>
      <c r="H203" t="s">
        <v>86</v>
      </c>
      <c r="I203" t="s">
        <v>107</v>
      </c>
      <c r="J203" t="s">
        <v>108</v>
      </c>
      <c r="K203" t="s">
        <v>109</v>
      </c>
      <c r="L203" t="s">
        <v>110</v>
      </c>
      <c r="M203" s="11">
        <v>21.96</v>
      </c>
      <c r="N203" s="11">
        <v>3.59</v>
      </c>
      <c r="O203" s="11">
        <v>2.2999999999999998</v>
      </c>
      <c r="P203" s="11">
        <v>0.03</v>
      </c>
      <c r="Q203" s="11">
        <v>8.77</v>
      </c>
      <c r="R203" s="11">
        <v>1</v>
      </c>
      <c r="S203" s="11">
        <f t="shared" si="24"/>
        <v>21.96</v>
      </c>
      <c r="T203" s="11">
        <f t="shared" si="25"/>
        <v>3.59</v>
      </c>
      <c r="U203" s="11">
        <f t="shared" si="26"/>
        <v>2.2999999999999998</v>
      </c>
      <c r="V203" s="11">
        <f t="shared" si="27"/>
        <v>0.66</v>
      </c>
      <c r="W203" s="11" t="s">
        <v>154</v>
      </c>
      <c r="X203" s="11">
        <v>10.41</v>
      </c>
      <c r="Y203" s="11">
        <f t="shared" si="28"/>
        <v>25.73</v>
      </c>
      <c r="Z203" s="11">
        <f t="shared" si="29"/>
        <v>-3.7699999999999996</v>
      </c>
      <c r="AA203" s="12">
        <f t="shared" si="30"/>
        <v>-0.17167577413479052</v>
      </c>
      <c r="AB203" s="13">
        <f t="shared" si="31"/>
        <v>2.5039908779931586</v>
      </c>
      <c r="AC203" t="s">
        <v>155</v>
      </c>
    </row>
    <row r="204" spans="1:29" ht="14.25" customHeight="1" x14ac:dyDescent="0.45">
      <c r="A204" t="s">
        <v>327</v>
      </c>
      <c r="B204" s="10">
        <v>45843</v>
      </c>
      <c r="C204">
        <v>2025</v>
      </c>
      <c r="D204">
        <v>7</v>
      </c>
      <c r="E204" t="s">
        <v>77</v>
      </c>
      <c r="F204" t="s">
        <v>78</v>
      </c>
      <c r="G204" t="s">
        <v>79</v>
      </c>
      <c r="H204" t="s">
        <v>61</v>
      </c>
      <c r="I204" t="s">
        <v>87</v>
      </c>
      <c r="J204" t="s">
        <v>88</v>
      </c>
      <c r="K204" t="s">
        <v>89</v>
      </c>
      <c r="L204" t="s">
        <v>90</v>
      </c>
      <c r="M204" s="11">
        <v>61.16</v>
      </c>
      <c r="N204" s="11">
        <v>23.34</v>
      </c>
      <c r="O204" s="11">
        <v>6.45</v>
      </c>
      <c r="P204" s="11">
        <v>0.03</v>
      </c>
      <c r="Q204" s="11">
        <v>23.42</v>
      </c>
      <c r="R204" s="11">
        <v>3</v>
      </c>
      <c r="S204" s="11">
        <f t="shared" si="24"/>
        <v>183.48</v>
      </c>
      <c r="T204" s="11">
        <f t="shared" si="25"/>
        <v>70.02</v>
      </c>
      <c r="U204" s="11">
        <f t="shared" si="26"/>
        <v>19.350000000000001</v>
      </c>
      <c r="V204" s="11">
        <f t="shared" si="27"/>
        <v>5.5</v>
      </c>
      <c r="W204" s="11" t="s">
        <v>154</v>
      </c>
      <c r="X204" s="11">
        <v>112.73</v>
      </c>
      <c r="Y204" s="11">
        <f t="shared" si="28"/>
        <v>231.02</v>
      </c>
      <c r="Z204" s="11">
        <f t="shared" si="29"/>
        <v>-47.54000000000002</v>
      </c>
      <c r="AA204" s="12">
        <f t="shared" si="30"/>
        <v>-0.25910180946152184</v>
      </c>
      <c r="AB204" s="13">
        <f t="shared" si="31"/>
        <v>7.8343296327924836</v>
      </c>
      <c r="AC204" t="s">
        <v>155</v>
      </c>
    </row>
    <row r="205" spans="1:29" ht="14.25" customHeight="1" x14ac:dyDescent="0.45">
      <c r="A205" t="s">
        <v>328</v>
      </c>
      <c r="B205" s="10">
        <v>45846</v>
      </c>
      <c r="C205">
        <v>2025</v>
      </c>
      <c r="D205">
        <v>7</v>
      </c>
      <c r="E205" t="s">
        <v>77</v>
      </c>
      <c r="F205" t="s">
        <v>104</v>
      </c>
      <c r="G205" t="s">
        <v>126</v>
      </c>
      <c r="H205" t="s">
        <v>61</v>
      </c>
      <c r="I205" t="s">
        <v>81</v>
      </c>
      <c r="J205" t="s">
        <v>82</v>
      </c>
      <c r="K205" t="s">
        <v>83</v>
      </c>
      <c r="L205" t="s">
        <v>84</v>
      </c>
      <c r="M205" s="11">
        <v>22.94</v>
      </c>
      <c r="N205" s="11">
        <v>5.85</v>
      </c>
      <c r="O205" s="11">
        <v>3.54</v>
      </c>
      <c r="P205" s="11">
        <v>0.03</v>
      </c>
      <c r="Q205" s="11">
        <v>7.87</v>
      </c>
      <c r="R205" s="11">
        <v>1</v>
      </c>
      <c r="S205" s="11">
        <f t="shared" si="24"/>
        <v>22.94</v>
      </c>
      <c r="T205" s="11">
        <f t="shared" si="25"/>
        <v>5.85</v>
      </c>
      <c r="U205" s="11">
        <f t="shared" si="26"/>
        <v>3.54</v>
      </c>
      <c r="V205" s="11">
        <f t="shared" si="27"/>
        <v>0.69</v>
      </c>
      <c r="W205" s="11" t="s">
        <v>66</v>
      </c>
      <c r="X205" s="11">
        <v>0</v>
      </c>
      <c r="Y205" s="11">
        <f t="shared" si="28"/>
        <v>17.95</v>
      </c>
      <c r="Z205" s="11">
        <f t="shared" si="29"/>
        <v>4.990000000000002</v>
      </c>
      <c r="AA205" s="12">
        <f t="shared" si="30"/>
        <v>0.21752397558849179</v>
      </c>
      <c r="AB205" s="13">
        <f t="shared" si="31"/>
        <v>2.9148665819567983</v>
      </c>
      <c r="AC205" t="s">
        <v>67</v>
      </c>
    </row>
    <row r="206" spans="1:29" ht="14.25" customHeight="1" x14ac:dyDescent="0.45">
      <c r="A206" t="s">
        <v>329</v>
      </c>
      <c r="B206" s="10">
        <v>45849</v>
      </c>
      <c r="C206">
        <v>2025</v>
      </c>
      <c r="D206">
        <v>7</v>
      </c>
      <c r="E206" t="s">
        <v>77</v>
      </c>
      <c r="F206" t="s">
        <v>102</v>
      </c>
      <c r="G206" t="s">
        <v>60</v>
      </c>
      <c r="H206" t="s">
        <v>61</v>
      </c>
      <c r="I206" t="s">
        <v>97</v>
      </c>
      <c r="J206" t="s">
        <v>98</v>
      </c>
      <c r="K206" t="s">
        <v>99</v>
      </c>
      <c r="L206" t="s">
        <v>100</v>
      </c>
      <c r="M206" s="11">
        <v>34.75</v>
      </c>
      <c r="N206" s="11">
        <v>8.57</v>
      </c>
      <c r="O206" s="11">
        <v>3.77</v>
      </c>
      <c r="P206" s="11">
        <v>0.03</v>
      </c>
      <c r="Q206" s="11">
        <v>1.53</v>
      </c>
      <c r="R206" s="11">
        <v>1</v>
      </c>
      <c r="S206" s="11">
        <f t="shared" si="24"/>
        <v>34.75</v>
      </c>
      <c r="T206" s="11">
        <f t="shared" si="25"/>
        <v>8.57</v>
      </c>
      <c r="U206" s="11">
        <f t="shared" si="26"/>
        <v>3.77</v>
      </c>
      <c r="V206" s="11">
        <f t="shared" si="27"/>
        <v>1.04</v>
      </c>
      <c r="W206" s="11" t="s">
        <v>66</v>
      </c>
      <c r="X206" s="11">
        <v>0</v>
      </c>
      <c r="Y206" s="11">
        <f t="shared" si="28"/>
        <v>14.909999999999998</v>
      </c>
      <c r="Z206" s="11">
        <f t="shared" si="29"/>
        <v>19.840000000000003</v>
      </c>
      <c r="AA206" s="12">
        <f t="shared" si="30"/>
        <v>0.57093525179856119</v>
      </c>
      <c r="AB206" s="13">
        <f t="shared" si="31"/>
        <v>22.712418300653596</v>
      </c>
      <c r="AC206" t="s">
        <v>67</v>
      </c>
    </row>
    <row r="207" spans="1:29" ht="14.25" customHeight="1" x14ac:dyDescent="0.45">
      <c r="A207" t="s">
        <v>330</v>
      </c>
      <c r="B207" s="10">
        <v>45850</v>
      </c>
      <c r="C207">
        <v>2025</v>
      </c>
      <c r="D207">
        <v>7</v>
      </c>
      <c r="E207" t="s">
        <v>77</v>
      </c>
      <c r="F207" t="s">
        <v>78</v>
      </c>
      <c r="G207" t="s">
        <v>105</v>
      </c>
      <c r="H207" t="s">
        <v>61</v>
      </c>
      <c r="I207" t="s">
        <v>138</v>
      </c>
      <c r="J207" t="s">
        <v>139</v>
      </c>
      <c r="K207" t="s">
        <v>89</v>
      </c>
      <c r="L207" t="s">
        <v>140</v>
      </c>
      <c r="M207" s="11">
        <v>43.99</v>
      </c>
      <c r="N207" s="11">
        <v>8.67</v>
      </c>
      <c r="O207" s="11">
        <v>4.37</v>
      </c>
      <c r="P207" s="11">
        <v>0.03</v>
      </c>
      <c r="Q207" s="11">
        <v>6.56</v>
      </c>
      <c r="R207" s="11">
        <v>2</v>
      </c>
      <c r="S207" s="11">
        <f t="shared" si="24"/>
        <v>87.98</v>
      </c>
      <c r="T207" s="11">
        <f t="shared" si="25"/>
        <v>17.34</v>
      </c>
      <c r="U207" s="11">
        <f t="shared" si="26"/>
        <v>8.74</v>
      </c>
      <c r="V207" s="11">
        <f t="shared" si="27"/>
        <v>2.64</v>
      </c>
      <c r="W207" s="11" t="s">
        <v>66</v>
      </c>
      <c r="X207" s="11">
        <v>0</v>
      </c>
      <c r="Y207" s="11">
        <f t="shared" si="28"/>
        <v>35.28</v>
      </c>
      <c r="Z207" s="11">
        <f t="shared" si="29"/>
        <v>52.7</v>
      </c>
      <c r="AA207" s="12">
        <f t="shared" si="30"/>
        <v>0.59899977267560811</v>
      </c>
      <c r="AB207" s="13">
        <f t="shared" si="31"/>
        <v>13.411585365853661</v>
      </c>
      <c r="AC207" t="s">
        <v>67</v>
      </c>
    </row>
    <row r="208" spans="1:29" ht="14.25" customHeight="1" x14ac:dyDescent="0.45">
      <c r="A208" t="s">
        <v>331</v>
      </c>
      <c r="B208" s="10">
        <v>45850</v>
      </c>
      <c r="C208">
        <v>2025</v>
      </c>
      <c r="D208">
        <v>7</v>
      </c>
      <c r="E208" t="s">
        <v>95</v>
      </c>
      <c r="F208" t="s">
        <v>96</v>
      </c>
      <c r="G208" t="s">
        <v>79</v>
      </c>
      <c r="H208" t="s">
        <v>127</v>
      </c>
      <c r="I208" t="s">
        <v>62</v>
      </c>
      <c r="J208" t="s">
        <v>63</v>
      </c>
      <c r="K208" t="s">
        <v>64</v>
      </c>
      <c r="L208" t="s">
        <v>65</v>
      </c>
      <c r="M208" s="11">
        <v>33.43</v>
      </c>
      <c r="N208" s="11">
        <v>10.61</v>
      </c>
      <c r="O208" s="11">
        <v>4.1900000000000004</v>
      </c>
      <c r="P208" s="11">
        <v>0.03</v>
      </c>
      <c r="Q208" s="11">
        <v>16.98</v>
      </c>
      <c r="R208" s="11">
        <v>2</v>
      </c>
      <c r="S208" s="11">
        <f t="shared" si="24"/>
        <v>66.86</v>
      </c>
      <c r="T208" s="11">
        <f t="shared" si="25"/>
        <v>21.22</v>
      </c>
      <c r="U208" s="11">
        <f t="shared" si="26"/>
        <v>8.3800000000000008</v>
      </c>
      <c r="V208" s="11">
        <f t="shared" si="27"/>
        <v>2.0099999999999998</v>
      </c>
      <c r="W208" s="11" t="s">
        <v>66</v>
      </c>
      <c r="X208" s="11">
        <v>0</v>
      </c>
      <c r="Y208" s="11">
        <f t="shared" si="28"/>
        <v>48.59</v>
      </c>
      <c r="Z208" s="11">
        <f t="shared" si="29"/>
        <v>18.269999999999996</v>
      </c>
      <c r="AA208" s="12">
        <f t="shared" si="30"/>
        <v>0.27325755309602145</v>
      </c>
      <c r="AB208" s="13">
        <f t="shared" si="31"/>
        <v>3.9375736160188457</v>
      </c>
      <c r="AC208" t="s">
        <v>67</v>
      </c>
    </row>
    <row r="209" spans="1:29" ht="14.25" customHeight="1" x14ac:dyDescent="0.45">
      <c r="A209" t="s">
        <v>332</v>
      </c>
      <c r="B209" s="10">
        <v>45851</v>
      </c>
      <c r="C209">
        <v>2025</v>
      </c>
      <c r="D209">
        <v>7</v>
      </c>
      <c r="E209" t="s">
        <v>77</v>
      </c>
      <c r="F209" t="s">
        <v>78</v>
      </c>
      <c r="G209" t="s">
        <v>71</v>
      </c>
      <c r="H209" t="s">
        <v>112</v>
      </c>
      <c r="I209" t="s">
        <v>62</v>
      </c>
      <c r="J209" t="s">
        <v>63</v>
      </c>
      <c r="K209" t="s">
        <v>64</v>
      </c>
      <c r="L209" t="s">
        <v>65</v>
      </c>
      <c r="M209" s="11">
        <v>34.479999999999997</v>
      </c>
      <c r="N209" s="11">
        <v>10.41</v>
      </c>
      <c r="O209" s="11">
        <v>4.45</v>
      </c>
      <c r="P209" s="11">
        <v>0.03</v>
      </c>
      <c r="Q209" s="11">
        <v>0</v>
      </c>
      <c r="R209" s="11">
        <v>1</v>
      </c>
      <c r="S209" s="11">
        <f t="shared" si="24"/>
        <v>34.479999999999997</v>
      </c>
      <c r="T209" s="11">
        <f t="shared" si="25"/>
        <v>10.41</v>
      </c>
      <c r="U209" s="11">
        <f t="shared" si="26"/>
        <v>4.45</v>
      </c>
      <c r="V209" s="11">
        <f t="shared" si="27"/>
        <v>1.03</v>
      </c>
      <c r="W209" s="11" t="s">
        <v>66</v>
      </c>
      <c r="X209" s="11">
        <v>0</v>
      </c>
      <c r="Y209" s="11">
        <f t="shared" si="28"/>
        <v>15.889999999999999</v>
      </c>
      <c r="Z209" s="11">
        <f t="shared" si="29"/>
        <v>18.589999999999996</v>
      </c>
      <c r="AA209" s="12">
        <f t="shared" si="30"/>
        <v>0.53915313225058004</v>
      </c>
      <c r="AB209" s="13">
        <f t="shared" si="31"/>
        <v>0</v>
      </c>
      <c r="AC209" t="s">
        <v>67</v>
      </c>
    </row>
    <row r="210" spans="1:29" ht="14.25" customHeight="1" x14ac:dyDescent="0.45">
      <c r="A210" t="s">
        <v>333</v>
      </c>
      <c r="B210" s="10">
        <v>45852</v>
      </c>
      <c r="C210">
        <v>2025</v>
      </c>
      <c r="D210">
        <v>7</v>
      </c>
      <c r="E210" t="s">
        <v>95</v>
      </c>
      <c r="F210" t="s">
        <v>96</v>
      </c>
      <c r="G210" t="s">
        <v>60</v>
      </c>
      <c r="H210" t="s">
        <v>112</v>
      </c>
      <c r="I210" t="s">
        <v>147</v>
      </c>
      <c r="J210" t="s">
        <v>148</v>
      </c>
      <c r="K210" t="s">
        <v>149</v>
      </c>
      <c r="L210" t="s">
        <v>150</v>
      </c>
      <c r="M210" s="11">
        <v>30.75</v>
      </c>
      <c r="N210" s="11">
        <v>7.37</v>
      </c>
      <c r="O210" s="11">
        <v>4.74</v>
      </c>
      <c r="P210" s="11">
        <v>0.03</v>
      </c>
      <c r="Q210" s="11">
        <v>1.6</v>
      </c>
      <c r="R210" s="11">
        <v>1</v>
      </c>
      <c r="S210" s="11">
        <f t="shared" si="24"/>
        <v>30.75</v>
      </c>
      <c r="T210" s="11">
        <f t="shared" si="25"/>
        <v>7.37</v>
      </c>
      <c r="U210" s="11">
        <f t="shared" si="26"/>
        <v>4.74</v>
      </c>
      <c r="V210" s="11">
        <f t="shared" si="27"/>
        <v>0.92</v>
      </c>
      <c r="W210" s="11" t="s">
        <v>66</v>
      </c>
      <c r="X210" s="11">
        <v>0</v>
      </c>
      <c r="Y210" s="11">
        <f t="shared" si="28"/>
        <v>14.629999999999999</v>
      </c>
      <c r="Z210" s="11">
        <f t="shared" si="29"/>
        <v>16.12</v>
      </c>
      <c r="AA210" s="12">
        <f t="shared" si="30"/>
        <v>0.52422764227642282</v>
      </c>
      <c r="AB210" s="13">
        <f t="shared" si="31"/>
        <v>19.21875</v>
      </c>
      <c r="AC210" t="s">
        <v>67</v>
      </c>
    </row>
    <row r="211" spans="1:29" ht="14.25" customHeight="1" x14ac:dyDescent="0.45">
      <c r="A211" t="s">
        <v>334</v>
      </c>
      <c r="B211" s="10">
        <v>45856</v>
      </c>
      <c r="C211">
        <v>2025</v>
      </c>
      <c r="D211">
        <v>7</v>
      </c>
      <c r="E211" t="s">
        <v>58</v>
      </c>
      <c r="F211" t="s">
        <v>92</v>
      </c>
      <c r="G211" t="s">
        <v>105</v>
      </c>
      <c r="H211" t="s">
        <v>80</v>
      </c>
      <c r="I211" t="s">
        <v>107</v>
      </c>
      <c r="J211" t="s">
        <v>108</v>
      </c>
      <c r="K211" t="s">
        <v>109</v>
      </c>
      <c r="L211" t="s">
        <v>110</v>
      </c>
      <c r="M211" s="11">
        <v>18.46</v>
      </c>
      <c r="N211" s="11">
        <v>3.44</v>
      </c>
      <c r="O211" s="11">
        <v>2.4</v>
      </c>
      <c r="P211" s="11">
        <v>0.03</v>
      </c>
      <c r="Q211" s="11">
        <v>6.18</v>
      </c>
      <c r="R211" s="11">
        <v>1</v>
      </c>
      <c r="S211" s="11">
        <f t="shared" si="24"/>
        <v>18.46</v>
      </c>
      <c r="T211" s="11">
        <f t="shared" si="25"/>
        <v>3.44</v>
      </c>
      <c r="U211" s="11">
        <f t="shared" si="26"/>
        <v>2.4</v>
      </c>
      <c r="V211" s="11">
        <f t="shared" si="27"/>
        <v>0.55000000000000004</v>
      </c>
      <c r="W211" s="11" t="s">
        <v>66</v>
      </c>
      <c r="X211" s="11">
        <v>0</v>
      </c>
      <c r="Y211" s="11">
        <f t="shared" si="28"/>
        <v>12.57</v>
      </c>
      <c r="Z211" s="11">
        <f t="shared" si="29"/>
        <v>5.8900000000000006</v>
      </c>
      <c r="AA211" s="12">
        <f t="shared" si="30"/>
        <v>0.31906825568797403</v>
      </c>
      <c r="AB211" s="13">
        <f t="shared" si="31"/>
        <v>2.9870550161812299</v>
      </c>
      <c r="AC211" t="s">
        <v>67</v>
      </c>
    </row>
    <row r="212" spans="1:29" ht="14.25" customHeight="1" x14ac:dyDescent="0.45">
      <c r="A212" t="s">
        <v>335</v>
      </c>
      <c r="B212" s="10">
        <v>45857</v>
      </c>
      <c r="C212">
        <v>2025</v>
      </c>
      <c r="D212">
        <v>7</v>
      </c>
      <c r="E212" t="s">
        <v>58</v>
      </c>
      <c r="F212" t="s">
        <v>59</v>
      </c>
      <c r="G212" t="s">
        <v>60</v>
      </c>
      <c r="H212" t="s">
        <v>127</v>
      </c>
      <c r="I212" t="s">
        <v>113</v>
      </c>
      <c r="J212" t="s">
        <v>114</v>
      </c>
      <c r="K212" t="s">
        <v>115</v>
      </c>
      <c r="L212" t="s">
        <v>116</v>
      </c>
      <c r="M212" s="11">
        <v>47.98</v>
      </c>
      <c r="N212" s="11">
        <v>16.2</v>
      </c>
      <c r="O212" s="11">
        <v>6.15</v>
      </c>
      <c r="P212" s="11">
        <v>0.03</v>
      </c>
      <c r="Q212" s="11">
        <v>7.74</v>
      </c>
      <c r="R212" s="11">
        <v>3</v>
      </c>
      <c r="S212" s="11">
        <f t="shared" si="24"/>
        <v>0</v>
      </c>
      <c r="T212" s="11">
        <f t="shared" si="25"/>
        <v>0</v>
      </c>
      <c r="U212" s="11">
        <f t="shared" si="26"/>
        <v>0</v>
      </c>
      <c r="V212" s="11">
        <f t="shared" si="27"/>
        <v>0</v>
      </c>
      <c r="W212" s="11" t="s">
        <v>66</v>
      </c>
      <c r="X212" s="11">
        <v>0</v>
      </c>
      <c r="Y212" s="11">
        <f t="shared" si="28"/>
        <v>0</v>
      </c>
      <c r="Z212" s="11">
        <f t="shared" si="29"/>
        <v>-7.74</v>
      </c>
      <c r="AA212" s="12">
        <f t="shared" si="30"/>
        <v>0</v>
      </c>
      <c r="AB212" s="13">
        <f t="shared" si="31"/>
        <v>0</v>
      </c>
      <c r="AC212" t="s">
        <v>166</v>
      </c>
    </row>
    <row r="213" spans="1:29" ht="14.25" customHeight="1" x14ac:dyDescent="0.45">
      <c r="A213" t="s">
        <v>336</v>
      </c>
      <c r="B213" s="10">
        <v>45857</v>
      </c>
      <c r="C213">
        <v>2025</v>
      </c>
      <c r="D213">
        <v>7</v>
      </c>
      <c r="E213" t="s">
        <v>122</v>
      </c>
      <c r="F213" t="s">
        <v>123</v>
      </c>
      <c r="G213" t="s">
        <v>93</v>
      </c>
      <c r="H213" t="s">
        <v>112</v>
      </c>
      <c r="I213" t="s">
        <v>81</v>
      </c>
      <c r="J213" t="s">
        <v>82</v>
      </c>
      <c r="K213" t="s">
        <v>83</v>
      </c>
      <c r="L213" t="s">
        <v>84</v>
      </c>
      <c r="M213" s="11">
        <v>25.13</v>
      </c>
      <c r="N213" s="11">
        <v>6.46</v>
      </c>
      <c r="O213" s="11">
        <v>3.51</v>
      </c>
      <c r="P213" s="11">
        <v>0.03</v>
      </c>
      <c r="Q213" s="11">
        <v>6.4</v>
      </c>
      <c r="R213" s="11">
        <v>1</v>
      </c>
      <c r="S213" s="11">
        <f t="shared" si="24"/>
        <v>25.13</v>
      </c>
      <c r="T213" s="11">
        <f t="shared" si="25"/>
        <v>6.46</v>
      </c>
      <c r="U213" s="11">
        <f t="shared" si="26"/>
        <v>3.51</v>
      </c>
      <c r="V213" s="11">
        <f t="shared" si="27"/>
        <v>0.75</v>
      </c>
      <c r="W213" s="11" t="s">
        <v>66</v>
      </c>
      <c r="X213" s="11">
        <v>0</v>
      </c>
      <c r="Y213" s="11">
        <f t="shared" si="28"/>
        <v>17.119999999999997</v>
      </c>
      <c r="Z213" s="11">
        <f t="shared" si="29"/>
        <v>8.0100000000000016</v>
      </c>
      <c r="AA213" s="12">
        <f t="shared" si="30"/>
        <v>0.31874253879824915</v>
      </c>
      <c r="AB213" s="13">
        <f t="shared" si="31"/>
        <v>3.9265624999999997</v>
      </c>
      <c r="AC213" t="s">
        <v>67</v>
      </c>
    </row>
    <row r="214" spans="1:29" ht="14.25" customHeight="1" x14ac:dyDescent="0.45">
      <c r="A214" t="s">
        <v>337</v>
      </c>
      <c r="B214" s="10">
        <v>45859</v>
      </c>
      <c r="C214">
        <v>2025</v>
      </c>
      <c r="D214">
        <v>7</v>
      </c>
      <c r="E214" t="s">
        <v>69</v>
      </c>
      <c r="F214" t="s">
        <v>70</v>
      </c>
      <c r="G214" t="s">
        <v>93</v>
      </c>
      <c r="H214" t="s">
        <v>80</v>
      </c>
      <c r="I214" t="s">
        <v>138</v>
      </c>
      <c r="J214" t="s">
        <v>139</v>
      </c>
      <c r="K214" t="s">
        <v>89</v>
      </c>
      <c r="L214" t="s">
        <v>140</v>
      </c>
      <c r="M214" s="11">
        <v>42.11</v>
      </c>
      <c r="N214" s="11">
        <v>8.41</v>
      </c>
      <c r="O214" s="11">
        <v>4.26</v>
      </c>
      <c r="P214" s="11">
        <v>0.03</v>
      </c>
      <c r="Q214" s="11">
        <v>10.56</v>
      </c>
      <c r="R214" s="11">
        <v>2</v>
      </c>
      <c r="S214" s="11">
        <f t="shared" si="24"/>
        <v>84.22</v>
      </c>
      <c r="T214" s="11">
        <f t="shared" si="25"/>
        <v>16.82</v>
      </c>
      <c r="U214" s="11">
        <f t="shared" si="26"/>
        <v>8.52</v>
      </c>
      <c r="V214" s="11">
        <f t="shared" si="27"/>
        <v>2.5299999999999998</v>
      </c>
      <c r="W214" s="11" t="s">
        <v>66</v>
      </c>
      <c r="X214" s="11">
        <v>0</v>
      </c>
      <c r="Y214" s="11">
        <f t="shared" si="28"/>
        <v>38.43</v>
      </c>
      <c r="Z214" s="11">
        <f t="shared" si="29"/>
        <v>45.79</v>
      </c>
      <c r="AA214" s="12">
        <f t="shared" si="30"/>
        <v>0.54369508430301594</v>
      </c>
      <c r="AB214" s="13">
        <f t="shared" si="31"/>
        <v>7.9753787878787872</v>
      </c>
      <c r="AC214" t="s">
        <v>67</v>
      </c>
    </row>
    <row r="215" spans="1:29" ht="14.25" customHeight="1" x14ac:dyDescent="0.45">
      <c r="A215" t="s">
        <v>338</v>
      </c>
      <c r="B215" s="10">
        <v>45862</v>
      </c>
      <c r="C215">
        <v>2025</v>
      </c>
      <c r="D215">
        <v>7</v>
      </c>
      <c r="E215" t="s">
        <v>77</v>
      </c>
      <c r="F215" t="s">
        <v>78</v>
      </c>
      <c r="G215" t="s">
        <v>93</v>
      </c>
      <c r="H215" t="s">
        <v>86</v>
      </c>
      <c r="I215" t="s">
        <v>97</v>
      </c>
      <c r="J215" t="s">
        <v>98</v>
      </c>
      <c r="K215" t="s">
        <v>99</v>
      </c>
      <c r="L215" t="s">
        <v>100</v>
      </c>
      <c r="M215" s="11">
        <v>33.880000000000003</v>
      </c>
      <c r="N215" s="11">
        <v>9.01</v>
      </c>
      <c r="O215" s="11">
        <v>4.25</v>
      </c>
      <c r="P215" s="11">
        <v>0.03</v>
      </c>
      <c r="Q215" s="11">
        <v>16.52</v>
      </c>
      <c r="R215" s="11">
        <v>2</v>
      </c>
      <c r="S215" s="11">
        <f t="shared" si="24"/>
        <v>67.760000000000005</v>
      </c>
      <c r="T215" s="11">
        <f t="shared" si="25"/>
        <v>18.02</v>
      </c>
      <c r="U215" s="11">
        <f t="shared" si="26"/>
        <v>8.5</v>
      </c>
      <c r="V215" s="11">
        <f t="shared" si="27"/>
        <v>2.0299999999999998</v>
      </c>
      <c r="W215" s="11" t="s">
        <v>66</v>
      </c>
      <c r="X215" s="11">
        <v>0</v>
      </c>
      <c r="Y215" s="11">
        <f t="shared" si="28"/>
        <v>45.07</v>
      </c>
      <c r="Z215" s="11">
        <f t="shared" si="29"/>
        <v>22.690000000000005</v>
      </c>
      <c r="AA215" s="12">
        <f t="shared" si="30"/>
        <v>0.33485832349468719</v>
      </c>
      <c r="AB215" s="13">
        <f t="shared" si="31"/>
        <v>4.1016949152542379</v>
      </c>
      <c r="AC215" t="s">
        <v>67</v>
      </c>
    </row>
    <row r="216" spans="1:29" ht="14.25" customHeight="1" x14ac:dyDescent="0.45">
      <c r="A216" t="s">
        <v>339</v>
      </c>
      <c r="B216" s="10">
        <v>45862</v>
      </c>
      <c r="C216">
        <v>2025</v>
      </c>
      <c r="D216">
        <v>7</v>
      </c>
      <c r="E216" t="s">
        <v>58</v>
      </c>
      <c r="F216" t="s">
        <v>59</v>
      </c>
      <c r="G216" t="s">
        <v>126</v>
      </c>
      <c r="H216" t="s">
        <v>80</v>
      </c>
      <c r="I216" t="s">
        <v>72</v>
      </c>
      <c r="J216" t="s">
        <v>73</v>
      </c>
      <c r="K216" t="s">
        <v>74</v>
      </c>
      <c r="L216" t="s">
        <v>75</v>
      </c>
      <c r="M216" s="11">
        <v>41.05</v>
      </c>
      <c r="N216" s="11">
        <v>13.86</v>
      </c>
      <c r="O216" s="11">
        <v>6.27</v>
      </c>
      <c r="P216" s="11">
        <v>0.03</v>
      </c>
      <c r="Q216" s="11">
        <v>12.39</v>
      </c>
      <c r="R216" s="11">
        <v>3</v>
      </c>
      <c r="S216" s="11">
        <f t="shared" si="24"/>
        <v>123.14999999999999</v>
      </c>
      <c r="T216" s="11">
        <f t="shared" si="25"/>
        <v>41.58</v>
      </c>
      <c r="U216" s="11">
        <f t="shared" si="26"/>
        <v>18.809999999999999</v>
      </c>
      <c r="V216" s="11">
        <f t="shared" si="27"/>
        <v>3.69</v>
      </c>
      <c r="W216" s="11" t="s">
        <v>66</v>
      </c>
      <c r="X216" s="11">
        <v>0</v>
      </c>
      <c r="Y216" s="11">
        <f t="shared" si="28"/>
        <v>76.47</v>
      </c>
      <c r="Z216" s="11">
        <f t="shared" si="29"/>
        <v>46.679999999999993</v>
      </c>
      <c r="AA216" s="12">
        <f t="shared" si="30"/>
        <v>0.37904993909866014</v>
      </c>
      <c r="AB216" s="13">
        <f t="shared" si="31"/>
        <v>9.9394673123486665</v>
      </c>
      <c r="AC216" t="s">
        <v>67</v>
      </c>
    </row>
    <row r="217" spans="1:29" ht="14.25" customHeight="1" x14ac:dyDescent="0.45">
      <c r="A217" t="s">
        <v>340</v>
      </c>
      <c r="B217" s="10">
        <v>45862</v>
      </c>
      <c r="C217">
        <v>2025</v>
      </c>
      <c r="D217">
        <v>7</v>
      </c>
      <c r="E217" t="s">
        <v>69</v>
      </c>
      <c r="F217" t="s">
        <v>70</v>
      </c>
      <c r="G217" t="s">
        <v>126</v>
      </c>
      <c r="H217" t="s">
        <v>80</v>
      </c>
      <c r="I217" t="s">
        <v>138</v>
      </c>
      <c r="J217" t="s">
        <v>139</v>
      </c>
      <c r="K217" t="s">
        <v>89</v>
      </c>
      <c r="L217" t="s">
        <v>140</v>
      </c>
      <c r="M217" s="11">
        <v>44.01</v>
      </c>
      <c r="N217" s="11">
        <v>8.1999999999999993</v>
      </c>
      <c r="O217" s="11">
        <v>3.75</v>
      </c>
      <c r="P217" s="11">
        <v>0.03</v>
      </c>
      <c r="Q217" s="11">
        <v>8.4</v>
      </c>
      <c r="R217" s="11">
        <v>1</v>
      </c>
      <c r="S217" s="11">
        <f t="shared" si="24"/>
        <v>44.01</v>
      </c>
      <c r="T217" s="11">
        <f t="shared" si="25"/>
        <v>8.1999999999999993</v>
      </c>
      <c r="U217" s="11">
        <f t="shared" si="26"/>
        <v>3.75</v>
      </c>
      <c r="V217" s="11">
        <f t="shared" si="27"/>
        <v>1.32</v>
      </c>
      <c r="W217" s="11" t="s">
        <v>66</v>
      </c>
      <c r="X217" s="11">
        <v>0</v>
      </c>
      <c r="Y217" s="11">
        <f t="shared" si="28"/>
        <v>21.67</v>
      </c>
      <c r="Z217" s="11">
        <f t="shared" si="29"/>
        <v>22.339999999999996</v>
      </c>
      <c r="AA217" s="12">
        <f t="shared" si="30"/>
        <v>0.50761190638491249</v>
      </c>
      <c r="AB217" s="13">
        <f t="shared" si="31"/>
        <v>5.2392857142857139</v>
      </c>
      <c r="AC217" t="s">
        <v>67</v>
      </c>
    </row>
    <row r="218" spans="1:29" ht="14.25" customHeight="1" x14ac:dyDescent="0.45">
      <c r="A218" t="s">
        <v>341</v>
      </c>
      <c r="B218" s="10">
        <v>45865</v>
      </c>
      <c r="C218">
        <v>2025</v>
      </c>
      <c r="D218">
        <v>7</v>
      </c>
      <c r="E218" t="s">
        <v>58</v>
      </c>
      <c r="F218" t="s">
        <v>59</v>
      </c>
      <c r="G218" t="s">
        <v>105</v>
      </c>
      <c r="H218" t="s">
        <v>61</v>
      </c>
      <c r="I218" t="s">
        <v>107</v>
      </c>
      <c r="J218" t="s">
        <v>108</v>
      </c>
      <c r="K218" t="s">
        <v>109</v>
      </c>
      <c r="L218" t="s">
        <v>110</v>
      </c>
      <c r="M218" s="11">
        <v>18.739999999999998</v>
      </c>
      <c r="N218" s="11">
        <v>3.51</v>
      </c>
      <c r="O218" s="11">
        <v>2.7</v>
      </c>
      <c r="P218" s="11">
        <v>0.03</v>
      </c>
      <c r="Q218" s="11">
        <v>5.48</v>
      </c>
      <c r="R218" s="11">
        <v>1</v>
      </c>
      <c r="S218" s="11">
        <f t="shared" si="24"/>
        <v>18.739999999999998</v>
      </c>
      <c r="T218" s="11">
        <f t="shared" si="25"/>
        <v>3.51</v>
      </c>
      <c r="U218" s="11">
        <f t="shared" si="26"/>
        <v>2.7</v>
      </c>
      <c r="V218" s="11">
        <f t="shared" si="27"/>
        <v>0.56000000000000005</v>
      </c>
      <c r="W218" s="11" t="s">
        <v>66</v>
      </c>
      <c r="X218" s="11">
        <v>0</v>
      </c>
      <c r="Y218" s="11">
        <f t="shared" si="28"/>
        <v>12.25</v>
      </c>
      <c r="Z218" s="11">
        <f t="shared" si="29"/>
        <v>6.4899999999999984</v>
      </c>
      <c r="AA218" s="12">
        <f t="shared" si="30"/>
        <v>0.34631803628601915</v>
      </c>
      <c r="AB218" s="13">
        <f t="shared" si="31"/>
        <v>3.4197080291970798</v>
      </c>
      <c r="AC218" t="s">
        <v>67</v>
      </c>
    </row>
    <row r="219" spans="1:29" ht="14.25" customHeight="1" x14ac:dyDescent="0.45">
      <c r="A219" t="s">
        <v>342</v>
      </c>
      <c r="B219" s="10">
        <v>45868</v>
      </c>
      <c r="C219">
        <v>2025</v>
      </c>
      <c r="D219">
        <v>7</v>
      </c>
      <c r="E219" t="s">
        <v>77</v>
      </c>
      <c r="F219" t="s">
        <v>78</v>
      </c>
      <c r="G219" t="s">
        <v>79</v>
      </c>
      <c r="H219" t="s">
        <v>112</v>
      </c>
      <c r="I219" t="s">
        <v>81</v>
      </c>
      <c r="J219" t="s">
        <v>82</v>
      </c>
      <c r="K219" t="s">
        <v>83</v>
      </c>
      <c r="L219" t="s">
        <v>84</v>
      </c>
      <c r="M219" s="11">
        <v>27.05</v>
      </c>
      <c r="N219" s="11">
        <v>6.24</v>
      </c>
      <c r="O219" s="11">
        <v>3.38</v>
      </c>
      <c r="P219" s="11">
        <v>0.03</v>
      </c>
      <c r="Q219" s="11">
        <v>14.93</v>
      </c>
      <c r="R219" s="11">
        <v>2</v>
      </c>
      <c r="S219" s="11">
        <f t="shared" si="24"/>
        <v>54.1</v>
      </c>
      <c r="T219" s="11">
        <f t="shared" si="25"/>
        <v>12.48</v>
      </c>
      <c r="U219" s="11">
        <f t="shared" si="26"/>
        <v>6.76</v>
      </c>
      <c r="V219" s="11">
        <f t="shared" si="27"/>
        <v>1.62</v>
      </c>
      <c r="W219" s="11" t="s">
        <v>66</v>
      </c>
      <c r="X219" s="11">
        <v>0</v>
      </c>
      <c r="Y219" s="11">
        <f t="shared" si="28"/>
        <v>35.790000000000006</v>
      </c>
      <c r="Z219" s="11">
        <f t="shared" si="29"/>
        <v>18.309999999999995</v>
      </c>
      <c r="AA219" s="12">
        <f t="shared" si="30"/>
        <v>0.33844731977818843</v>
      </c>
      <c r="AB219" s="13">
        <f t="shared" si="31"/>
        <v>3.6235766912257201</v>
      </c>
      <c r="AC219" t="s">
        <v>67</v>
      </c>
    </row>
    <row r="220" spans="1:29" ht="14.25" customHeight="1" x14ac:dyDescent="0.45">
      <c r="A220" t="s">
        <v>343</v>
      </c>
      <c r="B220" s="10">
        <v>45869</v>
      </c>
      <c r="C220">
        <v>2025</v>
      </c>
      <c r="D220">
        <v>7</v>
      </c>
      <c r="E220" t="s">
        <v>58</v>
      </c>
      <c r="F220" t="s">
        <v>92</v>
      </c>
      <c r="G220" t="s">
        <v>126</v>
      </c>
      <c r="H220" t="s">
        <v>127</v>
      </c>
      <c r="I220" t="s">
        <v>97</v>
      </c>
      <c r="J220" t="s">
        <v>98</v>
      </c>
      <c r="K220" t="s">
        <v>99</v>
      </c>
      <c r="L220" t="s">
        <v>100</v>
      </c>
      <c r="M220" s="11">
        <v>31.61</v>
      </c>
      <c r="N220" s="11">
        <v>9.18</v>
      </c>
      <c r="O220" s="11">
        <v>4.07</v>
      </c>
      <c r="P220" s="11">
        <v>0.03</v>
      </c>
      <c r="Q220" s="11">
        <v>6.28</v>
      </c>
      <c r="R220" s="11">
        <v>1</v>
      </c>
      <c r="S220" s="11">
        <f t="shared" si="24"/>
        <v>31.61</v>
      </c>
      <c r="T220" s="11">
        <f t="shared" si="25"/>
        <v>9.18</v>
      </c>
      <c r="U220" s="11">
        <f t="shared" si="26"/>
        <v>4.07</v>
      </c>
      <c r="V220" s="11">
        <f t="shared" si="27"/>
        <v>0.95</v>
      </c>
      <c r="W220" s="11" t="s">
        <v>66</v>
      </c>
      <c r="X220" s="11">
        <v>0</v>
      </c>
      <c r="Y220" s="11">
        <f t="shared" si="28"/>
        <v>20.48</v>
      </c>
      <c r="Z220" s="11">
        <f t="shared" si="29"/>
        <v>11.129999999999999</v>
      </c>
      <c r="AA220" s="12">
        <f t="shared" si="30"/>
        <v>0.35210376463144571</v>
      </c>
      <c r="AB220" s="13">
        <f t="shared" si="31"/>
        <v>5.0334394904458595</v>
      </c>
      <c r="AC220" t="s">
        <v>67</v>
      </c>
    </row>
    <row r="221" spans="1:29" ht="14.25" customHeight="1" x14ac:dyDescent="0.45">
      <c r="A221" t="s">
        <v>344</v>
      </c>
      <c r="B221" s="10">
        <v>45870</v>
      </c>
      <c r="C221">
        <v>2025</v>
      </c>
      <c r="D221">
        <v>8</v>
      </c>
      <c r="E221" t="s">
        <v>122</v>
      </c>
      <c r="F221" t="s">
        <v>123</v>
      </c>
      <c r="G221" t="s">
        <v>93</v>
      </c>
      <c r="H221" t="s">
        <v>80</v>
      </c>
      <c r="I221" t="s">
        <v>147</v>
      </c>
      <c r="J221" t="s">
        <v>148</v>
      </c>
      <c r="K221" t="s">
        <v>149</v>
      </c>
      <c r="L221" t="s">
        <v>150</v>
      </c>
      <c r="M221" s="11">
        <v>28.49</v>
      </c>
      <c r="N221" s="11">
        <v>6.72</v>
      </c>
      <c r="O221" s="11">
        <v>4.33</v>
      </c>
      <c r="P221" s="11">
        <v>0.03</v>
      </c>
      <c r="Q221" s="11">
        <v>9.2799999999999994</v>
      </c>
      <c r="R221" s="11">
        <v>2</v>
      </c>
      <c r="S221" s="11">
        <f t="shared" si="24"/>
        <v>56.98</v>
      </c>
      <c r="T221" s="11">
        <f t="shared" si="25"/>
        <v>13.44</v>
      </c>
      <c r="U221" s="11">
        <f t="shared" si="26"/>
        <v>8.66</v>
      </c>
      <c r="V221" s="11">
        <f t="shared" si="27"/>
        <v>1.71</v>
      </c>
      <c r="W221" s="11" t="s">
        <v>66</v>
      </c>
      <c r="X221" s="11">
        <v>0</v>
      </c>
      <c r="Y221" s="11">
        <f t="shared" si="28"/>
        <v>33.090000000000003</v>
      </c>
      <c r="Z221" s="11">
        <f t="shared" si="29"/>
        <v>23.889999999999993</v>
      </c>
      <c r="AA221" s="12">
        <f t="shared" si="30"/>
        <v>0.41926991926991919</v>
      </c>
      <c r="AB221" s="13">
        <f t="shared" si="31"/>
        <v>6.1400862068965516</v>
      </c>
      <c r="AC221" t="s">
        <v>67</v>
      </c>
    </row>
    <row r="222" spans="1:29" ht="14.25" customHeight="1" x14ac:dyDescent="0.45">
      <c r="A222" t="s">
        <v>345</v>
      </c>
      <c r="B222" s="10">
        <v>45871</v>
      </c>
      <c r="C222">
        <v>2025</v>
      </c>
      <c r="D222">
        <v>8</v>
      </c>
      <c r="E222" t="s">
        <v>58</v>
      </c>
      <c r="F222" t="s">
        <v>59</v>
      </c>
      <c r="G222" t="s">
        <v>60</v>
      </c>
      <c r="H222" t="s">
        <v>86</v>
      </c>
      <c r="I222" t="s">
        <v>81</v>
      </c>
      <c r="J222" t="s">
        <v>82</v>
      </c>
      <c r="K222" t="s">
        <v>83</v>
      </c>
      <c r="L222" t="s">
        <v>84</v>
      </c>
      <c r="M222" s="11">
        <v>23.9</v>
      </c>
      <c r="N222" s="11">
        <v>5.95</v>
      </c>
      <c r="O222" s="11">
        <v>3.56</v>
      </c>
      <c r="P222" s="11">
        <v>0.03</v>
      </c>
      <c r="Q222" s="11">
        <v>7.29</v>
      </c>
      <c r="R222" s="11">
        <v>2</v>
      </c>
      <c r="S222" s="11">
        <f t="shared" si="24"/>
        <v>47.8</v>
      </c>
      <c r="T222" s="11">
        <f t="shared" si="25"/>
        <v>11.9</v>
      </c>
      <c r="U222" s="11">
        <f t="shared" si="26"/>
        <v>7.12</v>
      </c>
      <c r="V222" s="11">
        <f t="shared" si="27"/>
        <v>1.43</v>
      </c>
      <c r="W222" s="11" t="s">
        <v>66</v>
      </c>
      <c r="X222" s="11">
        <v>0</v>
      </c>
      <c r="Y222" s="11">
        <f t="shared" si="28"/>
        <v>27.74</v>
      </c>
      <c r="Z222" s="11">
        <f t="shared" si="29"/>
        <v>20.059999999999999</v>
      </c>
      <c r="AA222" s="12">
        <f t="shared" si="30"/>
        <v>0.4196652719665272</v>
      </c>
      <c r="AB222" s="13">
        <f t="shared" si="31"/>
        <v>6.5569272976680377</v>
      </c>
      <c r="AC222" t="s">
        <v>67</v>
      </c>
    </row>
    <row r="223" spans="1:29" ht="14.25" customHeight="1" x14ac:dyDescent="0.45">
      <c r="A223" t="s">
        <v>346</v>
      </c>
      <c r="B223" s="10">
        <v>45873</v>
      </c>
      <c r="C223">
        <v>2025</v>
      </c>
      <c r="D223">
        <v>8</v>
      </c>
      <c r="E223" t="s">
        <v>58</v>
      </c>
      <c r="F223" t="s">
        <v>92</v>
      </c>
      <c r="G223" t="s">
        <v>79</v>
      </c>
      <c r="H223" t="s">
        <v>86</v>
      </c>
      <c r="I223" t="s">
        <v>62</v>
      </c>
      <c r="J223" t="s">
        <v>63</v>
      </c>
      <c r="K223" t="s">
        <v>64</v>
      </c>
      <c r="L223" t="s">
        <v>65</v>
      </c>
      <c r="M223" s="11">
        <v>36.42</v>
      </c>
      <c r="N223" s="11">
        <v>10.199999999999999</v>
      </c>
      <c r="O223" s="11">
        <v>4.54</v>
      </c>
      <c r="P223" s="11">
        <v>0.03</v>
      </c>
      <c r="Q223" s="11">
        <v>15.97</v>
      </c>
      <c r="R223" s="11">
        <v>2</v>
      </c>
      <c r="S223" s="11">
        <f t="shared" si="24"/>
        <v>72.84</v>
      </c>
      <c r="T223" s="11">
        <f t="shared" si="25"/>
        <v>20.399999999999999</v>
      </c>
      <c r="U223" s="11">
        <f t="shared" si="26"/>
        <v>9.08</v>
      </c>
      <c r="V223" s="11">
        <f t="shared" si="27"/>
        <v>2.19</v>
      </c>
      <c r="W223" s="11" t="s">
        <v>66</v>
      </c>
      <c r="X223" s="11">
        <v>0</v>
      </c>
      <c r="Y223" s="11">
        <f t="shared" si="28"/>
        <v>47.64</v>
      </c>
      <c r="Z223" s="11">
        <f t="shared" si="29"/>
        <v>25.200000000000003</v>
      </c>
      <c r="AA223" s="12">
        <f t="shared" si="30"/>
        <v>0.34596375617792424</v>
      </c>
      <c r="AB223" s="13">
        <f t="shared" si="31"/>
        <v>4.5610519724483405</v>
      </c>
      <c r="AC223" t="s">
        <v>67</v>
      </c>
    </row>
    <row r="224" spans="1:29" ht="14.25" customHeight="1" x14ac:dyDescent="0.45">
      <c r="A224" t="s">
        <v>347</v>
      </c>
      <c r="B224" s="10">
        <v>45873</v>
      </c>
      <c r="C224">
        <v>2025</v>
      </c>
      <c r="D224">
        <v>8</v>
      </c>
      <c r="E224" t="s">
        <v>95</v>
      </c>
      <c r="F224" t="s">
        <v>96</v>
      </c>
      <c r="G224" t="s">
        <v>126</v>
      </c>
      <c r="H224" t="s">
        <v>127</v>
      </c>
      <c r="I224" t="s">
        <v>62</v>
      </c>
      <c r="J224" t="s">
        <v>63</v>
      </c>
      <c r="K224" t="s">
        <v>64</v>
      </c>
      <c r="L224" t="s">
        <v>65</v>
      </c>
      <c r="M224" s="11">
        <v>30.02</v>
      </c>
      <c r="N224" s="11">
        <v>9.58</v>
      </c>
      <c r="O224" s="11">
        <v>4.41</v>
      </c>
      <c r="P224" s="11">
        <v>0.03</v>
      </c>
      <c r="Q224" s="11">
        <v>8.01</v>
      </c>
      <c r="R224" s="11">
        <v>1</v>
      </c>
      <c r="S224" s="11">
        <f t="shared" si="24"/>
        <v>30.02</v>
      </c>
      <c r="T224" s="11">
        <f t="shared" si="25"/>
        <v>9.58</v>
      </c>
      <c r="U224" s="11">
        <f t="shared" si="26"/>
        <v>4.41</v>
      </c>
      <c r="V224" s="11">
        <f t="shared" si="27"/>
        <v>0.9</v>
      </c>
      <c r="W224" s="11" t="s">
        <v>66</v>
      </c>
      <c r="X224" s="11">
        <v>0</v>
      </c>
      <c r="Y224" s="11">
        <f t="shared" si="28"/>
        <v>22.9</v>
      </c>
      <c r="Z224" s="11">
        <f t="shared" si="29"/>
        <v>7.120000000000001</v>
      </c>
      <c r="AA224" s="12">
        <f t="shared" si="30"/>
        <v>0.23717521652231849</v>
      </c>
      <c r="AB224" s="13">
        <f t="shared" si="31"/>
        <v>3.7478152309612982</v>
      </c>
      <c r="AC224" t="s">
        <v>67</v>
      </c>
    </row>
    <row r="225" spans="1:29" ht="14.25" customHeight="1" x14ac:dyDescent="0.45">
      <c r="A225" t="s">
        <v>348</v>
      </c>
      <c r="B225" s="10">
        <v>45874</v>
      </c>
      <c r="C225">
        <v>2025</v>
      </c>
      <c r="D225">
        <v>8</v>
      </c>
      <c r="E225" t="s">
        <v>69</v>
      </c>
      <c r="F225" t="s">
        <v>70</v>
      </c>
      <c r="G225" t="s">
        <v>126</v>
      </c>
      <c r="H225" t="s">
        <v>112</v>
      </c>
      <c r="I225" t="s">
        <v>62</v>
      </c>
      <c r="J225" t="s">
        <v>63</v>
      </c>
      <c r="K225" t="s">
        <v>64</v>
      </c>
      <c r="L225" t="s">
        <v>65</v>
      </c>
      <c r="M225" s="11">
        <v>36.81</v>
      </c>
      <c r="N225" s="11">
        <v>10.23</v>
      </c>
      <c r="O225" s="11">
        <v>3.83</v>
      </c>
      <c r="P225" s="11">
        <v>0.03</v>
      </c>
      <c r="Q225" s="11">
        <v>12.21</v>
      </c>
      <c r="R225" s="11">
        <v>2</v>
      </c>
      <c r="S225" s="11">
        <f t="shared" si="24"/>
        <v>73.62</v>
      </c>
      <c r="T225" s="11">
        <f t="shared" si="25"/>
        <v>20.46</v>
      </c>
      <c r="U225" s="11">
        <f t="shared" si="26"/>
        <v>7.66</v>
      </c>
      <c r="V225" s="11">
        <f t="shared" si="27"/>
        <v>2.21</v>
      </c>
      <c r="W225" s="11" t="s">
        <v>66</v>
      </c>
      <c r="X225" s="11">
        <v>0</v>
      </c>
      <c r="Y225" s="11">
        <f t="shared" si="28"/>
        <v>42.540000000000006</v>
      </c>
      <c r="Z225" s="11">
        <f t="shared" si="29"/>
        <v>31.08</v>
      </c>
      <c r="AA225" s="12">
        <f t="shared" si="30"/>
        <v>0.42216788916055414</v>
      </c>
      <c r="AB225" s="13">
        <f t="shared" si="31"/>
        <v>6.0294840294840295</v>
      </c>
      <c r="AC225" t="s">
        <v>67</v>
      </c>
    </row>
    <row r="226" spans="1:29" ht="14.25" customHeight="1" x14ac:dyDescent="0.45">
      <c r="A226" t="s">
        <v>349</v>
      </c>
      <c r="B226" s="10">
        <v>45874</v>
      </c>
      <c r="C226">
        <v>2025</v>
      </c>
      <c r="D226">
        <v>8</v>
      </c>
      <c r="E226" t="s">
        <v>69</v>
      </c>
      <c r="F226" t="s">
        <v>70</v>
      </c>
      <c r="G226" t="s">
        <v>126</v>
      </c>
      <c r="H226" t="s">
        <v>112</v>
      </c>
      <c r="I226" t="s">
        <v>133</v>
      </c>
      <c r="J226" t="s">
        <v>134</v>
      </c>
      <c r="K226" t="s">
        <v>135</v>
      </c>
      <c r="L226" t="s">
        <v>136</v>
      </c>
      <c r="M226" s="11">
        <v>14.67</v>
      </c>
      <c r="N226" s="11">
        <v>1.91</v>
      </c>
      <c r="O226" s="11">
        <v>1.86</v>
      </c>
      <c r="P226" s="11">
        <v>0.03</v>
      </c>
      <c r="Q226" s="11">
        <v>18.739999999999998</v>
      </c>
      <c r="R226" s="11">
        <v>2</v>
      </c>
      <c r="S226" s="11">
        <f t="shared" si="24"/>
        <v>29.34</v>
      </c>
      <c r="T226" s="11">
        <f t="shared" si="25"/>
        <v>3.82</v>
      </c>
      <c r="U226" s="11">
        <f t="shared" si="26"/>
        <v>3.72</v>
      </c>
      <c r="V226" s="11">
        <f t="shared" si="27"/>
        <v>0.88</v>
      </c>
      <c r="W226" s="11" t="s">
        <v>66</v>
      </c>
      <c r="X226" s="11">
        <v>0</v>
      </c>
      <c r="Y226" s="11">
        <f t="shared" si="28"/>
        <v>27.159999999999997</v>
      </c>
      <c r="Z226" s="11">
        <f t="shared" si="29"/>
        <v>2.1800000000000033</v>
      </c>
      <c r="AA226" s="12">
        <f t="shared" si="30"/>
        <v>7.4301295160190975E-2</v>
      </c>
      <c r="AB226" s="13">
        <f t="shared" si="31"/>
        <v>1.5656350053361794</v>
      </c>
      <c r="AC226" t="s">
        <v>67</v>
      </c>
    </row>
    <row r="227" spans="1:29" ht="14.25" customHeight="1" x14ac:dyDescent="0.45">
      <c r="A227" t="s">
        <v>350</v>
      </c>
      <c r="B227" s="10">
        <v>45876</v>
      </c>
      <c r="C227">
        <v>2025</v>
      </c>
      <c r="D227">
        <v>8</v>
      </c>
      <c r="E227" t="s">
        <v>58</v>
      </c>
      <c r="F227" t="s">
        <v>59</v>
      </c>
      <c r="G227" t="s">
        <v>93</v>
      </c>
      <c r="H227" t="s">
        <v>80</v>
      </c>
      <c r="I227" t="s">
        <v>62</v>
      </c>
      <c r="J227" t="s">
        <v>63</v>
      </c>
      <c r="K227" t="s">
        <v>64</v>
      </c>
      <c r="L227" t="s">
        <v>65</v>
      </c>
      <c r="M227" s="11">
        <v>31.94</v>
      </c>
      <c r="N227" s="11">
        <v>10.06</v>
      </c>
      <c r="O227" s="11">
        <v>3.73</v>
      </c>
      <c r="P227" s="11">
        <v>0.03</v>
      </c>
      <c r="Q227" s="11">
        <v>15</v>
      </c>
      <c r="R227" s="11">
        <v>3</v>
      </c>
      <c r="S227" s="11">
        <f t="shared" si="24"/>
        <v>95.820000000000007</v>
      </c>
      <c r="T227" s="11">
        <f t="shared" si="25"/>
        <v>30.18</v>
      </c>
      <c r="U227" s="11">
        <f t="shared" si="26"/>
        <v>11.19</v>
      </c>
      <c r="V227" s="11">
        <f t="shared" si="27"/>
        <v>2.87</v>
      </c>
      <c r="W227" s="11" t="s">
        <v>66</v>
      </c>
      <c r="X227" s="11">
        <v>0</v>
      </c>
      <c r="Y227" s="11">
        <f t="shared" si="28"/>
        <v>59.239999999999995</v>
      </c>
      <c r="Z227" s="11">
        <f t="shared" si="29"/>
        <v>36.580000000000013</v>
      </c>
      <c r="AA227" s="12">
        <f t="shared" si="30"/>
        <v>0.38175746190774379</v>
      </c>
      <c r="AB227" s="13">
        <f t="shared" si="31"/>
        <v>6.3880000000000008</v>
      </c>
      <c r="AC227" t="s">
        <v>67</v>
      </c>
    </row>
    <row r="228" spans="1:29" ht="14.25" customHeight="1" x14ac:dyDescent="0.45">
      <c r="A228" t="s">
        <v>351</v>
      </c>
      <c r="B228" s="10">
        <v>45877</v>
      </c>
      <c r="C228">
        <v>2025</v>
      </c>
      <c r="D228">
        <v>8</v>
      </c>
      <c r="E228" t="s">
        <v>122</v>
      </c>
      <c r="F228" t="s">
        <v>123</v>
      </c>
      <c r="G228" t="s">
        <v>79</v>
      </c>
      <c r="H228" t="s">
        <v>112</v>
      </c>
      <c r="I228" t="s">
        <v>97</v>
      </c>
      <c r="J228" t="s">
        <v>98</v>
      </c>
      <c r="K228" t="s">
        <v>99</v>
      </c>
      <c r="L228" t="s">
        <v>100</v>
      </c>
      <c r="M228" s="11">
        <v>32.76</v>
      </c>
      <c r="N228" s="11">
        <v>9.67</v>
      </c>
      <c r="O228" s="11">
        <v>3.82</v>
      </c>
      <c r="P228" s="11">
        <v>0.03</v>
      </c>
      <c r="Q228" s="11">
        <v>13.02</v>
      </c>
      <c r="R228" s="11">
        <v>2</v>
      </c>
      <c r="S228" s="11">
        <f t="shared" si="24"/>
        <v>65.52</v>
      </c>
      <c r="T228" s="11">
        <f t="shared" si="25"/>
        <v>19.34</v>
      </c>
      <c r="U228" s="11">
        <f t="shared" si="26"/>
        <v>7.64</v>
      </c>
      <c r="V228" s="11">
        <f t="shared" si="27"/>
        <v>1.97</v>
      </c>
      <c r="W228" s="11" t="s">
        <v>66</v>
      </c>
      <c r="X228" s="11">
        <v>0</v>
      </c>
      <c r="Y228" s="11">
        <f t="shared" si="28"/>
        <v>41.97</v>
      </c>
      <c r="Z228" s="11">
        <f t="shared" si="29"/>
        <v>23.549999999999997</v>
      </c>
      <c r="AA228" s="12">
        <f t="shared" si="30"/>
        <v>0.35943223443223443</v>
      </c>
      <c r="AB228" s="13">
        <f t="shared" si="31"/>
        <v>5.032258064516129</v>
      </c>
      <c r="AC228" t="s">
        <v>67</v>
      </c>
    </row>
    <row r="229" spans="1:29" ht="14.25" customHeight="1" x14ac:dyDescent="0.45">
      <c r="A229" t="s">
        <v>352</v>
      </c>
      <c r="B229" s="10">
        <v>45877</v>
      </c>
      <c r="C229">
        <v>2025</v>
      </c>
      <c r="D229">
        <v>8</v>
      </c>
      <c r="E229" t="s">
        <v>69</v>
      </c>
      <c r="F229" t="s">
        <v>70</v>
      </c>
      <c r="G229" t="s">
        <v>93</v>
      </c>
      <c r="H229" t="s">
        <v>80</v>
      </c>
      <c r="I229" t="s">
        <v>138</v>
      </c>
      <c r="J229" t="s">
        <v>139</v>
      </c>
      <c r="K229" t="s">
        <v>89</v>
      </c>
      <c r="L229" t="s">
        <v>140</v>
      </c>
      <c r="M229" s="11">
        <v>40.270000000000003</v>
      </c>
      <c r="N229" s="11">
        <v>8.56</v>
      </c>
      <c r="O229" s="11">
        <v>3.96</v>
      </c>
      <c r="P229" s="11">
        <v>0.03</v>
      </c>
      <c r="Q229" s="11">
        <v>2.5</v>
      </c>
      <c r="R229" s="11">
        <v>1</v>
      </c>
      <c r="S229" s="11">
        <f t="shared" si="24"/>
        <v>40.270000000000003</v>
      </c>
      <c r="T229" s="11">
        <f t="shared" si="25"/>
        <v>8.56</v>
      </c>
      <c r="U229" s="11">
        <f t="shared" si="26"/>
        <v>3.96</v>
      </c>
      <c r="V229" s="11">
        <f t="shared" si="27"/>
        <v>1.21</v>
      </c>
      <c r="W229" s="11" t="s">
        <v>66</v>
      </c>
      <c r="X229" s="11">
        <v>0</v>
      </c>
      <c r="Y229" s="11">
        <f t="shared" si="28"/>
        <v>16.23</v>
      </c>
      <c r="Z229" s="11">
        <f t="shared" si="29"/>
        <v>24.040000000000003</v>
      </c>
      <c r="AA229" s="12">
        <f t="shared" si="30"/>
        <v>0.59697044946610378</v>
      </c>
      <c r="AB229" s="13">
        <f t="shared" si="31"/>
        <v>16.108000000000001</v>
      </c>
      <c r="AC229" t="s">
        <v>67</v>
      </c>
    </row>
    <row r="230" spans="1:29" ht="14.25" customHeight="1" x14ac:dyDescent="0.45">
      <c r="A230" t="s">
        <v>353</v>
      </c>
      <c r="B230" s="10">
        <v>45877</v>
      </c>
      <c r="C230">
        <v>2025</v>
      </c>
      <c r="D230">
        <v>8</v>
      </c>
      <c r="E230" t="s">
        <v>69</v>
      </c>
      <c r="F230" t="s">
        <v>70</v>
      </c>
      <c r="G230" t="s">
        <v>60</v>
      </c>
      <c r="H230" t="s">
        <v>80</v>
      </c>
      <c r="I230" t="s">
        <v>113</v>
      </c>
      <c r="J230" t="s">
        <v>114</v>
      </c>
      <c r="K230" t="s">
        <v>115</v>
      </c>
      <c r="L230" t="s">
        <v>116</v>
      </c>
      <c r="M230" s="11">
        <v>49.69</v>
      </c>
      <c r="N230" s="11">
        <v>17.190000000000001</v>
      </c>
      <c r="O230" s="11">
        <v>5.81</v>
      </c>
      <c r="P230" s="11">
        <v>0.03</v>
      </c>
      <c r="Q230" s="11">
        <v>5.29</v>
      </c>
      <c r="R230" s="11">
        <v>2</v>
      </c>
      <c r="S230" s="11">
        <f t="shared" si="24"/>
        <v>99.38</v>
      </c>
      <c r="T230" s="11">
        <f t="shared" si="25"/>
        <v>34.380000000000003</v>
      </c>
      <c r="U230" s="11">
        <f t="shared" si="26"/>
        <v>11.62</v>
      </c>
      <c r="V230" s="11">
        <f t="shared" si="27"/>
        <v>2.98</v>
      </c>
      <c r="W230" s="11" t="s">
        <v>66</v>
      </c>
      <c r="X230" s="11">
        <v>0</v>
      </c>
      <c r="Y230" s="11">
        <f t="shared" si="28"/>
        <v>54.269999999999996</v>
      </c>
      <c r="Z230" s="11">
        <f t="shared" si="29"/>
        <v>45.11</v>
      </c>
      <c r="AA230" s="12">
        <f t="shared" si="30"/>
        <v>0.4539142684644798</v>
      </c>
      <c r="AB230" s="13">
        <f t="shared" si="31"/>
        <v>18.786389413988658</v>
      </c>
      <c r="AC230" t="s">
        <v>67</v>
      </c>
    </row>
    <row r="231" spans="1:29" ht="14.25" customHeight="1" x14ac:dyDescent="0.45">
      <c r="A231" t="s">
        <v>354</v>
      </c>
      <c r="B231" s="10">
        <v>45877</v>
      </c>
      <c r="C231">
        <v>2025</v>
      </c>
      <c r="D231">
        <v>8</v>
      </c>
      <c r="E231" t="s">
        <v>77</v>
      </c>
      <c r="F231" t="s">
        <v>104</v>
      </c>
      <c r="G231" t="s">
        <v>105</v>
      </c>
      <c r="H231" t="s">
        <v>86</v>
      </c>
      <c r="I231" t="s">
        <v>147</v>
      </c>
      <c r="J231" t="s">
        <v>148</v>
      </c>
      <c r="K231" t="s">
        <v>149</v>
      </c>
      <c r="L231" t="s">
        <v>150</v>
      </c>
      <c r="M231" s="11">
        <v>32.19</v>
      </c>
      <c r="N231" s="11">
        <v>7.03</v>
      </c>
      <c r="O231" s="11">
        <v>4.32</v>
      </c>
      <c r="P231" s="11">
        <v>0.03</v>
      </c>
      <c r="Q231" s="11">
        <v>7.06</v>
      </c>
      <c r="R231" s="11">
        <v>1</v>
      </c>
      <c r="S231" s="11">
        <f t="shared" si="24"/>
        <v>32.19</v>
      </c>
      <c r="T231" s="11">
        <f t="shared" si="25"/>
        <v>7.03</v>
      </c>
      <c r="U231" s="11">
        <f t="shared" si="26"/>
        <v>4.32</v>
      </c>
      <c r="V231" s="11">
        <f t="shared" si="27"/>
        <v>0.97</v>
      </c>
      <c r="W231" s="11" t="s">
        <v>154</v>
      </c>
      <c r="X231" s="11">
        <v>25.8</v>
      </c>
      <c r="Y231" s="11">
        <f t="shared" si="28"/>
        <v>45.180000000000007</v>
      </c>
      <c r="Z231" s="11">
        <f t="shared" si="29"/>
        <v>-12.990000000000009</v>
      </c>
      <c r="AA231" s="12">
        <f t="shared" si="30"/>
        <v>-0.40354147250699007</v>
      </c>
      <c r="AB231" s="13">
        <f t="shared" si="31"/>
        <v>4.5594900849858355</v>
      </c>
      <c r="AC231" t="s">
        <v>155</v>
      </c>
    </row>
    <row r="232" spans="1:29" ht="14.25" customHeight="1" x14ac:dyDescent="0.45">
      <c r="A232" t="s">
        <v>355</v>
      </c>
      <c r="B232" s="10">
        <v>45878</v>
      </c>
      <c r="C232">
        <v>2025</v>
      </c>
      <c r="D232">
        <v>8</v>
      </c>
      <c r="E232" t="s">
        <v>77</v>
      </c>
      <c r="F232" t="s">
        <v>104</v>
      </c>
      <c r="G232" t="s">
        <v>71</v>
      </c>
      <c r="H232" t="s">
        <v>80</v>
      </c>
      <c r="I232" t="s">
        <v>133</v>
      </c>
      <c r="J232" t="s">
        <v>134</v>
      </c>
      <c r="K232" t="s">
        <v>135</v>
      </c>
      <c r="L232" t="s">
        <v>136</v>
      </c>
      <c r="M232" s="11">
        <v>16.34</v>
      </c>
      <c r="N232" s="11">
        <v>1.92</v>
      </c>
      <c r="O232" s="11">
        <v>2.12</v>
      </c>
      <c r="P232" s="11">
        <v>0.03</v>
      </c>
      <c r="Q232" s="11">
        <v>0</v>
      </c>
      <c r="R232" s="11">
        <v>1</v>
      </c>
      <c r="S232" s="11">
        <f t="shared" si="24"/>
        <v>16.34</v>
      </c>
      <c r="T232" s="11">
        <f t="shared" si="25"/>
        <v>1.92</v>
      </c>
      <c r="U232" s="11">
        <f t="shared" si="26"/>
        <v>2.12</v>
      </c>
      <c r="V232" s="11">
        <f t="shared" si="27"/>
        <v>0.49</v>
      </c>
      <c r="W232" s="11" t="s">
        <v>66</v>
      </c>
      <c r="X232" s="11">
        <v>0</v>
      </c>
      <c r="Y232" s="11">
        <f t="shared" si="28"/>
        <v>4.53</v>
      </c>
      <c r="Z232" s="11">
        <f t="shared" si="29"/>
        <v>11.809999999999999</v>
      </c>
      <c r="AA232" s="12">
        <f t="shared" si="30"/>
        <v>0.72276621787025697</v>
      </c>
      <c r="AB232" s="13">
        <f t="shared" si="31"/>
        <v>0</v>
      </c>
      <c r="AC232" t="s">
        <v>67</v>
      </c>
    </row>
    <row r="233" spans="1:29" ht="14.25" customHeight="1" x14ac:dyDescent="0.45">
      <c r="A233" t="s">
        <v>356</v>
      </c>
      <c r="B233" s="10">
        <v>45879</v>
      </c>
      <c r="C233">
        <v>2025</v>
      </c>
      <c r="D233">
        <v>8</v>
      </c>
      <c r="E233" t="s">
        <v>58</v>
      </c>
      <c r="F233" t="s">
        <v>59</v>
      </c>
      <c r="G233" t="s">
        <v>93</v>
      </c>
      <c r="H233" t="s">
        <v>61</v>
      </c>
      <c r="I233" t="s">
        <v>81</v>
      </c>
      <c r="J233" t="s">
        <v>82</v>
      </c>
      <c r="K233" t="s">
        <v>83</v>
      </c>
      <c r="L233" t="s">
        <v>84</v>
      </c>
      <c r="M233" s="11">
        <v>25.14</v>
      </c>
      <c r="N233" s="11">
        <v>5.9</v>
      </c>
      <c r="O233" s="11">
        <v>3.87</v>
      </c>
      <c r="P233" s="11">
        <v>0.03</v>
      </c>
      <c r="Q233" s="11">
        <v>5.8</v>
      </c>
      <c r="R233" s="11">
        <v>1</v>
      </c>
      <c r="S233" s="11">
        <f t="shared" si="24"/>
        <v>25.14</v>
      </c>
      <c r="T233" s="11">
        <f t="shared" si="25"/>
        <v>5.9</v>
      </c>
      <c r="U233" s="11">
        <f t="shared" si="26"/>
        <v>3.87</v>
      </c>
      <c r="V233" s="11">
        <f t="shared" si="27"/>
        <v>0.75</v>
      </c>
      <c r="W233" s="11" t="s">
        <v>66</v>
      </c>
      <c r="X233" s="11">
        <v>0</v>
      </c>
      <c r="Y233" s="11">
        <f t="shared" si="28"/>
        <v>16.32</v>
      </c>
      <c r="Z233" s="11">
        <f t="shared" si="29"/>
        <v>8.82</v>
      </c>
      <c r="AA233" s="12">
        <f t="shared" si="30"/>
        <v>0.35083532219570407</v>
      </c>
      <c r="AB233" s="13">
        <f t="shared" si="31"/>
        <v>4.3344827586206902</v>
      </c>
      <c r="AC233" t="s">
        <v>67</v>
      </c>
    </row>
    <row r="234" spans="1:29" ht="14.25" customHeight="1" x14ac:dyDescent="0.45">
      <c r="A234" t="s">
        <v>357</v>
      </c>
      <c r="B234" s="10">
        <v>45880</v>
      </c>
      <c r="C234">
        <v>2025</v>
      </c>
      <c r="D234">
        <v>8</v>
      </c>
      <c r="E234" t="s">
        <v>58</v>
      </c>
      <c r="F234" t="s">
        <v>92</v>
      </c>
      <c r="G234" t="s">
        <v>71</v>
      </c>
      <c r="H234" t="s">
        <v>86</v>
      </c>
      <c r="I234" t="s">
        <v>147</v>
      </c>
      <c r="J234" t="s">
        <v>148</v>
      </c>
      <c r="K234" t="s">
        <v>149</v>
      </c>
      <c r="L234" t="s">
        <v>150</v>
      </c>
      <c r="M234" s="11">
        <v>33.020000000000003</v>
      </c>
      <c r="N234" s="11">
        <v>7.35</v>
      </c>
      <c r="O234" s="11">
        <v>5.13</v>
      </c>
      <c r="P234" s="11">
        <v>0.03</v>
      </c>
      <c r="Q234" s="11">
        <v>0</v>
      </c>
      <c r="R234" s="11">
        <v>3</v>
      </c>
      <c r="S234" s="11">
        <f t="shared" si="24"/>
        <v>99.06</v>
      </c>
      <c r="T234" s="11">
        <f t="shared" si="25"/>
        <v>22.049999999999997</v>
      </c>
      <c r="U234" s="11">
        <f t="shared" si="26"/>
        <v>15.39</v>
      </c>
      <c r="V234" s="11">
        <f t="shared" si="27"/>
        <v>2.97</v>
      </c>
      <c r="W234" s="11" t="s">
        <v>66</v>
      </c>
      <c r="X234" s="11">
        <v>0</v>
      </c>
      <c r="Y234" s="11">
        <f t="shared" si="28"/>
        <v>40.409999999999997</v>
      </c>
      <c r="Z234" s="11">
        <f t="shared" si="29"/>
        <v>58.650000000000006</v>
      </c>
      <c r="AA234" s="12">
        <f t="shared" si="30"/>
        <v>0.59206541490006059</v>
      </c>
      <c r="AB234" s="13">
        <f t="shared" si="31"/>
        <v>0</v>
      </c>
      <c r="AC234" t="s">
        <v>67</v>
      </c>
    </row>
    <row r="235" spans="1:29" ht="14.25" customHeight="1" x14ac:dyDescent="0.45">
      <c r="A235" t="s">
        <v>358</v>
      </c>
      <c r="B235" s="10">
        <v>45880</v>
      </c>
      <c r="C235">
        <v>2025</v>
      </c>
      <c r="D235">
        <v>8</v>
      </c>
      <c r="E235" t="s">
        <v>58</v>
      </c>
      <c r="F235" t="s">
        <v>92</v>
      </c>
      <c r="G235" t="s">
        <v>105</v>
      </c>
      <c r="H235" t="s">
        <v>61</v>
      </c>
      <c r="I235" t="s">
        <v>81</v>
      </c>
      <c r="J235" t="s">
        <v>82</v>
      </c>
      <c r="K235" t="s">
        <v>83</v>
      </c>
      <c r="L235" t="s">
        <v>84</v>
      </c>
      <c r="M235" s="11">
        <v>23.27</v>
      </c>
      <c r="N235" s="11">
        <v>6.47</v>
      </c>
      <c r="O235" s="11">
        <v>3.83</v>
      </c>
      <c r="P235" s="11">
        <v>0.03</v>
      </c>
      <c r="Q235" s="11">
        <v>17.34</v>
      </c>
      <c r="R235" s="11">
        <v>2</v>
      </c>
      <c r="S235" s="11">
        <f t="shared" si="24"/>
        <v>46.54</v>
      </c>
      <c r="T235" s="11">
        <f t="shared" si="25"/>
        <v>12.94</v>
      </c>
      <c r="U235" s="11">
        <f t="shared" si="26"/>
        <v>7.66</v>
      </c>
      <c r="V235" s="11">
        <f t="shared" si="27"/>
        <v>1.4</v>
      </c>
      <c r="W235" s="11" t="s">
        <v>66</v>
      </c>
      <c r="X235" s="11">
        <v>0</v>
      </c>
      <c r="Y235" s="11">
        <f t="shared" si="28"/>
        <v>39.340000000000003</v>
      </c>
      <c r="Z235" s="11">
        <f t="shared" si="29"/>
        <v>7.1999999999999957</v>
      </c>
      <c r="AA235" s="12">
        <f t="shared" si="30"/>
        <v>0.15470562956596468</v>
      </c>
      <c r="AB235" s="13">
        <f t="shared" si="31"/>
        <v>2.6839677047289503</v>
      </c>
      <c r="AC235" t="s">
        <v>67</v>
      </c>
    </row>
    <row r="236" spans="1:29" ht="14.25" customHeight="1" x14ac:dyDescent="0.45">
      <c r="A236" t="s">
        <v>359</v>
      </c>
      <c r="B236" s="10">
        <v>45882</v>
      </c>
      <c r="C236">
        <v>2025</v>
      </c>
      <c r="D236">
        <v>8</v>
      </c>
      <c r="E236" t="s">
        <v>77</v>
      </c>
      <c r="F236" t="s">
        <v>102</v>
      </c>
      <c r="G236" t="s">
        <v>105</v>
      </c>
      <c r="H236" t="s">
        <v>86</v>
      </c>
      <c r="I236" t="s">
        <v>147</v>
      </c>
      <c r="J236" t="s">
        <v>148</v>
      </c>
      <c r="K236" t="s">
        <v>149</v>
      </c>
      <c r="L236" t="s">
        <v>150</v>
      </c>
      <c r="M236" s="11">
        <v>33.39</v>
      </c>
      <c r="N236" s="11">
        <v>7.25</v>
      </c>
      <c r="O236" s="11">
        <v>4.2699999999999996</v>
      </c>
      <c r="P236" s="11">
        <v>0.03</v>
      </c>
      <c r="Q236" s="11">
        <v>10.14</v>
      </c>
      <c r="R236" s="11">
        <v>1</v>
      </c>
      <c r="S236" s="11">
        <f t="shared" si="24"/>
        <v>33.39</v>
      </c>
      <c r="T236" s="11">
        <f t="shared" si="25"/>
        <v>7.25</v>
      </c>
      <c r="U236" s="11">
        <f t="shared" si="26"/>
        <v>4.2699999999999996</v>
      </c>
      <c r="V236" s="11">
        <f t="shared" si="27"/>
        <v>1</v>
      </c>
      <c r="W236" s="11" t="s">
        <v>66</v>
      </c>
      <c r="X236" s="11">
        <v>0</v>
      </c>
      <c r="Y236" s="11">
        <f t="shared" si="28"/>
        <v>22.66</v>
      </c>
      <c r="Z236" s="11">
        <f t="shared" si="29"/>
        <v>10.73</v>
      </c>
      <c r="AA236" s="12">
        <f t="shared" si="30"/>
        <v>0.32135369871218927</v>
      </c>
      <c r="AB236" s="13">
        <f t="shared" si="31"/>
        <v>3.2928994082840237</v>
      </c>
      <c r="AC236" t="s">
        <v>67</v>
      </c>
    </row>
    <row r="237" spans="1:29" ht="14.25" customHeight="1" x14ac:dyDescent="0.45">
      <c r="A237" t="s">
        <v>360</v>
      </c>
      <c r="B237" s="10">
        <v>45882</v>
      </c>
      <c r="C237">
        <v>2025</v>
      </c>
      <c r="D237">
        <v>8</v>
      </c>
      <c r="E237" t="s">
        <v>122</v>
      </c>
      <c r="F237" t="s">
        <v>123</v>
      </c>
      <c r="G237" t="s">
        <v>105</v>
      </c>
      <c r="H237" t="s">
        <v>127</v>
      </c>
      <c r="I237" t="s">
        <v>107</v>
      </c>
      <c r="J237" t="s">
        <v>108</v>
      </c>
      <c r="K237" t="s">
        <v>109</v>
      </c>
      <c r="L237" t="s">
        <v>110</v>
      </c>
      <c r="M237" s="11">
        <v>21.16</v>
      </c>
      <c r="N237" s="11">
        <v>3.71</v>
      </c>
      <c r="O237" s="11">
        <v>2.35</v>
      </c>
      <c r="P237" s="11">
        <v>0.03</v>
      </c>
      <c r="Q237" s="11">
        <v>6.45</v>
      </c>
      <c r="R237" s="11">
        <v>2</v>
      </c>
      <c r="S237" s="11">
        <f t="shared" si="24"/>
        <v>42.32</v>
      </c>
      <c r="T237" s="11">
        <f t="shared" si="25"/>
        <v>7.42</v>
      </c>
      <c r="U237" s="11">
        <f t="shared" si="26"/>
        <v>4.7</v>
      </c>
      <c r="V237" s="11">
        <f t="shared" si="27"/>
        <v>1.27</v>
      </c>
      <c r="W237" s="11" t="s">
        <v>154</v>
      </c>
      <c r="X237" s="11">
        <v>22.63</v>
      </c>
      <c r="Y237" s="11">
        <f t="shared" si="28"/>
        <v>42.47</v>
      </c>
      <c r="Z237" s="11">
        <f t="shared" si="29"/>
        <v>-0.14999999999999858</v>
      </c>
      <c r="AA237" s="12">
        <f t="shared" si="30"/>
        <v>-3.5444234404536524E-3</v>
      </c>
      <c r="AB237" s="13">
        <f t="shared" si="31"/>
        <v>6.561240310077519</v>
      </c>
      <c r="AC237" t="s">
        <v>155</v>
      </c>
    </row>
    <row r="238" spans="1:29" ht="14.25" customHeight="1" x14ac:dyDescent="0.45">
      <c r="A238" t="s">
        <v>361</v>
      </c>
      <c r="B238" s="10">
        <v>45883</v>
      </c>
      <c r="C238">
        <v>2025</v>
      </c>
      <c r="D238">
        <v>8</v>
      </c>
      <c r="E238" t="s">
        <v>69</v>
      </c>
      <c r="F238" t="s">
        <v>70</v>
      </c>
      <c r="G238" t="s">
        <v>105</v>
      </c>
      <c r="H238" t="s">
        <v>112</v>
      </c>
      <c r="I238" t="s">
        <v>62</v>
      </c>
      <c r="J238" t="s">
        <v>63</v>
      </c>
      <c r="K238" t="s">
        <v>64</v>
      </c>
      <c r="L238" t="s">
        <v>65</v>
      </c>
      <c r="M238" s="11">
        <v>32.590000000000003</v>
      </c>
      <c r="N238" s="11">
        <v>10.119999999999999</v>
      </c>
      <c r="O238" s="11">
        <v>4.4800000000000004</v>
      </c>
      <c r="P238" s="11">
        <v>0.03</v>
      </c>
      <c r="Q238" s="11">
        <v>5.33</v>
      </c>
      <c r="R238" s="11">
        <v>1</v>
      </c>
      <c r="S238" s="11">
        <f t="shared" si="24"/>
        <v>32.590000000000003</v>
      </c>
      <c r="T238" s="11">
        <f t="shared" si="25"/>
        <v>10.119999999999999</v>
      </c>
      <c r="U238" s="11">
        <f t="shared" si="26"/>
        <v>4.4800000000000004</v>
      </c>
      <c r="V238" s="11">
        <f t="shared" si="27"/>
        <v>0.98</v>
      </c>
      <c r="W238" s="11" t="s">
        <v>66</v>
      </c>
      <c r="X238" s="11">
        <v>0</v>
      </c>
      <c r="Y238" s="11">
        <f t="shared" si="28"/>
        <v>20.91</v>
      </c>
      <c r="Z238" s="11">
        <f t="shared" si="29"/>
        <v>11.680000000000003</v>
      </c>
      <c r="AA238" s="12">
        <f t="shared" si="30"/>
        <v>0.35839214482970244</v>
      </c>
      <c r="AB238" s="13">
        <f t="shared" si="31"/>
        <v>6.1144465290806762</v>
      </c>
      <c r="AC238" t="s">
        <v>67</v>
      </c>
    </row>
    <row r="239" spans="1:29" ht="14.25" customHeight="1" x14ac:dyDescent="0.45">
      <c r="A239" t="s">
        <v>362</v>
      </c>
      <c r="B239" s="10">
        <v>45884</v>
      </c>
      <c r="C239">
        <v>2025</v>
      </c>
      <c r="D239">
        <v>8</v>
      </c>
      <c r="E239" t="s">
        <v>77</v>
      </c>
      <c r="F239" t="s">
        <v>78</v>
      </c>
      <c r="G239" t="s">
        <v>105</v>
      </c>
      <c r="H239" t="s">
        <v>86</v>
      </c>
      <c r="I239" t="s">
        <v>72</v>
      </c>
      <c r="J239" t="s">
        <v>73</v>
      </c>
      <c r="K239" t="s">
        <v>74</v>
      </c>
      <c r="L239" t="s">
        <v>75</v>
      </c>
      <c r="M239" s="11">
        <v>45.74</v>
      </c>
      <c r="N239" s="11">
        <v>14.3</v>
      </c>
      <c r="O239" s="11">
        <v>6.35</v>
      </c>
      <c r="P239" s="11">
        <v>0.03</v>
      </c>
      <c r="Q239" s="11">
        <v>6.72</v>
      </c>
      <c r="R239" s="11">
        <v>1</v>
      </c>
      <c r="S239" s="11">
        <f t="shared" si="24"/>
        <v>45.74</v>
      </c>
      <c r="T239" s="11">
        <f t="shared" si="25"/>
        <v>14.3</v>
      </c>
      <c r="U239" s="11">
        <f t="shared" si="26"/>
        <v>6.35</v>
      </c>
      <c r="V239" s="11">
        <f t="shared" si="27"/>
        <v>1.37</v>
      </c>
      <c r="W239" s="11" t="s">
        <v>66</v>
      </c>
      <c r="X239" s="11">
        <v>0</v>
      </c>
      <c r="Y239" s="11">
        <f t="shared" si="28"/>
        <v>28.74</v>
      </c>
      <c r="Z239" s="11">
        <f t="shared" si="29"/>
        <v>17.000000000000004</v>
      </c>
      <c r="AA239" s="12">
        <f t="shared" si="30"/>
        <v>0.37166593790992575</v>
      </c>
      <c r="AB239" s="13">
        <f t="shared" si="31"/>
        <v>6.8065476190476195</v>
      </c>
      <c r="AC239" t="s">
        <v>67</v>
      </c>
    </row>
    <row r="240" spans="1:29" ht="14.25" customHeight="1" x14ac:dyDescent="0.45">
      <c r="A240" t="s">
        <v>363</v>
      </c>
      <c r="B240" s="10">
        <v>45884</v>
      </c>
      <c r="C240">
        <v>2025</v>
      </c>
      <c r="D240">
        <v>8</v>
      </c>
      <c r="E240" t="s">
        <v>58</v>
      </c>
      <c r="F240" t="s">
        <v>92</v>
      </c>
      <c r="G240" t="s">
        <v>71</v>
      </c>
      <c r="H240" t="s">
        <v>127</v>
      </c>
      <c r="I240" t="s">
        <v>107</v>
      </c>
      <c r="J240" t="s">
        <v>108</v>
      </c>
      <c r="K240" t="s">
        <v>109</v>
      </c>
      <c r="L240" t="s">
        <v>110</v>
      </c>
      <c r="M240" s="11">
        <v>19.16</v>
      </c>
      <c r="N240" s="11">
        <v>3.78</v>
      </c>
      <c r="O240" s="11">
        <v>2.71</v>
      </c>
      <c r="P240" s="11">
        <v>0.03</v>
      </c>
      <c r="Q240" s="11">
        <v>0</v>
      </c>
      <c r="R240" s="11">
        <v>1</v>
      </c>
      <c r="S240" s="11">
        <f t="shared" si="24"/>
        <v>19.16</v>
      </c>
      <c r="T240" s="11">
        <f t="shared" si="25"/>
        <v>3.78</v>
      </c>
      <c r="U240" s="11">
        <f t="shared" si="26"/>
        <v>2.71</v>
      </c>
      <c r="V240" s="11">
        <f t="shared" si="27"/>
        <v>0.56999999999999995</v>
      </c>
      <c r="W240" s="11" t="s">
        <v>66</v>
      </c>
      <c r="X240" s="11">
        <v>0</v>
      </c>
      <c r="Y240" s="11">
        <f t="shared" si="28"/>
        <v>7.0600000000000005</v>
      </c>
      <c r="Z240" s="11">
        <f t="shared" si="29"/>
        <v>12.1</v>
      </c>
      <c r="AA240" s="12">
        <f t="shared" si="30"/>
        <v>0.63152400835073064</v>
      </c>
      <c r="AB240" s="13">
        <f t="shared" si="31"/>
        <v>0</v>
      </c>
      <c r="AC240" t="s">
        <v>67</v>
      </c>
    </row>
    <row r="241" spans="1:29" ht="14.25" customHeight="1" x14ac:dyDescent="0.45">
      <c r="A241" t="s">
        <v>364</v>
      </c>
      <c r="B241" s="10">
        <v>45885</v>
      </c>
      <c r="C241">
        <v>2025</v>
      </c>
      <c r="D241">
        <v>8</v>
      </c>
      <c r="E241" t="s">
        <v>58</v>
      </c>
      <c r="F241" t="s">
        <v>92</v>
      </c>
      <c r="G241" t="s">
        <v>105</v>
      </c>
      <c r="H241" t="s">
        <v>80</v>
      </c>
      <c r="I241" t="s">
        <v>97</v>
      </c>
      <c r="J241" t="s">
        <v>98</v>
      </c>
      <c r="K241" t="s">
        <v>99</v>
      </c>
      <c r="L241" t="s">
        <v>100</v>
      </c>
      <c r="M241" s="11">
        <v>36.74</v>
      </c>
      <c r="N241" s="11">
        <v>9.33</v>
      </c>
      <c r="O241" s="11">
        <v>3.65</v>
      </c>
      <c r="P241" s="11">
        <v>0.03</v>
      </c>
      <c r="Q241" s="11">
        <v>16.47</v>
      </c>
      <c r="R241" s="11">
        <v>2</v>
      </c>
      <c r="S241" s="11">
        <f t="shared" si="24"/>
        <v>73.48</v>
      </c>
      <c r="T241" s="11">
        <f t="shared" si="25"/>
        <v>18.66</v>
      </c>
      <c r="U241" s="11">
        <f t="shared" si="26"/>
        <v>7.3</v>
      </c>
      <c r="V241" s="11">
        <f t="shared" si="27"/>
        <v>2.2000000000000002</v>
      </c>
      <c r="W241" s="11" t="s">
        <v>66</v>
      </c>
      <c r="X241" s="11">
        <v>0</v>
      </c>
      <c r="Y241" s="11">
        <f t="shared" si="28"/>
        <v>44.629999999999995</v>
      </c>
      <c r="Z241" s="11">
        <f t="shared" si="29"/>
        <v>28.850000000000009</v>
      </c>
      <c r="AA241" s="12">
        <f t="shared" si="30"/>
        <v>0.39262384322264571</v>
      </c>
      <c r="AB241" s="13">
        <f t="shared" si="31"/>
        <v>4.4614450516089867</v>
      </c>
      <c r="AC241" t="s">
        <v>67</v>
      </c>
    </row>
    <row r="242" spans="1:29" ht="14.25" customHeight="1" x14ac:dyDescent="0.45">
      <c r="A242" t="s">
        <v>365</v>
      </c>
      <c r="B242" s="10">
        <v>45887</v>
      </c>
      <c r="C242">
        <v>2025</v>
      </c>
      <c r="D242">
        <v>8</v>
      </c>
      <c r="E242" t="s">
        <v>77</v>
      </c>
      <c r="F242" t="s">
        <v>102</v>
      </c>
      <c r="G242" t="s">
        <v>79</v>
      </c>
      <c r="H242" t="s">
        <v>112</v>
      </c>
      <c r="I242" t="s">
        <v>81</v>
      </c>
      <c r="J242" t="s">
        <v>82</v>
      </c>
      <c r="K242" t="s">
        <v>83</v>
      </c>
      <c r="L242" t="s">
        <v>84</v>
      </c>
      <c r="M242" s="11">
        <v>24.39</v>
      </c>
      <c r="N242" s="11">
        <v>5.85</v>
      </c>
      <c r="O242" s="11">
        <v>3.26</v>
      </c>
      <c r="P242" s="11">
        <v>0.03</v>
      </c>
      <c r="Q242" s="11">
        <v>12.43</v>
      </c>
      <c r="R242" s="11">
        <v>2</v>
      </c>
      <c r="S242" s="11">
        <f t="shared" si="24"/>
        <v>48.78</v>
      </c>
      <c r="T242" s="11">
        <f t="shared" si="25"/>
        <v>11.7</v>
      </c>
      <c r="U242" s="11">
        <f t="shared" si="26"/>
        <v>6.52</v>
      </c>
      <c r="V242" s="11">
        <f t="shared" si="27"/>
        <v>1.46</v>
      </c>
      <c r="W242" s="11" t="s">
        <v>66</v>
      </c>
      <c r="X242" s="11">
        <v>0</v>
      </c>
      <c r="Y242" s="11">
        <f t="shared" si="28"/>
        <v>32.11</v>
      </c>
      <c r="Z242" s="11">
        <f t="shared" si="29"/>
        <v>16.670000000000002</v>
      </c>
      <c r="AA242" s="12">
        <f t="shared" si="30"/>
        <v>0.34173841738417388</v>
      </c>
      <c r="AB242" s="13">
        <f t="shared" si="31"/>
        <v>3.9243765084473052</v>
      </c>
      <c r="AC242" t="s">
        <v>67</v>
      </c>
    </row>
    <row r="243" spans="1:29" ht="14.25" customHeight="1" x14ac:dyDescent="0.45">
      <c r="A243" t="s">
        <v>366</v>
      </c>
      <c r="B243" s="10">
        <v>45888</v>
      </c>
      <c r="C243">
        <v>2025</v>
      </c>
      <c r="D243">
        <v>8</v>
      </c>
      <c r="E243" t="s">
        <v>77</v>
      </c>
      <c r="F243" t="s">
        <v>102</v>
      </c>
      <c r="G243" t="s">
        <v>93</v>
      </c>
      <c r="H243" t="s">
        <v>112</v>
      </c>
      <c r="I243" t="s">
        <v>107</v>
      </c>
      <c r="J243" t="s">
        <v>108</v>
      </c>
      <c r="K243" t="s">
        <v>109</v>
      </c>
      <c r="L243" t="s">
        <v>110</v>
      </c>
      <c r="M243" s="11">
        <v>20.2</v>
      </c>
      <c r="N243" s="11">
        <v>3.71</v>
      </c>
      <c r="O243" s="11">
        <v>2.86</v>
      </c>
      <c r="P243" s="11">
        <v>0.03</v>
      </c>
      <c r="Q243" s="11">
        <v>6.53</v>
      </c>
      <c r="R243" s="11">
        <v>2</v>
      </c>
      <c r="S243" s="11">
        <f t="shared" si="24"/>
        <v>40.4</v>
      </c>
      <c r="T243" s="11">
        <f t="shared" si="25"/>
        <v>7.42</v>
      </c>
      <c r="U243" s="11">
        <f t="shared" si="26"/>
        <v>5.72</v>
      </c>
      <c r="V243" s="11">
        <f t="shared" si="27"/>
        <v>1.21</v>
      </c>
      <c r="W243" s="11" t="s">
        <v>66</v>
      </c>
      <c r="X243" s="11">
        <v>0</v>
      </c>
      <c r="Y243" s="11">
        <f t="shared" si="28"/>
        <v>20.880000000000003</v>
      </c>
      <c r="Z243" s="11">
        <f t="shared" si="29"/>
        <v>19.519999999999996</v>
      </c>
      <c r="AA243" s="12">
        <f t="shared" si="30"/>
        <v>0.4831683168316831</v>
      </c>
      <c r="AB243" s="13">
        <f t="shared" si="31"/>
        <v>6.1868300153139355</v>
      </c>
      <c r="AC243" t="s">
        <v>67</v>
      </c>
    </row>
    <row r="244" spans="1:29" ht="14.25" customHeight="1" x14ac:dyDescent="0.45">
      <c r="A244" t="s">
        <v>367</v>
      </c>
      <c r="B244" s="10">
        <v>45891</v>
      </c>
      <c r="C244">
        <v>2025</v>
      </c>
      <c r="D244">
        <v>8</v>
      </c>
      <c r="E244" t="s">
        <v>77</v>
      </c>
      <c r="F244" t="s">
        <v>104</v>
      </c>
      <c r="G244" t="s">
        <v>126</v>
      </c>
      <c r="H244" t="s">
        <v>86</v>
      </c>
      <c r="I244" t="s">
        <v>113</v>
      </c>
      <c r="J244" t="s">
        <v>114</v>
      </c>
      <c r="K244" t="s">
        <v>115</v>
      </c>
      <c r="L244" t="s">
        <v>116</v>
      </c>
      <c r="M244" s="11">
        <v>50.96</v>
      </c>
      <c r="N244" s="11">
        <v>16.649999999999999</v>
      </c>
      <c r="O244" s="11">
        <v>5.78</v>
      </c>
      <c r="P244" s="11">
        <v>0.03</v>
      </c>
      <c r="Q244" s="11">
        <v>20.5</v>
      </c>
      <c r="R244" s="11">
        <v>2</v>
      </c>
      <c r="S244" s="11">
        <f t="shared" si="24"/>
        <v>101.92</v>
      </c>
      <c r="T244" s="11">
        <f t="shared" si="25"/>
        <v>33.299999999999997</v>
      </c>
      <c r="U244" s="11">
        <f t="shared" si="26"/>
        <v>11.56</v>
      </c>
      <c r="V244" s="11">
        <f t="shared" si="27"/>
        <v>3.06</v>
      </c>
      <c r="W244" s="11" t="s">
        <v>66</v>
      </c>
      <c r="X244" s="11">
        <v>0</v>
      </c>
      <c r="Y244" s="11">
        <f t="shared" si="28"/>
        <v>68.42</v>
      </c>
      <c r="Z244" s="11">
        <f t="shared" si="29"/>
        <v>33.5</v>
      </c>
      <c r="AA244" s="12">
        <f t="shared" si="30"/>
        <v>0.32868916797488223</v>
      </c>
      <c r="AB244" s="13">
        <f t="shared" si="31"/>
        <v>4.9717073170731707</v>
      </c>
      <c r="AC244" t="s">
        <v>67</v>
      </c>
    </row>
    <row r="245" spans="1:29" ht="14.25" customHeight="1" x14ac:dyDescent="0.45">
      <c r="A245" t="s">
        <v>368</v>
      </c>
      <c r="B245" s="10">
        <v>45893</v>
      </c>
      <c r="C245">
        <v>2025</v>
      </c>
      <c r="D245">
        <v>8</v>
      </c>
      <c r="E245" t="s">
        <v>122</v>
      </c>
      <c r="F245" t="s">
        <v>123</v>
      </c>
      <c r="G245" t="s">
        <v>126</v>
      </c>
      <c r="H245" t="s">
        <v>112</v>
      </c>
      <c r="I245" t="s">
        <v>81</v>
      </c>
      <c r="J245" t="s">
        <v>82</v>
      </c>
      <c r="K245" t="s">
        <v>83</v>
      </c>
      <c r="L245" t="s">
        <v>84</v>
      </c>
      <c r="M245" s="11">
        <v>25.03</v>
      </c>
      <c r="N245" s="11">
        <v>6.38</v>
      </c>
      <c r="O245" s="11">
        <v>3.21</v>
      </c>
      <c r="P245" s="11">
        <v>0.03</v>
      </c>
      <c r="Q245" s="11">
        <v>4.5999999999999996</v>
      </c>
      <c r="R245" s="11">
        <v>1</v>
      </c>
      <c r="S245" s="11">
        <f t="shared" si="24"/>
        <v>25.03</v>
      </c>
      <c r="T245" s="11">
        <f t="shared" si="25"/>
        <v>6.38</v>
      </c>
      <c r="U245" s="11">
        <f t="shared" si="26"/>
        <v>3.21</v>
      </c>
      <c r="V245" s="11">
        <f t="shared" si="27"/>
        <v>0.75</v>
      </c>
      <c r="W245" s="11" t="s">
        <v>66</v>
      </c>
      <c r="X245" s="11">
        <v>0</v>
      </c>
      <c r="Y245" s="11">
        <f t="shared" si="28"/>
        <v>14.94</v>
      </c>
      <c r="Z245" s="11">
        <f t="shared" si="29"/>
        <v>10.090000000000002</v>
      </c>
      <c r="AA245" s="12">
        <f t="shared" si="30"/>
        <v>0.40311626048741517</v>
      </c>
      <c r="AB245" s="13">
        <f t="shared" si="31"/>
        <v>5.4413043478260876</v>
      </c>
      <c r="AC245" t="s">
        <v>67</v>
      </c>
    </row>
    <row r="246" spans="1:29" ht="14.25" customHeight="1" x14ac:dyDescent="0.45">
      <c r="A246" t="s">
        <v>369</v>
      </c>
      <c r="B246" s="10">
        <v>45893</v>
      </c>
      <c r="C246">
        <v>2025</v>
      </c>
      <c r="D246">
        <v>8</v>
      </c>
      <c r="E246" t="s">
        <v>77</v>
      </c>
      <c r="F246" t="s">
        <v>102</v>
      </c>
      <c r="G246" t="s">
        <v>60</v>
      </c>
      <c r="H246" t="s">
        <v>61</v>
      </c>
      <c r="I246" t="s">
        <v>107</v>
      </c>
      <c r="J246" t="s">
        <v>108</v>
      </c>
      <c r="K246" t="s">
        <v>109</v>
      </c>
      <c r="L246" t="s">
        <v>110</v>
      </c>
      <c r="M246" s="11">
        <v>18.11</v>
      </c>
      <c r="N246" s="11">
        <v>3.77</v>
      </c>
      <c r="O246" s="11">
        <v>2.39</v>
      </c>
      <c r="P246" s="11">
        <v>0.03</v>
      </c>
      <c r="Q246" s="11">
        <v>5.07</v>
      </c>
      <c r="R246" s="11">
        <v>1</v>
      </c>
      <c r="S246" s="11">
        <f t="shared" si="24"/>
        <v>18.11</v>
      </c>
      <c r="T246" s="11">
        <f t="shared" si="25"/>
        <v>3.77</v>
      </c>
      <c r="U246" s="11">
        <f t="shared" si="26"/>
        <v>2.39</v>
      </c>
      <c r="V246" s="11">
        <f t="shared" si="27"/>
        <v>0.54</v>
      </c>
      <c r="W246" s="11" t="s">
        <v>154</v>
      </c>
      <c r="X246" s="11">
        <v>9.68</v>
      </c>
      <c r="Y246" s="11">
        <f t="shared" si="28"/>
        <v>21.45</v>
      </c>
      <c r="Z246" s="11">
        <f t="shared" si="29"/>
        <v>-3.34</v>
      </c>
      <c r="AA246" s="12">
        <f t="shared" si="30"/>
        <v>-0.18442849254555493</v>
      </c>
      <c r="AB246" s="13">
        <f t="shared" si="31"/>
        <v>3.5719921104536487</v>
      </c>
      <c r="AC246" t="s">
        <v>155</v>
      </c>
    </row>
    <row r="247" spans="1:29" ht="14.25" customHeight="1" x14ac:dyDescent="0.45">
      <c r="A247" t="s">
        <v>370</v>
      </c>
      <c r="B247" s="10">
        <v>45893</v>
      </c>
      <c r="C247">
        <v>2025</v>
      </c>
      <c r="D247">
        <v>8</v>
      </c>
      <c r="E247" t="s">
        <v>122</v>
      </c>
      <c r="F247" t="s">
        <v>123</v>
      </c>
      <c r="G247" t="s">
        <v>126</v>
      </c>
      <c r="H247" t="s">
        <v>61</v>
      </c>
      <c r="I247" t="s">
        <v>97</v>
      </c>
      <c r="J247" t="s">
        <v>98</v>
      </c>
      <c r="K247" t="s">
        <v>99</v>
      </c>
      <c r="L247" t="s">
        <v>100</v>
      </c>
      <c r="M247" s="11">
        <v>36.369999999999997</v>
      </c>
      <c r="N247" s="11">
        <v>8.57</v>
      </c>
      <c r="O247" s="11">
        <v>3.64</v>
      </c>
      <c r="P247" s="11">
        <v>0.03</v>
      </c>
      <c r="Q247" s="11">
        <v>6.33</v>
      </c>
      <c r="R247" s="11">
        <v>1</v>
      </c>
      <c r="S247" s="11">
        <f t="shared" si="24"/>
        <v>36.369999999999997</v>
      </c>
      <c r="T247" s="11">
        <f t="shared" si="25"/>
        <v>8.57</v>
      </c>
      <c r="U247" s="11">
        <f t="shared" si="26"/>
        <v>3.64</v>
      </c>
      <c r="V247" s="11">
        <f t="shared" si="27"/>
        <v>1.0900000000000001</v>
      </c>
      <c r="W247" s="11" t="s">
        <v>66</v>
      </c>
      <c r="X247" s="11">
        <v>0</v>
      </c>
      <c r="Y247" s="11">
        <f t="shared" si="28"/>
        <v>19.630000000000003</v>
      </c>
      <c r="Z247" s="11">
        <f t="shared" si="29"/>
        <v>16.739999999999995</v>
      </c>
      <c r="AA247" s="12">
        <f t="shared" si="30"/>
        <v>0.46026945284575188</v>
      </c>
      <c r="AB247" s="13">
        <f t="shared" si="31"/>
        <v>5.7456556082148493</v>
      </c>
      <c r="AC247" t="s">
        <v>67</v>
      </c>
    </row>
    <row r="248" spans="1:29" ht="14.25" customHeight="1" x14ac:dyDescent="0.45">
      <c r="A248" t="s">
        <v>371</v>
      </c>
      <c r="B248" s="10">
        <v>45893</v>
      </c>
      <c r="C248">
        <v>2025</v>
      </c>
      <c r="D248">
        <v>8</v>
      </c>
      <c r="E248" t="s">
        <v>122</v>
      </c>
      <c r="F248" t="s">
        <v>123</v>
      </c>
      <c r="G248" t="s">
        <v>93</v>
      </c>
      <c r="H248" t="s">
        <v>86</v>
      </c>
      <c r="I248" t="s">
        <v>107</v>
      </c>
      <c r="J248" t="s">
        <v>108</v>
      </c>
      <c r="K248" t="s">
        <v>109</v>
      </c>
      <c r="L248" t="s">
        <v>110</v>
      </c>
      <c r="M248" s="11">
        <v>20.21</v>
      </c>
      <c r="N248" s="11">
        <v>3.43</v>
      </c>
      <c r="O248" s="11">
        <v>2.6</v>
      </c>
      <c r="P248" s="11">
        <v>0.03</v>
      </c>
      <c r="Q248" s="11">
        <v>6.97</v>
      </c>
      <c r="R248" s="11">
        <v>1</v>
      </c>
      <c r="S248" s="11">
        <f t="shared" si="24"/>
        <v>20.21</v>
      </c>
      <c r="T248" s="11">
        <f t="shared" si="25"/>
        <v>3.43</v>
      </c>
      <c r="U248" s="11">
        <f t="shared" si="26"/>
        <v>2.6</v>
      </c>
      <c r="V248" s="11">
        <f t="shared" si="27"/>
        <v>0.61</v>
      </c>
      <c r="W248" s="11" t="s">
        <v>66</v>
      </c>
      <c r="X248" s="11">
        <v>0</v>
      </c>
      <c r="Y248" s="11">
        <f t="shared" si="28"/>
        <v>13.61</v>
      </c>
      <c r="Z248" s="11">
        <f t="shared" si="29"/>
        <v>6.6000000000000014</v>
      </c>
      <c r="AA248" s="12">
        <f t="shared" si="30"/>
        <v>0.32657100445324105</v>
      </c>
      <c r="AB248" s="13">
        <f t="shared" si="31"/>
        <v>2.8995695839311337</v>
      </c>
      <c r="AC248" t="s">
        <v>67</v>
      </c>
    </row>
    <row r="249" spans="1:29" ht="14.25" customHeight="1" x14ac:dyDescent="0.45">
      <c r="A249" t="s">
        <v>372</v>
      </c>
      <c r="B249" s="10">
        <v>45894</v>
      </c>
      <c r="C249">
        <v>2025</v>
      </c>
      <c r="D249">
        <v>8</v>
      </c>
      <c r="E249" t="s">
        <v>95</v>
      </c>
      <c r="F249" t="s">
        <v>96</v>
      </c>
      <c r="G249" t="s">
        <v>105</v>
      </c>
      <c r="H249" t="s">
        <v>61</v>
      </c>
      <c r="I249" t="s">
        <v>107</v>
      </c>
      <c r="J249" t="s">
        <v>108</v>
      </c>
      <c r="K249" t="s">
        <v>109</v>
      </c>
      <c r="L249" t="s">
        <v>110</v>
      </c>
      <c r="M249" s="11">
        <v>21.18</v>
      </c>
      <c r="N249" s="11">
        <v>3.51</v>
      </c>
      <c r="O249" s="11">
        <v>2.65</v>
      </c>
      <c r="P249" s="11">
        <v>0.03</v>
      </c>
      <c r="Q249" s="11">
        <v>10.73</v>
      </c>
      <c r="R249" s="11">
        <v>3</v>
      </c>
      <c r="S249" s="11">
        <f t="shared" si="24"/>
        <v>63.54</v>
      </c>
      <c r="T249" s="11">
        <f t="shared" si="25"/>
        <v>10.53</v>
      </c>
      <c r="U249" s="11">
        <f t="shared" si="26"/>
        <v>7.9499999999999993</v>
      </c>
      <c r="V249" s="11">
        <f t="shared" si="27"/>
        <v>1.91</v>
      </c>
      <c r="W249" s="11" t="s">
        <v>66</v>
      </c>
      <c r="X249" s="11">
        <v>0</v>
      </c>
      <c r="Y249" s="11">
        <f t="shared" si="28"/>
        <v>31.119999999999997</v>
      </c>
      <c r="Z249" s="11">
        <f t="shared" si="29"/>
        <v>32.42</v>
      </c>
      <c r="AA249" s="12">
        <f t="shared" si="30"/>
        <v>0.51022977651872836</v>
      </c>
      <c r="AB249" s="13">
        <f t="shared" si="31"/>
        <v>5.9217148182665422</v>
      </c>
      <c r="AC249" t="s">
        <v>67</v>
      </c>
    </row>
    <row r="250" spans="1:29" ht="14.25" customHeight="1" x14ac:dyDescent="0.45">
      <c r="A250" t="s">
        <v>373</v>
      </c>
      <c r="B250" s="10">
        <v>45894</v>
      </c>
      <c r="C250">
        <v>2025</v>
      </c>
      <c r="D250">
        <v>8</v>
      </c>
      <c r="E250" t="s">
        <v>77</v>
      </c>
      <c r="F250" t="s">
        <v>104</v>
      </c>
      <c r="G250" t="s">
        <v>60</v>
      </c>
      <c r="H250" t="s">
        <v>112</v>
      </c>
      <c r="I250" t="s">
        <v>72</v>
      </c>
      <c r="J250" t="s">
        <v>73</v>
      </c>
      <c r="K250" t="s">
        <v>74</v>
      </c>
      <c r="L250" t="s">
        <v>75</v>
      </c>
      <c r="M250" s="11">
        <v>49.53</v>
      </c>
      <c r="N250" s="11">
        <v>14.53</v>
      </c>
      <c r="O250" s="11">
        <v>6.87</v>
      </c>
      <c r="P250" s="11">
        <v>0.03</v>
      </c>
      <c r="Q250" s="11">
        <v>6.81</v>
      </c>
      <c r="R250" s="11">
        <v>1</v>
      </c>
      <c r="S250" s="11">
        <f t="shared" si="24"/>
        <v>49.53</v>
      </c>
      <c r="T250" s="11">
        <f t="shared" si="25"/>
        <v>14.53</v>
      </c>
      <c r="U250" s="11">
        <f t="shared" si="26"/>
        <v>6.87</v>
      </c>
      <c r="V250" s="11">
        <f t="shared" si="27"/>
        <v>1.49</v>
      </c>
      <c r="W250" s="11" t="s">
        <v>66</v>
      </c>
      <c r="X250" s="11">
        <v>0</v>
      </c>
      <c r="Y250" s="11">
        <f t="shared" si="28"/>
        <v>29.699999999999996</v>
      </c>
      <c r="Z250" s="11">
        <f t="shared" si="29"/>
        <v>19.830000000000005</v>
      </c>
      <c r="AA250" s="12">
        <f t="shared" si="30"/>
        <v>0.40036341611144771</v>
      </c>
      <c r="AB250" s="13">
        <f t="shared" si="31"/>
        <v>7.2731277533039655</v>
      </c>
      <c r="AC250" t="s">
        <v>67</v>
      </c>
    </row>
    <row r="251" spans="1:29" ht="14.25" customHeight="1" x14ac:dyDescent="0.45">
      <c r="A251" t="s">
        <v>374</v>
      </c>
      <c r="B251" s="10">
        <v>45894</v>
      </c>
      <c r="C251">
        <v>2025</v>
      </c>
      <c r="D251">
        <v>8</v>
      </c>
      <c r="E251" t="s">
        <v>77</v>
      </c>
      <c r="F251" t="s">
        <v>78</v>
      </c>
      <c r="G251" t="s">
        <v>71</v>
      </c>
      <c r="H251" t="s">
        <v>80</v>
      </c>
      <c r="I251" t="s">
        <v>87</v>
      </c>
      <c r="J251" t="s">
        <v>88</v>
      </c>
      <c r="K251" t="s">
        <v>89</v>
      </c>
      <c r="L251" t="s">
        <v>90</v>
      </c>
      <c r="M251" s="11">
        <v>64.89</v>
      </c>
      <c r="N251" s="11">
        <v>23.46</v>
      </c>
      <c r="O251" s="11">
        <v>6.76</v>
      </c>
      <c r="P251" s="11">
        <v>0.03</v>
      </c>
      <c r="Q251" s="11">
        <v>0</v>
      </c>
      <c r="R251" s="11">
        <v>1</v>
      </c>
      <c r="S251" s="11">
        <f t="shared" si="24"/>
        <v>64.89</v>
      </c>
      <c r="T251" s="11">
        <f t="shared" si="25"/>
        <v>23.46</v>
      </c>
      <c r="U251" s="11">
        <f t="shared" si="26"/>
        <v>6.76</v>
      </c>
      <c r="V251" s="11">
        <f t="shared" si="27"/>
        <v>1.95</v>
      </c>
      <c r="W251" s="11" t="s">
        <v>66</v>
      </c>
      <c r="X251" s="11">
        <v>0</v>
      </c>
      <c r="Y251" s="11">
        <f t="shared" si="28"/>
        <v>32.17</v>
      </c>
      <c r="Z251" s="11">
        <f t="shared" si="29"/>
        <v>32.72</v>
      </c>
      <c r="AA251" s="12">
        <f t="shared" si="30"/>
        <v>0.50423794113114495</v>
      </c>
      <c r="AB251" s="13">
        <f t="shared" si="31"/>
        <v>0</v>
      </c>
      <c r="AC251" t="s">
        <v>67</v>
      </c>
    </row>
    <row r="252" spans="1:29" ht="14.25" customHeight="1" x14ac:dyDescent="0.45">
      <c r="A252" t="s">
        <v>375</v>
      </c>
      <c r="B252" s="10">
        <v>45895</v>
      </c>
      <c r="C252">
        <v>2025</v>
      </c>
      <c r="D252">
        <v>8</v>
      </c>
      <c r="E252" t="s">
        <v>95</v>
      </c>
      <c r="F252" t="s">
        <v>96</v>
      </c>
      <c r="G252" t="s">
        <v>60</v>
      </c>
      <c r="H252" t="s">
        <v>127</v>
      </c>
      <c r="I252" t="s">
        <v>113</v>
      </c>
      <c r="J252" t="s">
        <v>114</v>
      </c>
      <c r="K252" t="s">
        <v>115</v>
      </c>
      <c r="L252" t="s">
        <v>116</v>
      </c>
      <c r="M252" s="11">
        <v>45.18</v>
      </c>
      <c r="N252" s="11">
        <v>16.3</v>
      </c>
      <c r="O252" s="11">
        <v>6.12</v>
      </c>
      <c r="P252" s="11">
        <v>0.03</v>
      </c>
      <c r="Q252" s="11">
        <v>3.48</v>
      </c>
      <c r="R252" s="11">
        <v>1</v>
      </c>
      <c r="S252" s="11">
        <f t="shared" si="24"/>
        <v>45.18</v>
      </c>
      <c r="T252" s="11">
        <f t="shared" si="25"/>
        <v>16.3</v>
      </c>
      <c r="U252" s="11">
        <f t="shared" si="26"/>
        <v>6.12</v>
      </c>
      <c r="V252" s="11">
        <f t="shared" si="27"/>
        <v>1.36</v>
      </c>
      <c r="W252" s="11" t="s">
        <v>66</v>
      </c>
      <c r="X252" s="11">
        <v>0</v>
      </c>
      <c r="Y252" s="11">
        <f t="shared" si="28"/>
        <v>27.26</v>
      </c>
      <c r="Z252" s="11">
        <f t="shared" si="29"/>
        <v>17.919999999999998</v>
      </c>
      <c r="AA252" s="12">
        <f t="shared" si="30"/>
        <v>0.39663567950420536</v>
      </c>
      <c r="AB252" s="13">
        <f t="shared" si="31"/>
        <v>12.982758620689655</v>
      </c>
      <c r="AC252" t="s">
        <v>67</v>
      </c>
    </row>
    <row r="253" spans="1:29" ht="14.25" customHeight="1" x14ac:dyDescent="0.45">
      <c r="A253" t="s">
        <v>376</v>
      </c>
      <c r="B253" s="10">
        <v>45895</v>
      </c>
      <c r="C253">
        <v>2025</v>
      </c>
      <c r="D253">
        <v>8</v>
      </c>
      <c r="E253" t="s">
        <v>69</v>
      </c>
      <c r="F253" t="s">
        <v>70</v>
      </c>
      <c r="G253" t="s">
        <v>71</v>
      </c>
      <c r="H253" t="s">
        <v>86</v>
      </c>
      <c r="I253" t="s">
        <v>113</v>
      </c>
      <c r="J253" t="s">
        <v>114</v>
      </c>
      <c r="K253" t="s">
        <v>115</v>
      </c>
      <c r="L253" t="s">
        <v>116</v>
      </c>
      <c r="M253" s="11">
        <v>48.11</v>
      </c>
      <c r="N253" s="11">
        <v>16.72</v>
      </c>
      <c r="O253" s="11">
        <v>5.97</v>
      </c>
      <c r="P253" s="11">
        <v>0.03</v>
      </c>
      <c r="Q253" s="11">
        <v>0</v>
      </c>
      <c r="R253" s="11">
        <v>2</v>
      </c>
      <c r="S253" s="11">
        <f t="shared" si="24"/>
        <v>96.22</v>
      </c>
      <c r="T253" s="11">
        <f t="shared" si="25"/>
        <v>33.44</v>
      </c>
      <c r="U253" s="11">
        <f t="shared" si="26"/>
        <v>11.94</v>
      </c>
      <c r="V253" s="11">
        <f t="shared" si="27"/>
        <v>2.89</v>
      </c>
      <c r="W253" s="11" t="s">
        <v>66</v>
      </c>
      <c r="X253" s="11">
        <v>0</v>
      </c>
      <c r="Y253" s="11">
        <f t="shared" si="28"/>
        <v>48.269999999999996</v>
      </c>
      <c r="Z253" s="11">
        <f t="shared" si="29"/>
        <v>47.95</v>
      </c>
      <c r="AA253" s="12">
        <f t="shared" si="30"/>
        <v>0.49833714404489715</v>
      </c>
      <c r="AB253" s="13">
        <f t="shared" si="31"/>
        <v>0</v>
      </c>
      <c r="AC253" t="s">
        <v>67</v>
      </c>
    </row>
    <row r="254" spans="1:29" ht="14.25" customHeight="1" x14ac:dyDescent="0.45">
      <c r="A254" t="s">
        <v>377</v>
      </c>
      <c r="B254" s="10">
        <v>45896</v>
      </c>
      <c r="C254">
        <v>2025</v>
      </c>
      <c r="D254">
        <v>8</v>
      </c>
      <c r="E254" t="s">
        <v>58</v>
      </c>
      <c r="F254" t="s">
        <v>92</v>
      </c>
      <c r="G254" t="s">
        <v>126</v>
      </c>
      <c r="H254" t="s">
        <v>127</v>
      </c>
      <c r="I254" t="s">
        <v>97</v>
      </c>
      <c r="J254" t="s">
        <v>98</v>
      </c>
      <c r="K254" t="s">
        <v>99</v>
      </c>
      <c r="L254" t="s">
        <v>100</v>
      </c>
      <c r="M254" s="11">
        <v>33.71</v>
      </c>
      <c r="N254" s="11">
        <v>9.65</v>
      </c>
      <c r="O254" s="11">
        <v>3.97</v>
      </c>
      <c r="P254" s="11">
        <v>0.03</v>
      </c>
      <c r="Q254" s="11">
        <v>19.54</v>
      </c>
      <c r="R254" s="11">
        <v>2</v>
      </c>
      <c r="S254" s="11">
        <f t="shared" si="24"/>
        <v>67.42</v>
      </c>
      <c r="T254" s="11">
        <f t="shared" si="25"/>
        <v>19.3</v>
      </c>
      <c r="U254" s="11">
        <f t="shared" si="26"/>
        <v>7.94</v>
      </c>
      <c r="V254" s="11">
        <f t="shared" si="27"/>
        <v>2.02</v>
      </c>
      <c r="W254" s="11" t="s">
        <v>66</v>
      </c>
      <c r="X254" s="11">
        <v>0</v>
      </c>
      <c r="Y254" s="11">
        <f t="shared" si="28"/>
        <v>48.8</v>
      </c>
      <c r="Z254" s="11">
        <f t="shared" si="29"/>
        <v>18.620000000000005</v>
      </c>
      <c r="AA254" s="12">
        <f t="shared" si="30"/>
        <v>0.27617917531889652</v>
      </c>
      <c r="AB254" s="13">
        <f t="shared" si="31"/>
        <v>3.4503582395087005</v>
      </c>
      <c r="AC254" t="s">
        <v>67</v>
      </c>
    </row>
    <row r="255" spans="1:29" ht="14.25" customHeight="1" x14ac:dyDescent="0.45">
      <c r="A255" t="s">
        <v>378</v>
      </c>
      <c r="B255" s="10">
        <v>45897</v>
      </c>
      <c r="C255">
        <v>2025</v>
      </c>
      <c r="D255">
        <v>8</v>
      </c>
      <c r="E255" t="s">
        <v>69</v>
      </c>
      <c r="F255" t="s">
        <v>70</v>
      </c>
      <c r="G255" t="s">
        <v>93</v>
      </c>
      <c r="H255" t="s">
        <v>80</v>
      </c>
      <c r="I255" t="s">
        <v>147</v>
      </c>
      <c r="J255" t="s">
        <v>148</v>
      </c>
      <c r="K255" t="s">
        <v>149</v>
      </c>
      <c r="L255" t="s">
        <v>150</v>
      </c>
      <c r="M255" s="11">
        <v>31.26</v>
      </c>
      <c r="N255" s="11">
        <v>7.1</v>
      </c>
      <c r="O255" s="11">
        <v>4.12</v>
      </c>
      <c r="P255" s="11">
        <v>0.03</v>
      </c>
      <c r="Q255" s="11">
        <v>7.17</v>
      </c>
      <c r="R255" s="11">
        <v>1</v>
      </c>
      <c r="S255" s="11">
        <f t="shared" si="24"/>
        <v>31.26</v>
      </c>
      <c r="T255" s="11">
        <f t="shared" si="25"/>
        <v>7.1</v>
      </c>
      <c r="U255" s="11">
        <f t="shared" si="26"/>
        <v>4.12</v>
      </c>
      <c r="V255" s="11">
        <f t="shared" si="27"/>
        <v>0.94</v>
      </c>
      <c r="W255" s="11" t="s">
        <v>66</v>
      </c>
      <c r="X255" s="11">
        <v>0</v>
      </c>
      <c r="Y255" s="11">
        <f t="shared" si="28"/>
        <v>19.329999999999998</v>
      </c>
      <c r="Z255" s="11">
        <f t="shared" si="29"/>
        <v>11.930000000000003</v>
      </c>
      <c r="AA255" s="12">
        <f t="shared" si="30"/>
        <v>0.38163787587971859</v>
      </c>
      <c r="AB255" s="13">
        <f t="shared" si="31"/>
        <v>4.3598326359832642</v>
      </c>
      <c r="AC255" t="s">
        <v>67</v>
      </c>
    </row>
    <row r="256" spans="1:29" ht="14.25" customHeight="1" x14ac:dyDescent="0.45">
      <c r="A256" t="s">
        <v>379</v>
      </c>
      <c r="B256" s="10">
        <v>45897</v>
      </c>
      <c r="C256">
        <v>2025</v>
      </c>
      <c r="D256">
        <v>8</v>
      </c>
      <c r="E256" t="s">
        <v>122</v>
      </c>
      <c r="F256" t="s">
        <v>123</v>
      </c>
      <c r="G256" t="s">
        <v>126</v>
      </c>
      <c r="H256" t="s">
        <v>127</v>
      </c>
      <c r="I256" t="s">
        <v>138</v>
      </c>
      <c r="J256" t="s">
        <v>139</v>
      </c>
      <c r="K256" t="s">
        <v>89</v>
      </c>
      <c r="L256" t="s">
        <v>140</v>
      </c>
      <c r="M256" s="11">
        <v>39.49</v>
      </c>
      <c r="N256" s="11">
        <v>8.66</v>
      </c>
      <c r="O256" s="11">
        <v>3.91</v>
      </c>
      <c r="P256" s="11">
        <v>0.03</v>
      </c>
      <c r="Q256" s="11">
        <v>1.39</v>
      </c>
      <c r="R256" s="11">
        <v>1</v>
      </c>
      <c r="S256" s="11">
        <f t="shared" si="24"/>
        <v>39.49</v>
      </c>
      <c r="T256" s="11">
        <f t="shared" si="25"/>
        <v>8.66</v>
      </c>
      <c r="U256" s="11">
        <f t="shared" si="26"/>
        <v>3.91</v>
      </c>
      <c r="V256" s="11">
        <f t="shared" si="27"/>
        <v>1.18</v>
      </c>
      <c r="W256" s="11" t="s">
        <v>66</v>
      </c>
      <c r="X256" s="11">
        <v>0</v>
      </c>
      <c r="Y256" s="11">
        <f t="shared" si="28"/>
        <v>15.14</v>
      </c>
      <c r="Z256" s="11">
        <f t="shared" si="29"/>
        <v>24.35</v>
      </c>
      <c r="AA256" s="12">
        <f t="shared" si="30"/>
        <v>0.61661180045581165</v>
      </c>
      <c r="AB256" s="13">
        <f t="shared" si="31"/>
        <v>28.410071942446045</v>
      </c>
      <c r="AC256" t="s">
        <v>67</v>
      </c>
    </row>
    <row r="257" spans="1:29" ht="14.25" customHeight="1" x14ac:dyDescent="0.45">
      <c r="A257" t="s">
        <v>380</v>
      </c>
      <c r="B257" s="10">
        <v>45899</v>
      </c>
      <c r="C257">
        <v>2025</v>
      </c>
      <c r="D257">
        <v>8</v>
      </c>
      <c r="E257" t="s">
        <v>69</v>
      </c>
      <c r="F257" t="s">
        <v>70</v>
      </c>
      <c r="G257" t="s">
        <v>126</v>
      </c>
      <c r="H257" t="s">
        <v>127</v>
      </c>
      <c r="I257" t="s">
        <v>113</v>
      </c>
      <c r="J257" t="s">
        <v>114</v>
      </c>
      <c r="K257" t="s">
        <v>115</v>
      </c>
      <c r="L257" t="s">
        <v>116</v>
      </c>
      <c r="M257" s="11">
        <v>51.05</v>
      </c>
      <c r="N257" s="11">
        <v>16.13</v>
      </c>
      <c r="O257" s="11">
        <v>6.54</v>
      </c>
      <c r="P257" s="11">
        <v>0.03</v>
      </c>
      <c r="Q257" s="11">
        <v>11.51</v>
      </c>
      <c r="R257" s="11">
        <v>2</v>
      </c>
      <c r="S257" s="11">
        <f t="shared" si="24"/>
        <v>102.1</v>
      </c>
      <c r="T257" s="11">
        <f t="shared" si="25"/>
        <v>32.26</v>
      </c>
      <c r="U257" s="11">
        <f t="shared" si="26"/>
        <v>13.08</v>
      </c>
      <c r="V257" s="11">
        <f t="shared" si="27"/>
        <v>3.06</v>
      </c>
      <c r="W257" s="11" t="s">
        <v>154</v>
      </c>
      <c r="X257" s="11">
        <v>62.83</v>
      </c>
      <c r="Y257" s="11">
        <f t="shared" si="28"/>
        <v>122.74</v>
      </c>
      <c r="Z257" s="11">
        <f t="shared" si="29"/>
        <v>-20.64</v>
      </c>
      <c r="AA257" s="12">
        <f t="shared" si="30"/>
        <v>-0.20215475024485799</v>
      </c>
      <c r="AB257" s="13">
        <f t="shared" si="31"/>
        <v>8.8705473501303214</v>
      </c>
      <c r="AC257" t="s">
        <v>155</v>
      </c>
    </row>
    <row r="258" spans="1:29" ht="14.25" customHeight="1" x14ac:dyDescent="0.45">
      <c r="A258" t="s">
        <v>381</v>
      </c>
      <c r="B258" s="10">
        <v>45899</v>
      </c>
      <c r="C258">
        <v>2025</v>
      </c>
      <c r="D258">
        <v>8</v>
      </c>
      <c r="E258" t="s">
        <v>58</v>
      </c>
      <c r="F258" t="s">
        <v>92</v>
      </c>
      <c r="G258" t="s">
        <v>126</v>
      </c>
      <c r="H258" t="s">
        <v>61</v>
      </c>
      <c r="I258" t="s">
        <v>113</v>
      </c>
      <c r="J258" t="s">
        <v>114</v>
      </c>
      <c r="K258" t="s">
        <v>115</v>
      </c>
      <c r="L258" t="s">
        <v>116</v>
      </c>
      <c r="M258" s="11">
        <v>52.34</v>
      </c>
      <c r="N258" s="11">
        <v>15.71</v>
      </c>
      <c r="O258" s="11">
        <v>6.06</v>
      </c>
      <c r="P258" s="11">
        <v>0.03</v>
      </c>
      <c r="Q258" s="11">
        <v>19.940000000000001</v>
      </c>
      <c r="R258" s="11">
        <v>2</v>
      </c>
      <c r="S258" s="11">
        <f t="shared" ref="S258:S321" si="32">IF(AC258="Cancelled",0,M258*R258)</f>
        <v>104.68</v>
      </c>
      <c r="T258" s="11">
        <f t="shared" ref="T258:T321" si="33">IF(AC258="Cancelled",0,N258*R258)</f>
        <v>31.42</v>
      </c>
      <c r="U258" s="11">
        <f t="shared" ref="U258:U321" si="34">IF(AC258="Cancelled",0,O258*R258)</f>
        <v>12.12</v>
      </c>
      <c r="V258" s="11">
        <f t="shared" ref="V258:V321" si="35">IF(AC258="Cancelled",0,ROUND(P258*S258,2))</f>
        <v>3.14</v>
      </c>
      <c r="W258" s="11" t="s">
        <v>154</v>
      </c>
      <c r="X258" s="11">
        <v>84.91</v>
      </c>
      <c r="Y258" s="11">
        <f t="shared" ref="Y258:Y321" si="36">IF(AC258="Cancelled",0,T258+U258+V258+Q258+X258)</f>
        <v>151.53</v>
      </c>
      <c r="Z258" s="11">
        <f t="shared" ref="Z258:Z321" si="37">IF(AC258="Cancelled",-Q258,S258-Y258)</f>
        <v>-46.849999999999994</v>
      </c>
      <c r="AA258" s="12">
        <f t="shared" ref="AA258:AA321" si="38">IF(OR(AC258="Cancelled",S258=0),0,Z258/S258)</f>
        <v>-0.44755445166220853</v>
      </c>
      <c r="AB258" s="13">
        <f t="shared" ref="AB258:AB321" si="39">IFERROR(S258/Q258,0)</f>
        <v>5.2497492477432299</v>
      </c>
      <c r="AC258" t="s">
        <v>155</v>
      </c>
    </row>
    <row r="259" spans="1:29" ht="14.25" customHeight="1" x14ac:dyDescent="0.45">
      <c r="A259" t="s">
        <v>382</v>
      </c>
      <c r="B259" s="10">
        <v>45901</v>
      </c>
      <c r="C259">
        <v>2025</v>
      </c>
      <c r="D259">
        <v>9</v>
      </c>
      <c r="E259" t="s">
        <v>69</v>
      </c>
      <c r="F259" t="s">
        <v>70</v>
      </c>
      <c r="G259" t="s">
        <v>93</v>
      </c>
      <c r="H259" t="s">
        <v>127</v>
      </c>
      <c r="I259" t="s">
        <v>62</v>
      </c>
      <c r="J259" t="s">
        <v>63</v>
      </c>
      <c r="K259" t="s">
        <v>64</v>
      </c>
      <c r="L259" t="s">
        <v>65</v>
      </c>
      <c r="M259" s="11">
        <v>30.45</v>
      </c>
      <c r="N259" s="11">
        <v>10.53</v>
      </c>
      <c r="O259" s="11">
        <v>4.45</v>
      </c>
      <c r="P259" s="11">
        <v>0.03</v>
      </c>
      <c r="Q259" s="11">
        <v>7.54</v>
      </c>
      <c r="R259" s="11">
        <v>2</v>
      </c>
      <c r="S259" s="11">
        <f t="shared" si="32"/>
        <v>60.9</v>
      </c>
      <c r="T259" s="11">
        <f t="shared" si="33"/>
        <v>21.06</v>
      </c>
      <c r="U259" s="11">
        <f t="shared" si="34"/>
        <v>8.9</v>
      </c>
      <c r="V259" s="11">
        <f t="shared" si="35"/>
        <v>1.83</v>
      </c>
      <c r="W259" s="11" t="s">
        <v>66</v>
      </c>
      <c r="X259" s="11">
        <v>0</v>
      </c>
      <c r="Y259" s="11">
        <f t="shared" si="36"/>
        <v>39.33</v>
      </c>
      <c r="Z259" s="11">
        <f t="shared" si="37"/>
        <v>21.57</v>
      </c>
      <c r="AA259" s="12">
        <f t="shared" si="38"/>
        <v>0.35418719211822663</v>
      </c>
      <c r="AB259" s="13">
        <f t="shared" si="39"/>
        <v>8.0769230769230766</v>
      </c>
      <c r="AC259" t="s">
        <v>67</v>
      </c>
    </row>
    <row r="260" spans="1:29" ht="14.25" customHeight="1" x14ac:dyDescent="0.45">
      <c r="A260" t="s">
        <v>383</v>
      </c>
      <c r="B260" s="10">
        <v>45901</v>
      </c>
      <c r="C260">
        <v>2025</v>
      </c>
      <c r="D260">
        <v>9</v>
      </c>
      <c r="E260" t="s">
        <v>95</v>
      </c>
      <c r="F260" t="s">
        <v>96</v>
      </c>
      <c r="G260" t="s">
        <v>105</v>
      </c>
      <c r="H260" t="s">
        <v>80</v>
      </c>
      <c r="I260" t="s">
        <v>138</v>
      </c>
      <c r="J260" t="s">
        <v>139</v>
      </c>
      <c r="K260" t="s">
        <v>89</v>
      </c>
      <c r="L260" t="s">
        <v>140</v>
      </c>
      <c r="M260" s="11">
        <v>37.270000000000003</v>
      </c>
      <c r="N260" s="11">
        <v>8.18</v>
      </c>
      <c r="O260" s="11">
        <v>4.5599999999999996</v>
      </c>
      <c r="P260" s="11">
        <v>0.03</v>
      </c>
      <c r="Q260" s="11">
        <v>6.01</v>
      </c>
      <c r="R260" s="11">
        <v>1</v>
      </c>
      <c r="S260" s="11">
        <f t="shared" si="32"/>
        <v>37.270000000000003</v>
      </c>
      <c r="T260" s="11">
        <f t="shared" si="33"/>
        <v>8.18</v>
      </c>
      <c r="U260" s="11">
        <f t="shared" si="34"/>
        <v>4.5599999999999996</v>
      </c>
      <c r="V260" s="11">
        <f t="shared" si="35"/>
        <v>1.1200000000000001</v>
      </c>
      <c r="W260" s="11" t="s">
        <v>66</v>
      </c>
      <c r="X260" s="11">
        <v>0</v>
      </c>
      <c r="Y260" s="11">
        <f t="shared" si="36"/>
        <v>19.869999999999997</v>
      </c>
      <c r="Z260" s="11">
        <f t="shared" si="37"/>
        <v>17.400000000000006</v>
      </c>
      <c r="AA260" s="12">
        <f t="shared" si="38"/>
        <v>0.46686342903139266</v>
      </c>
      <c r="AB260" s="13">
        <f t="shared" si="39"/>
        <v>6.201331114808653</v>
      </c>
      <c r="AC260" t="s">
        <v>67</v>
      </c>
    </row>
    <row r="261" spans="1:29" ht="14.25" customHeight="1" x14ac:dyDescent="0.45">
      <c r="A261" t="s">
        <v>384</v>
      </c>
      <c r="B261" s="10">
        <v>45901</v>
      </c>
      <c r="C261">
        <v>2025</v>
      </c>
      <c r="D261">
        <v>9</v>
      </c>
      <c r="E261" t="s">
        <v>95</v>
      </c>
      <c r="F261" t="s">
        <v>96</v>
      </c>
      <c r="G261" t="s">
        <v>126</v>
      </c>
      <c r="H261" t="s">
        <v>80</v>
      </c>
      <c r="I261" t="s">
        <v>113</v>
      </c>
      <c r="J261" t="s">
        <v>114</v>
      </c>
      <c r="K261" t="s">
        <v>115</v>
      </c>
      <c r="L261" t="s">
        <v>116</v>
      </c>
      <c r="M261" s="11">
        <v>49.95</v>
      </c>
      <c r="N261" s="11">
        <v>15.96</v>
      </c>
      <c r="O261" s="11">
        <v>6.49</v>
      </c>
      <c r="P261" s="11">
        <v>0.03</v>
      </c>
      <c r="Q261" s="11">
        <v>10.36</v>
      </c>
      <c r="R261" s="11">
        <v>1</v>
      </c>
      <c r="S261" s="11">
        <f t="shared" si="32"/>
        <v>49.95</v>
      </c>
      <c r="T261" s="11">
        <f t="shared" si="33"/>
        <v>15.96</v>
      </c>
      <c r="U261" s="11">
        <f t="shared" si="34"/>
        <v>6.49</v>
      </c>
      <c r="V261" s="11">
        <f t="shared" si="35"/>
        <v>1.5</v>
      </c>
      <c r="W261" s="11" t="s">
        <v>66</v>
      </c>
      <c r="X261" s="11">
        <v>0</v>
      </c>
      <c r="Y261" s="11">
        <f t="shared" si="36"/>
        <v>34.31</v>
      </c>
      <c r="Z261" s="11">
        <f t="shared" si="37"/>
        <v>15.64</v>
      </c>
      <c r="AA261" s="12">
        <f t="shared" si="38"/>
        <v>0.31311311311311313</v>
      </c>
      <c r="AB261" s="13">
        <f t="shared" si="39"/>
        <v>4.8214285714285721</v>
      </c>
      <c r="AC261" t="s">
        <v>67</v>
      </c>
    </row>
    <row r="262" spans="1:29" ht="14.25" customHeight="1" x14ac:dyDescent="0.45">
      <c r="A262" t="s">
        <v>385</v>
      </c>
      <c r="B262" s="10">
        <v>45902</v>
      </c>
      <c r="C262">
        <v>2025</v>
      </c>
      <c r="D262">
        <v>9</v>
      </c>
      <c r="E262" t="s">
        <v>69</v>
      </c>
      <c r="F262" t="s">
        <v>70</v>
      </c>
      <c r="G262" t="s">
        <v>105</v>
      </c>
      <c r="H262" t="s">
        <v>80</v>
      </c>
      <c r="I262" t="s">
        <v>87</v>
      </c>
      <c r="J262" t="s">
        <v>88</v>
      </c>
      <c r="K262" t="s">
        <v>89</v>
      </c>
      <c r="L262" t="s">
        <v>90</v>
      </c>
      <c r="M262" s="11">
        <v>54.36</v>
      </c>
      <c r="N262" s="11">
        <v>22.64</v>
      </c>
      <c r="O262" s="11">
        <v>7.09</v>
      </c>
      <c r="P262" s="11">
        <v>0.03</v>
      </c>
      <c r="Q262" s="11">
        <v>19.09</v>
      </c>
      <c r="R262" s="11">
        <v>2</v>
      </c>
      <c r="S262" s="11">
        <f t="shared" si="32"/>
        <v>108.72</v>
      </c>
      <c r="T262" s="11">
        <f t="shared" si="33"/>
        <v>45.28</v>
      </c>
      <c r="U262" s="11">
        <f t="shared" si="34"/>
        <v>14.18</v>
      </c>
      <c r="V262" s="11">
        <f t="shared" si="35"/>
        <v>3.26</v>
      </c>
      <c r="W262" s="11" t="s">
        <v>66</v>
      </c>
      <c r="X262" s="11">
        <v>0</v>
      </c>
      <c r="Y262" s="11">
        <f t="shared" si="36"/>
        <v>81.81</v>
      </c>
      <c r="Z262" s="11">
        <f t="shared" si="37"/>
        <v>26.909999999999997</v>
      </c>
      <c r="AA262" s="12">
        <f t="shared" si="38"/>
        <v>0.24751655629139069</v>
      </c>
      <c r="AB262" s="13">
        <f t="shared" si="39"/>
        <v>5.6951283394447358</v>
      </c>
      <c r="AC262" t="s">
        <v>67</v>
      </c>
    </row>
    <row r="263" spans="1:29" ht="14.25" customHeight="1" x14ac:dyDescent="0.45">
      <c r="A263" t="s">
        <v>386</v>
      </c>
      <c r="B263" s="10">
        <v>45904</v>
      </c>
      <c r="C263">
        <v>2025</v>
      </c>
      <c r="D263">
        <v>9</v>
      </c>
      <c r="E263" t="s">
        <v>95</v>
      </c>
      <c r="F263" t="s">
        <v>96</v>
      </c>
      <c r="G263" t="s">
        <v>126</v>
      </c>
      <c r="H263" t="s">
        <v>61</v>
      </c>
      <c r="I263" t="s">
        <v>62</v>
      </c>
      <c r="J263" t="s">
        <v>63</v>
      </c>
      <c r="K263" t="s">
        <v>64</v>
      </c>
      <c r="L263" t="s">
        <v>65</v>
      </c>
      <c r="M263" s="11">
        <v>34.96</v>
      </c>
      <c r="N263" s="11">
        <v>9.94</v>
      </c>
      <c r="O263" s="11">
        <v>4.1100000000000003</v>
      </c>
      <c r="P263" s="11">
        <v>0.03</v>
      </c>
      <c r="Q263" s="11">
        <v>8.5500000000000007</v>
      </c>
      <c r="R263" s="11">
        <v>1</v>
      </c>
      <c r="S263" s="11">
        <f t="shared" si="32"/>
        <v>34.96</v>
      </c>
      <c r="T263" s="11">
        <f t="shared" si="33"/>
        <v>9.94</v>
      </c>
      <c r="U263" s="11">
        <f t="shared" si="34"/>
        <v>4.1100000000000003</v>
      </c>
      <c r="V263" s="11">
        <f t="shared" si="35"/>
        <v>1.05</v>
      </c>
      <c r="W263" s="11" t="s">
        <v>66</v>
      </c>
      <c r="X263" s="11">
        <v>0</v>
      </c>
      <c r="Y263" s="11">
        <f t="shared" si="36"/>
        <v>23.650000000000002</v>
      </c>
      <c r="Z263" s="11">
        <f t="shared" si="37"/>
        <v>11.309999999999999</v>
      </c>
      <c r="AA263" s="12">
        <f t="shared" si="38"/>
        <v>0.32351258581235692</v>
      </c>
      <c r="AB263" s="13">
        <f t="shared" si="39"/>
        <v>4.0888888888888886</v>
      </c>
      <c r="AC263" t="s">
        <v>67</v>
      </c>
    </row>
    <row r="264" spans="1:29" ht="14.25" customHeight="1" x14ac:dyDescent="0.45">
      <c r="A264" t="s">
        <v>387</v>
      </c>
      <c r="B264" s="10">
        <v>45904</v>
      </c>
      <c r="C264">
        <v>2025</v>
      </c>
      <c r="D264">
        <v>9</v>
      </c>
      <c r="E264" t="s">
        <v>58</v>
      </c>
      <c r="F264" t="s">
        <v>59</v>
      </c>
      <c r="G264" t="s">
        <v>105</v>
      </c>
      <c r="H264" t="s">
        <v>86</v>
      </c>
      <c r="I264" t="s">
        <v>81</v>
      </c>
      <c r="J264" t="s">
        <v>82</v>
      </c>
      <c r="K264" t="s">
        <v>83</v>
      </c>
      <c r="L264" t="s">
        <v>84</v>
      </c>
      <c r="M264" s="11">
        <v>23.18</v>
      </c>
      <c r="N264" s="11">
        <v>6.03</v>
      </c>
      <c r="O264" s="11">
        <v>3.96</v>
      </c>
      <c r="P264" s="11">
        <v>0.03</v>
      </c>
      <c r="Q264" s="11">
        <v>7.31</v>
      </c>
      <c r="R264" s="11">
        <v>1</v>
      </c>
      <c r="S264" s="11">
        <f t="shared" si="32"/>
        <v>23.18</v>
      </c>
      <c r="T264" s="11">
        <f t="shared" si="33"/>
        <v>6.03</v>
      </c>
      <c r="U264" s="11">
        <f t="shared" si="34"/>
        <v>3.96</v>
      </c>
      <c r="V264" s="11">
        <f t="shared" si="35"/>
        <v>0.7</v>
      </c>
      <c r="W264" s="11" t="s">
        <v>154</v>
      </c>
      <c r="X264" s="11">
        <v>15.71</v>
      </c>
      <c r="Y264" s="11">
        <f t="shared" si="36"/>
        <v>33.71</v>
      </c>
      <c r="Z264" s="11">
        <f t="shared" si="37"/>
        <v>-10.530000000000001</v>
      </c>
      <c r="AA264" s="12">
        <f t="shared" si="38"/>
        <v>-0.45427092320966356</v>
      </c>
      <c r="AB264" s="13">
        <f t="shared" si="39"/>
        <v>3.170998632010944</v>
      </c>
      <c r="AC264" t="s">
        <v>155</v>
      </c>
    </row>
    <row r="265" spans="1:29" ht="14.25" customHeight="1" x14ac:dyDescent="0.45">
      <c r="A265" t="s">
        <v>388</v>
      </c>
      <c r="B265" s="10">
        <v>45906</v>
      </c>
      <c r="C265">
        <v>2025</v>
      </c>
      <c r="D265">
        <v>9</v>
      </c>
      <c r="E265" t="s">
        <v>95</v>
      </c>
      <c r="F265" t="s">
        <v>96</v>
      </c>
      <c r="G265" t="s">
        <v>105</v>
      </c>
      <c r="H265" t="s">
        <v>86</v>
      </c>
      <c r="I265" t="s">
        <v>107</v>
      </c>
      <c r="J265" t="s">
        <v>108</v>
      </c>
      <c r="K265" t="s">
        <v>109</v>
      </c>
      <c r="L265" t="s">
        <v>110</v>
      </c>
      <c r="M265" s="11">
        <v>20.2</v>
      </c>
      <c r="N265" s="11">
        <v>3.68</v>
      </c>
      <c r="O265" s="11">
        <v>2.8</v>
      </c>
      <c r="P265" s="11">
        <v>0.03</v>
      </c>
      <c r="Q265" s="11">
        <v>1.46</v>
      </c>
      <c r="R265" s="11">
        <v>1</v>
      </c>
      <c r="S265" s="11">
        <f t="shared" si="32"/>
        <v>20.2</v>
      </c>
      <c r="T265" s="11">
        <f t="shared" si="33"/>
        <v>3.68</v>
      </c>
      <c r="U265" s="11">
        <f t="shared" si="34"/>
        <v>2.8</v>
      </c>
      <c r="V265" s="11">
        <f t="shared" si="35"/>
        <v>0.61</v>
      </c>
      <c r="W265" s="11" t="s">
        <v>66</v>
      </c>
      <c r="X265" s="11">
        <v>0</v>
      </c>
      <c r="Y265" s="11">
        <f t="shared" si="36"/>
        <v>8.5500000000000007</v>
      </c>
      <c r="Z265" s="11">
        <f t="shared" si="37"/>
        <v>11.649999999999999</v>
      </c>
      <c r="AA265" s="12">
        <f t="shared" si="38"/>
        <v>0.57673267326732669</v>
      </c>
      <c r="AB265" s="13">
        <f t="shared" si="39"/>
        <v>13.835616438356164</v>
      </c>
      <c r="AC265" t="s">
        <v>67</v>
      </c>
    </row>
    <row r="266" spans="1:29" ht="14.25" customHeight="1" x14ac:dyDescent="0.45">
      <c r="A266" t="s">
        <v>389</v>
      </c>
      <c r="B266" s="10">
        <v>45906</v>
      </c>
      <c r="C266">
        <v>2025</v>
      </c>
      <c r="D266">
        <v>9</v>
      </c>
      <c r="E266" t="s">
        <v>58</v>
      </c>
      <c r="F266" t="s">
        <v>59</v>
      </c>
      <c r="G266" t="s">
        <v>60</v>
      </c>
      <c r="H266" t="s">
        <v>86</v>
      </c>
      <c r="I266" t="s">
        <v>107</v>
      </c>
      <c r="J266" t="s">
        <v>108</v>
      </c>
      <c r="K266" t="s">
        <v>109</v>
      </c>
      <c r="L266" t="s">
        <v>110</v>
      </c>
      <c r="M266" s="11">
        <v>21.42</v>
      </c>
      <c r="N266" s="11">
        <v>3.74</v>
      </c>
      <c r="O266" s="11">
        <v>2.71</v>
      </c>
      <c r="P266" s="11">
        <v>0.03</v>
      </c>
      <c r="Q266" s="11">
        <v>7.95</v>
      </c>
      <c r="R266" s="11">
        <v>1</v>
      </c>
      <c r="S266" s="11">
        <f t="shared" si="32"/>
        <v>21.42</v>
      </c>
      <c r="T266" s="11">
        <f t="shared" si="33"/>
        <v>3.74</v>
      </c>
      <c r="U266" s="11">
        <f t="shared" si="34"/>
        <v>2.71</v>
      </c>
      <c r="V266" s="11">
        <f t="shared" si="35"/>
        <v>0.64</v>
      </c>
      <c r="W266" s="11" t="s">
        <v>66</v>
      </c>
      <c r="X266" s="11">
        <v>0</v>
      </c>
      <c r="Y266" s="11">
        <f t="shared" si="36"/>
        <v>15.04</v>
      </c>
      <c r="Z266" s="11">
        <f t="shared" si="37"/>
        <v>6.3800000000000026</v>
      </c>
      <c r="AA266" s="12">
        <f t="shared" si="38"/>
        <v>0.29785247432306267</v>
      </c>
      <c r="AB266" s="13">
        <f t="shared" si="39"/>
        <v>2.6943396226415097</v>
      </c>
      <c r="AC266" t="s">
        <v>67</v>
      </c>
    </row>
    <row r="267" spans="1:29" ht="14.25" customHeight="1" x14ac:dyDescent="0.45">
      <c r="A267" t="s">
        <v>390</v>
      </c>
      <c r="B267" s="10">
        <v>45906</v>
      </c>
      <c r="C267">
        <v>2025</v>
      </c>
      <c r="D267">
        <v>9</v>
      </c>
      <c r="E267" t="s">
        <v>77</v>
      </c>
      <c r="F267" t="s">
        <v>78</v>
      </c>
      <c r="G267" t="s">
        <v>105</v>
      </c>
      <c r="H267" t="s">
        <v>127</v>
      </c>
      <c r="I267" t="s">
        <v>107</v>
      </c>
      <c r="J267" t="s">
        <v>108</v>
      </c>
      <c r="K267" t="s">
        <v>109</v>
      </c>
      <c r="L267" t="s">
        <v>110</v>
      </c>
      <c r="M267" s="11">
        <v>21.92</v>
      </c>
      <c r="N267" s="11">
        <v>3.56</v>
      </c>
      <c r="O267" s="11">
        <v>2.5499999999999998</v>
      </c>
      <c r="P267" s="11">
        <v>0.03</v>
      </c>
      <c r="Q267" s="11">
        <v>5.74</v>
      </c>
      <c r="R267" s="11">
        <v>1</v>
      </c>
      <c r="S267" s="11">
        <f t="shared" si="32"/>
        <v>21.92</v>
      </c>
      <c r="T267" s="11">
        <f t="shared" si="33"/>
        <v>3.56</v>
      </c>
      <c r="U267" s="11">
        <f t="shared" si="34"/>
        <v>2.5499999999999998</v>
      </c>
      <c r="V267" s="11">
        <f t="shared" si="35"/>
        <v>0.66</v>
      </c>
      <c r="W267" s="11" t="s">
        <v>66</v>
      </c>
      <c r="X267" s="11">
        <v>0</v>
      </c>
      <c r="Y267" s="11">
        <f t="shared" si="36"/>
        <v>12.51</v>
      </c>
      <c r="Z267" s="11">
        <f t="shared" si="37"/>
        <v>9.4100000000000019</v>
      </c>
      <c r="AA267" s="12">
        <f t="shared" si="38"/>
        <v>0.42928832116788329</v>
      </c>
      <c r="AB267" s="13">
        <f t="shared" si="39"/>
        <v>3.8188153310104531</v>
      </c>
      <c r="AC267" t="s">
        <v>67</v>
      </c>
    </row>
    <row r="268" spans="1:29" ht="14.25" customHeight="1" x14ac:dyDescent="0.45">
      <c r="A268" t="s">
        <v>391</v>
      </c>
      <c r="B268" s="10">
        <v>45906</v>
      </c>
      <c r="C268">
        <v>2025</v>
      </c>
      <c r="D268">
        <v>9</v>
      </c>
      <c r="E268" t="s">
        <v>58</v>
      </c>
      <c r="F268" t="s">
        <v>92</v>
      </c>
      <c r="G268" t="s">
        <v>71</v>
      </c>
      <c r="H268" t="s">
        <v>86</v>
      </c>
      <c r="I268" t="s">
        <v>107</v>
      </c>
      <c r="J268" t="s">
        <v>108</v>
      </c>
      <c r="K268" t="s">
        <v>109</v>
      </c>
      <c r="L268" t="s">
        <v>110</v>
      </c>
      <c r="M268" s="11">
        <v>20.170000000000002</v>
      </c>
      <c r="N268" s="11">
        <v>3.6</v>
      </c>
      <c r="O268" s="11">
        <v>2.75</v>
      </c>
      <c r="P268" s="11">
        <v>0.03</v>
      </c>
      <c r="Q268" s="11">
        <v>0</v>
      </c>
      <c r="R268" s="11">
        <v>1</v>
      </c>
      <c r="S268" s="11">
        <f t="shared" si="32"/>
        <v>20.170000000000002</v>
      </c>
      <c r="T268" s="11">
        <f t="shared" si="33"/>
        <v>3.6</v>
      </c>
      <c r="U268" s="11">
        <f t="shared" si="34"/>
        <v>2.75</v>
      </c>
      <c r="V268" s="11">
        <f t="shared" si="35"/>
        <v>0.61</v>
      </c>
      <c r="W268" s="11" t="s">
        <v>66</v>
      </c>
      <c r="X268" s="11">
        <v>0</v>
      </c>
      <c r="Y268" s="11">
        <f t="shared" si="36"/>
        <v>6.96</v>
      </c>
      <c r="Z268" s="11">
        <f t="shared" si="37"/>
        <v>13.21</v>
      </c>
      <c r="AA268" s="12">
        <f t="shared" si="38"/>
        <v>0.65493306891422909</v>
      </c>
      <c r="AB268" s="13">
        <f t="shared" si="39"/>
        <v>0</v>
      </c>
      <c r="AC268" t="s">
        <v>67</v>
      </c>
    </row>
    <row r="269" spans="1:29" ht="14.25" customHeight="1" x14ac:dyDescent="0.45">
      <c r="A269" t="s">
        <v>392</v>
      </c>
      <c r="B269" s="10">
        <v>45906</v>
      </c>
      <c r="C269">
        <v>2025</v>
      </c>
      <c r="D269">
        <v>9</v>
      </c>
      <c r="E269" t="s">
        <v>77</v>
      </c>
      <c r="F269" t="s">
        <v>102</v>
      </c>
      <c r="G269" t="s">
        <v>105</v>
      </c>
      <c r="H269" t="s">
        <v>127</v>
      </c>
      <c r="I269" t="s">
        <v>81</v>
      </c>
      <c r="J269" t="s">
        <v>82</v>
      </c>
      <c r="K269" t="s">
        <v>83</v>
      </c>
      <c r="L269" t="s">
        <v>84</v>
      </c>
      <c r="M269" s="11">
        <v>26.1</v>
      </c>
      <c r="N269" s="11">
        <v>6.45</v>
      </c>
      <c r="O269" s="11">
        <v>3.31</v>
      </c>
      <c r="P269" s="11">
        <v>0.03</v>
      </c>
      <c r="Q269" s="11">
        <v>10.19</v>
      </c>
      <c r="R269" s="11">
        <v>1</v>
      </c>
      <c r="S269" s="11">
        <f t="shared" si="32"/>
        <v>26.1</v>
      </c>
      <c r="T269" s="11">
        <f t="shared" si="33"/>
        <v>6.45</v>
      </c>
      <c r="U269" s="11">
        <f t="shared" si="34"/>
        <v>3.31</v>
      </c>
      <c r="V269" s="11">
        <f t="shared" si="35"/>
        <v>0.78</v>
      </c>
      <c r="W269" s="11" t="s">
        <v>66</v>
      </c>
      <c r="X269" s="11">
        <v>0</v>
      </c>
      <c r="Y269" s="11">
        <f t="shared" si="36"/>
        <v>20.729999999999997</v>
      </c>
      <c r="Z269" s="11">
        <f t="shared" si="37"/>
        <v>5.3700000000000045</v>
      </c>
      <c r="AA269" s="12">
        <f t="shared" si="38"/>
        <v>0.20574712643678178</v>
      </c>
      <c r="AB269" s="13">
        <f t="shared" si="39"/>
        <v>2.5613346418056921</v>
      </c>
      <c r="AC269" t="s">
        <v>67</v>
      </c>
    </row>
    <row r="270" spans="1:29" ht="14.25" customHeight="1" x14ac:dyDescent="0.45">
      <c r="A270" t="s">
        <v>393</v>
      </c>
      <c r="B270" s="10">
        <v>45908</v>
      </c>
      <c r="C270">
        <v>2025</v>
      </c>
      <c r="D270">
        <v>9</v>
      </c>
      <c r="E270" t="s">
        <v>58</v>
      </c>
      <c r="F270" t="s">
        <v>59</v>
      </c>
      <c r="G270" t="s">
        <v>79</v>
      </c>
      <c r="H270" t="s">
        <v>127</v>
      </c>
      <c r="I270" t="s">
        <v>97</v>
      </c>
      <c r="J270" t="s">
        <v>98</v>
      </c>
      <c r="K270" t="s">
        <v>99</v>
      </c>
      <c r="L270" t="s">
        <v>100</v>
      </c>
      <c r="M270" s="11">
        <v>34.270000000000003</v>
      </c>
      <c r="N270" s="11">
        <v>9.0399999999999991</v>
      </c>
      <c r="O270" s="11">
        <v>3.74</v>
      </c>
      <c r="P270" s="11">
        <v>0.03</v>
      </c>
      <c r="Q270" s="11">
        <v>4.37</v>
      </c>
      <c r="R270" s="11">
        <v>1</v>
      </c>
      <c r="S270" s="11">
        <f t="shared" si="32"/>
        <v>34.270000000000003</v>
      </c>
      <c r="T270" s="11">
        <f t="shared" si="33"/>
        <v>9.0399999999999991</v>
      </c>
      <c r="U270" s="11">
        <f t="shared" si="34"/>
        <v>3.74</v>
      </c>
      <c r="V270" s="11">
        <f t="shared" si="35"/>
        <v>1.03</v>
      </c>
      <c r="W270" s="11" t="s">
        <v>66</v>
      </c>
      <c r="X270" s="11">
        <v>0</v>
      </c>
      <c r="Y270" s="11">
        <f t="shared" si="36"/>
        <v>18.18</v>
      </c>
      <c r="Z270" s="11">
        <f t="shared" si="37"/>
        <v>16.090000000000003</v>
      </c>
      <c r="AA270" s="12">
        <f t="shared" si="38"/>
        <v>0.46950685730960029</v>
      </c>
      <c r="AB270" s="13">
        <f t="shared" si="39"/>
        <v>7.8421052631578956</v>
      </c>
      <c r="AC270" t="s">
        <v>67</v>
      </c>
    </row>
    <row r="271" spans="1:29" ht="14.25" customHeight="1" x14ac:dyDescent="0.45">
      <c r="A271" t="s">
        <v>394</v>
      </c>
      <c r="B271" s="10">
        <v>45908</v>
      </c>
      <c r="C271">
        <v>2025</v>
      </c>
      <c r="D271">
        <v>9</v>
      </c>
      <c r="E271" t="s">
        <v>77</v>
      </c>
      <c r="F271" t="s">
        <v>102</v>
      </c>
      <c r="G271" t="s">
        <v>105</v>
      </c>
      <c r="H271" t="s">
        <v>127</v>
      </c>
      <c r="I271" t="s">
        <v>133</v>
      </c>
      <c r="J271" t="s">
        <v>134</v>
      </c>
      <c r="K271" t="s">
        <v>135</v>
      </c>
      <c r="L271" t="s">
        <v>136</v>
      </c>
      <c r="M271" s="11">
        <v>14.05</v>
      </c>
      <c r="N271" s="11">
        <v>2.0099999999999998</v>
      </c>
      <c r="O271" s="11">
        <v>2.15</v>
      </c>
      <c r="P271" s="11">
        <v>0.03</v>
      </c>
      <c r="Q271" s="11">
        <v>8.44</v>
      </c>
      <c r="R271" s="11">
        <v>3</v>
      </c>
      <c r="S271" s="11">
        <f t="shared" si="32"/>
        <v>42.150000000000006</v>
      </c>
      <c r="T271" s="11">
        <f t="shared" si="33"/>
        <v>6.0299999999999994</v>
      </c>
      <c r="U271" s="11">
        <f t="shared" si="34"/>
        <v>6.4499999999999993</v>
      </c>
      <c r="V271" s="11">
        <f t="shared" si="35"/>
        <v>1.26</v>
      </c>
      <c r="W271" s="11" t="s">
        <v>66</v>
      </c>
      <c r="X271" s="11">
        <v>0</v>
      </c>
      <c r="Y271" s="11">
        <f t="shared" si="36"/>
        <v>22.18</v>
      </c>
      <c r="Z271" s="11">
        <f t="shared" si="37"/>
        <v>19.970000000000006</v>
      </c>
      <c r="AA271" s="12">
        <f t="shared" si="38"/>
        <v>0.47378410438908669</v>
      </c>
      <c r="AB271" s="13">
        <f t="shared" si="39"/>
        <v>4.9940758293838874</v>
      </c>
      <c r="AC271" t="s">
        <v>67</v>
      </c>
    </row>
    <row r="272" spans="1:29" ht="14.25" customHeight="1" x14ac:dyDescent="0.45">
      <c r="A272" t="s">
        <v>395</v>
      </c>
      <c r="B272" s="10">
        <v>45908</v>
      </c>
      <c r="C272">
        <v>2025</v>
      </c>
      <c r="D272">
        <v>9</v>
      </c>
      <c r="E272" t="s">
        <v>77</v>
      </c>
      <c r="F272" t="s">
        <v>78</v>
      </c>
      <c r="G272" t="s">
        <v>93</v>
      </c>
      <c r="H272" t="s">
        <v>86</v>
      </c>
      <c r="I272" t="s">
        <v>147</v>
      </c>
      <c r="J272" t="s">
        <v>148</v>
      </c>
      <c r="K272" t="s">
        <v>149</v>
      </c>
      <c r="L272" t="s">
        <v>150</v>
      </c>
      <c r="M272" s="11">
        <v>29.77</v>
      </c>
      <c r="N272" s="11">
        <v>7.29</v>
      </c>
      <c r="O272" s="11">
        <v>4.88</v>
      </c>
      <c r="P272" s="11">
        <v>0.03</v>
      </c>
      <c r="Q272" s="11">
        <v>9.27</v>
      </c>
      <c r="R272" s="11">
        <v>1</v>
      </c>
      <c r="S272" s="11">
        <f t="shared" si="32"/>
        <v>29.77</v>
      </c>
      <c r="T272" s="11">
        <f t="shared" si="33"/>
        <v>7.29</v>
      </c>
      <c r="U272" s="11">
        <f t="shared" si="34"/>
        <v>4.88</v>
      </c>
      <c r="V272" s="11">
        <f t="shared" si="35"/>
        <v>0.89</v>
      </c>
      <c r="W272" s="11" t="s">
        <v>66</v>
      </c>
      <c r="X272" s="11">
        <v>0</v>
      </c>
      <c r="Y272" s="11">
        <f t="shared" si="36"/>
        <v>22.33</v>
      </c>
      <c r="Z272" s="11">
        <f t="shared" si="37"/>
        <v>7.4400000000000013</v>
      </c>
      <c r="AA272" s="12">
        <f t="shared" si="38"/>
        <v>0.24991602284178707</v>
      </c>
      <c r="AB272" s="13">
        <f t="shared" si="39"/>
        <v>3.2114347357065807</v>
      </c>
      <c r="AC272" t="s">
        <v>67</v>
      </c>
    </row>
    <row r="273" spans="1:29" ht="14.25" customHeight="1" x14ac:dyDescent="0.45">
      <c r="A273" t="s">
        <v>396</v>
      </c>
      <c r="B273" s="10">
        <v>45908</v>
      </c>
      <c r="C273">
        <v>2025</v>
      </c>
      <c r="D273">
        <v>9</v>
      </c>
      <c r="E273" t="s">
        <v>77</v>
      </c>
      <c r="F273" t="s">
        <v>104</v>
      </c>
      <c r="G273" t="s">
        <v>126</v>
      </c>
      <c r="H273" t="s">
        <v>61</v>
      </c>
      <c r="I273" t="s">
        <v>113</v>
      </c>
      <c r="J273" t="s">
        <v>114</v>
      </c>
      <c r="K273" t="s">
        <v>115</v>
      </c>
      <c r="L273" t="s">
        <v>116</v>
      </c>
      <c r="M273" s="11">
        <v>55.94</v>
      </c>
      <c r="N273" s="11">
        <v>16.27</v>
      </c>
      <c r="O273" s="11">
        <v>6.66</v>
      </c>
      <c r="P273" s="11">
        <v>0.03</v>
      </c>
      <c r="Q273" s="11">
        <v>8.17</v>
      </c>
      <c r="R273" s="11">
        <v>1</v>
      </c>
      <c r="S273" s="11">
        <f t="shared" si="32"/>
        <v>55.94</v>
      </c>
      <c r="T273" s="11">
        <f t="shared" si="33"/>
        <v>16.27</v>
      </c>
      <c r="U273" s="11">
        <f t="shared" si="34"/>
        <v>6.66</v>
      </c>
      <c r="V273" s="11">
        <f t="shared" si="35"/>
        <v>1.68</v>
      </c>
      <c r="W273" s="11" t="s">
        <v>66</v>
      </c>
      <c r="X273" s="11">
        <v>0</v>
      </c>
      <c r="Y273" s="11">
        <f t="shared" si="36"/>
        <v>32.78</v>
      </c>
      <c r="Z273" s="11">
        <f t="shared" si="37"/>
        <v>23.159999999999997</v>
      </c>
      <c r="AA273" s="12">
        <f t="shared" si="38"/>
        <v>0.41401501608866637</v>
      </c>
      <c r="AB273" s="13">
        <f t="shared" si="39"/>
        <v>6.8470012239902083</v>
      </c>
      <c r="AC273" t="s">
        <v>67</v>
      </c>
    </row>
    <row r="274" spans="1:29" ht="14.25" customHeight="1" x14ac:dyDescent="0.45">
      <c r="A274" t="s">
        <v>397</v>
      </c>
      <c r="B274" s="10">
        <v>45912</v>
      </c>
      <c r="C274">
        <v>2025</v>
      </c>
      <c r="D274">
        <v>9</v>
      </c>
      <c r="E274" t="s">
        <v>77</v>
      </c>
      <c r="F274" t="s">
        <v>102</v>
      </c>
      <c r="G274" t="s">
        <v>93</v>
      </c>
      <c r="H274" t="s">
        <v>112</v>
      </c>
      <c r="I274" t="s">
        <v>87</v>
      </c>
      <c r="J274" t="s">
        <v>88</v>
      </c>
      <c r="K274" t="s">
        <v>89</v>
      </c>
      <c r="L274" t="s">
        <v>90</v>
      </c>
      <c r="M274" s="11">
        <v>55.97</v>
      </c>
      <c r="N274" s="11">
        <v>22.52</v>
      </c>
      <c r="O274" s="11">
        <v>6.95</v>
      </c>
      <c r="P274" s="11">
        <v>0.03</v>
      </c>
      <c r="Q274" s="11">
        <v>13.42</v>
      </c>
      <c r="R274" s="11">
        <v>2</v>
      </c>
      <c r="S274" s="11">
        <f t="shared" si="32"/>
        <v>111.94</v>
      </c>
      <c r="T274" s="11">
        <f t="shared" si="33"/>
        <v>45.04</v>
      </c>
      <c r="U274" s="11">
        <f t="shared" si="34"/>
        <v>13.9</v>
      </c>
      <c r="V274" s="11">
        <f t="shared" si="35"/>
        <v>3.36</v>
      </c>
      <c r="W274" s="11" t="s">
        <v>66</v>
      </c>
      <c r="X274" s="11">
        <v>0</v>
      </c>
      <c r="Y274" s="11">
        <f t="shared" si="36"/>
        <v>75.72</v>
      </c>
      <c r="Z274" s="11">
        <f t="shared" si="37"/>
        <v>36.22</v>
      </c>
      <c r="AA274" s="12">
        <f t="shared" si="38"/>
        <v>0.32356619617652316</v>
      </c>
      <c r="AB274" s="13">
        <f t="shared" si="39"/>
        <v>8.341281669150522</v>
      </c>
      <c r="AC274" t="s">
        <v>67</v>
      </c>
    </row>
    <row r="275" spans="1:29" ht="14.25" customHeight="1" x14ac:dyDescent="0.45">
      <c r="A275" t="s">
        <v>398</v>
      </c>
      <c r="B275" s="10">
        <v>45914</v>
      </c>
      <c r="C275">
        <v>2025</v>
      </c>
      <c r="D275">
        <v>9</v>
      </c>
      <c r="E275" t="s">
        <v>58</v>
      </c>
      <c r="F275" t="s">
        <v>92</v>
      </c>
      <c r="G275" t="s">
        <v>93</v>
      </c>
      <c r="H275" t="s">
        <v>86</v>
      </c>
      <c r="I275" t="s">
        <v>97</v>
      </c>
      <c r="J275" t="s">
        <v>98</v>
      </c>
      <c r="K275" t="s">
        <v>99</v>
      </c>
      <c r="L275" t="s">
        <v>100</v>
      </c>
      <c r="M275" s="11">
        <v>31.97</v>
      </c>
      <c r="N275" s="11">
        <v>8.75</v>
      </c>
      <c r="O275" s="11">
        <v>3.96</v>
      </c>
      <c r="P275" s="11">
        <v>0.03</v>
      </c>
      <c r="Q275" s="11">
        <v>6.15</v>
      </c>
      <c r="R275" s="11">
        <v>1</v>
      </c>
      <c r="S275" s="11">
        <f t="shared" si="32"/>
        <v>31.97</v>
      </c>
      <c r="T275" s="11">
        <f t="shared" si="33"/>
        <v>8.75</v>
      </c>
      <c r="U275" s="11">
        <f t="shared" si="34"/>
        <v>3.96</v>
      </c>
      <c r="V275" s="11">
        <f t="shared" si="35"/>
        <v>0.96</v>
      </c>
      <c r="W275" s="11" t="s">
        <v>66</v>
      </c>
      <c r="X275" s="11">
        <v>0</v>
      </c>
      <c r="Y275" s="11">
        <f t="shared" si="36"/>
        <v>19.82</v>
      </c>
      <c r="Z275" s="11">
        <f t="shared" si="37"/>
        <v>12.149999999999999</v>
      </c>
      <c r="AA275" s="12">
        <f t="shared" si="38"/>
        <v>0.38004379105411318</v>
      </c>
      <c r="AB275" s="13">
        <f t="shared" si="39"/>
        <v>5.1983739837398373</v>
      </c>
      <c r="AC275" t="s">
        <v>67</v>
      </c>
    </row>
    <row r="276" spans="1:29" ht="14.25" customHeight="1" x14ac:dyDescent="0.45">
      <c r="A276" t="s">
        <v>399</v>
      </c>
      <c r="B276" s="10">
        <v>45915</v>
      </c>
      <c r="C276">
        <v>2025</v>
      </c>
      <c r="D276">
        <v>9</v>
      </c>
      <c r="E276" t="s">
        <v>95</v>
      </c>
      <c r="F276" t="s">
        <v>96</v>
      </c>
      <c r="G276" t="s">
        <v>105</v>
      </c>
      <c r="H276" t="s">
        <v>80</v>
      </c>
      <c r="I276" t="s">
        <v>87</v>
      </c>
      <c r="J276" t="s">
        <v>88</v>
      </c>
      <c r="K276" t="s">
        <v>89</v>
      </c>
      <c r="L276" t="s">
        <v>90</v>
      </c>
      <c r="M276" s="11">
        <v>65.739999999999995</v>
      </c>
      <c r="N276" s="11">
        <v>23.13</v>
      </c>
      <c r="O276" s="11">
        <v>7.9</v>
      </c>
      <c r="P276" s="11">
        <v>0.03</v>
      </c>
      <c r="Q276" s="11">
        <v>9.41</v>
      </c>
      <c r="R276" s="11">
        <v>1</v>
      </c>
      <c r="S276" s="11">
        <f t="shared" si="32"/>
        <v>65.739999999999995</v>
      </c>
      <c r="T276" s="11">
        <f t="shared" si="33"/>
        <v>23.13</v>
      </c>
      <c r="U276" s="11">
        <f t="shared" si="34"/>
        <v>7.9</v>
      </c>
      <c r="V276" s="11">
        <f t="shared" si="35"/>
        <v>1.97</v>
      </c>
      <c r="W276" s="11" t="s">
        <v>66</v>
      </c>
      <c r="X276" s="11">
        <v>0</v>
      </c>
      <c r="Y276" s="11">
        <f t="shared" si="36"/>
        <v>42.41</v>
      </c>
      <c r="Z276" s="11">
        <f t="shared" si="37"/>
        <v>23.33</v>
      </c>
      <c r="AA276" s="12">
        <f t="shared" si="38"/>
        <v>0.3548828719196836</v>
      </c>
      <c r="AB276" s="13">
        <f t="shared" si="39"/>
        <v>6.9861849096705626</v>
      </c>
      <c r="AC276" t="s">
        <v>67</v>
      </c>
    </row>
    <row r="277" spans="1:29" ht="14.25" customHeight="1" x14ac:dyDescent="0.45">
      <c r="A277" t="s">
        <v>400</v>
      </c>
      <c r="B277" s="10">
        <v>45917</v>
      </c>
      <c r="C277">
        <v>2025</v>
      </c>
      <c r="D277">
        <v>9</v>
      </c>
      <c r="E277" t="s">
        <v>69</v>
      </c>
      <c r="F277" t="s">
        <v>70</v>
      </c>
      <c r="G277" t="s">
        <v>93</v>
      </c>
      <c r="H277" t="s">
        <v>112</v>
      </c>
      <c r="I277" t="s">
        <v>87</v>
      </c>
      <c r="J277" t="s">
        <v>88</v>
      </c>
      <c r="K277" t="s">
        <v>89</v>
      </c>
      <c r="L277" t="s">
        <v>90</v>
      </c>
      <c r="M277" s="11">
        <v>57.65</v>
      </c>
      <c r="N277" s="11">
        <v>23.49</v>
      </c>
      <c r="O277" s="11">
        <v>7.79</v>
      </c>
      <c r="P277" s="11">
        <v>0.03</v>
      </c>
      <c r="Q277" s="11">
        <v>13.16</v>
      </c>
      <c r="R277" s="11">
        <v>2</v>
      </c>
      <c r="S277" s="11">
        <f t="shared" si="32"/>
        <v>115.3</v>
      </c>
      <c r="T277" s="11">
        <f t="shared" si="33"/>
        <v>46.98</v>
      </c>
      <c r="U277" s="11">
        <f t="shared" si="34"/>
        <v>15.58</v>
      </c>
      <c r="V277" s="11">
        <f t="shared" si="35"/>
        <v>3.46</v>
      </c>
      <c r="W277" s="11" t="s">
        <v>66</v>
      </c>
      <c r="X277" s="11">
        <v>0</v>
      </c>
      <c r="Y277" s="11">
        <f t="shared" si="36"/>
        <v>79.179999999999993</v>
      </c>
      <c r="Z277" s="11">
        <f t="shared" si="37"/>
        <v>36.120000000000005</v>
      </c>
      <c r="AA277" s="12">
        <f t="shared" si="38"/>
        <v>0.31326973113616657</v>
      </c>
      <c r="AB277" s="13">
        <f t="shared" si="39"/>
        <v>8.7613981762917934</v>
      </c>
      <c r="AC277" t="s">
        <v>67</v>
      </c>
    </row>
    <row r="278" spans="1:29" ht="14.25" customHeight="1" x14ac:dyDescent="0.45">
      <c r="A278" t="s">
        <v>401</v>
      </c>
      <c r="B278" s="10">
        <v>45917</v>
      </c>
      <c r="C278">
        <v>2025</v>
      </c>
      <c r="D278">
        <v>9</v>
      </c>
      <c r="E278" t="s">
        <v>77</v>
      </c>
      <c r="F278" t="s">
        <v>102</v>
      </c>
      <c r="G278" t="s">
        <v>105</v>
      </c>
      <c r="H278" t="s">
        <v>80</v>
      </c>
      <c r="I278" t="s">
        <v>62</v>
      </c>
      <c r="J278" t="s">
        <v>63</v>
      </c>
      <c r="K278" t="s">
        <v>64</v>
      </c>
      <c r="L278" t="s">
        <v>65</v>
      </c>
      <c r="M278" s="11">
        <v>32.03</v>
      </c>
      <c r="N278" s="11">
        <v>10.07</v>
      </c>
      <c r="O278" s="11">
        <v>3.72</v>
      </c>
      <c r="P278" s="11">
        <v>0.03</v>
      </c>
      <c r="Q278" s="11">
        <v>7.7</v>
      </c>
      <c r="R278" s="11">
        <v>1</v>
      </c>
      <c r="S278" s="11">
        <f t="shared" si="32"/>
        <v>32.03</v>
      </c>
      <c r="T278" s="11">
        <f t="shared" si="33"/>
        <v>10.07</v>
      </c>
      <c r="U278" s="11">
        <f t="shared" si="34"/>
        <v>3.72</v>
      </c>
      <c r="V278" s="11">
        <f t="shared" si="35"/>
        <v>0.96</v>
      </c>
      <c r="W278" s="11" t="s">
        <v>66</v>
      </c>
      <c r="X278" s="11">
        <v>0</v>
      </c>
      <c r="Y278" s="11">
        <f t="shared" si="36"/>
        <v>22.45</v>
      </c>
      <c r="Z278" s="11">
        <f t="shared" si="37"/>
        <v>9.5800000000000018</v>
      </c>
      <c r="AA278" s="12">
        <f t="shared" si="38"/>
        <v>0.29909459881361228</v>
      </c>
      <c r="AB278" s="13">
        <f t="shared" si="39"/>
        <v>4.1597402597402597</v>
      </c>
      <c r="AC278" t="s">
        <v>67</v>
      </c>
    </row>
    <row r="279" spans="1:29" ht="14.25" customHeight="1" x14ac:dyDescent="0.45">
      <c r="A279" t="s">
        <v>402</v>
      </c>
      <c r="B279" s="10">
        <v>45918</v>
      </c>
      <c r="C279">
        <v>2025</v>
      </c>
      <c r="D279">
        <v>9</v>
      </c>
      <c r="E279" t="s">
        <v>77</v>
      </c>
      <c r="F279" t="s">
        <v>102</v>
      </c>
      <c r="G279" t="s">
        <v>126</v>
      </c>
      <c r="H279" t="s">
        <v>112</v>
      </c>
      <c r="I279" t="s">
        <v>62</v>
      </c>
      <c r="J279" t="s">
        <v>63</v>
      </c>
      <c r="K279" t="s">
        <v>64</v>
      </c>
      <c r="L279" t="s">
        <v>65</v>
      </c>
      <c r="M279" s="11">
        <v>32.08</v>
      </c>
      <c r="N279" s="11">
        <v>9.9700000000000006</v>
      </c>
      <c r="O279" s="11">
        <v>3.92</v>
      </c>
      <c r="P279" s="11">
        <v>0.03</v>
      </c>
      <c r="Q279" s="11">
        <v>4.09</v>
      </c>
      <c r="R279" s="11">
        <v>1</v>
      </c>
      <c r="S279" s="11">
        <f t="shared" si="32"/>
        <v>32.08</v>
      </c>
      <c r="T279" s="11">
        <f t="shared" si="33"/>
        <v>9.9700000000000006</v>
      </c>
      <c r="U279" s="11">
        <f t="shared" si="34"/>
        <v>3.92</v>
      </c>
      <c r="V279" s="11">
        <f t="shared" si="35"/>
        <v>0.96</v>
      </c>
      <c r="W279" s="11" t="s">
        <v>66</v>
      </c>
      <c r="X279" s="11">
        <v>0</v>
      </c>
      <c r="Y279" s="11">
        <f t="shared" si="36"/>
        <v>18.940000000000001</v>
      </c>
      <c r="Z279" s="11">
        <f t="shared" si="37"/>
        <v>13.139999999999997</v>
      </c>
      <c r="AA279" s="12">
        <f t="shared" si="38"/>
        <v>0.40960099750623435</v>
      </c>
      <c r="AB279" s="13">
        <f t="shared" si="39"/>
        <v>7.8435207823960882</v>
      </c>
      <c r="AC279" t="s">
        <v>67</v>
      </c>
    </row>
    <row r="280" spans="1:29" ht="14.25" customHeight="1" x14ac:dyDescent="0.45">
      <c r="A280" t="s">
        <v>403</v>
      </c>
      <c r="B280" s="10">
        <v>45918</v>
      </c>
      <c r="C280">
        <v>2025</v>
      </c>
      <c r="D280">
        <v>9</v>
      </c>
      <c r="E280" t="s">
        <v>58</v>
      </c>
      <c r="F280" t="s">
        <v>59</v>
      </c>
      <c r="G280" t="s">
        <v>105</v>
      </c>
      <c r="H280" t="s">
        <v>127</v>
      </c>
      <c r="I280" t="s">
        <v>81</v>
      </c>
      <c r="J280" t="s">
        <v>82</v>
      </c>
      <c r="K280" t="s">
        <v>83</v>
      </c>
      <c r="L280" t="s">
        <v>84</v>
      </c>
      <c r="M280" s="11">
        <v>26.91</v>
      </c>
      <c r="N280" s="11">
        <v>5.77</v>
      </c>
      <c r="O280" s="11">
        <v>3.88</v>
      </c>
      <c r="P280" s="11">
        <v>0.03</v>
      </c>
      <c r="Q280" s="11">
        <v>9.8000000000000007</v>
      </c>
      <c r="R280" s="11">
        <v>1</v>
      </c>
      <c r="S280" s="11">
        <f t="shared" si="32"/>
        <v>26.91</v>
      </c>
      <c r="T280" s="11">
        <f t="shared" si="33"/>
        <v>5.77</v>
      </c>
      <c r="U280" s="11">
        <f t="shared" si="34"/>
        <v>3.88</v>
      </c>
      <c r="V280" s="11">
        <f t="shared" si="35"/>
        <v>0.81</v>
      </c>
      <c r="W280" s="11" t="s">
        <v>66</v>
      </c>
      <c r="X280" s="11">
        <v>0</v>
      </c>
      <c r="Y280" s="11">
        <f t="shared" si="36"/>
        <v>20.259999999999998</v>
      </c>
      <c r="Z280" s="11">
        <f t="shared" si="37"/>
        <v>6.6500000000000021</v>
      </c>
      <c r="AA280" s="12">
        <f t="shared" si="38"/>
        <v>0.24712002972872546</v>
      </c>
      <c r="AB280" s="13">
        <f t="shared" si="39"/>
        <v>2.7459183673469387</v>
      </c>
      <c r="AC280" t="s">
        <v>67</v>
      </c>
    </row>
    <row r="281" spans="1:29" ht="14.25" customHeight="1" x14ac:dyDescent="0.45">
      <c r="A281" t="s">
        <v>404</v>
      </c>
      <c r="B281" s="10">
        <v>45919</v>
      </c>
      <c r="C281">
        <v>2025</v>
      </c>
      <c r="D281">
        <v>9</v>
      </c>
      <c r="E281" t="s">
        <v>122</v>
      </c>
      <c r="F281" t="s">
        <v>123</v>
      </c>
      <c r="G281" t="s">
        <v>93</v>
      </c>
      <c r="H281" t="s">
        <v>112</v>
      </c>
      <c r="I281" t="s">
        <v>113</v>
      </c>
      <c r="J281" t="s">
        <v>114</v>
      </c>
      <c r="K281" t="s">
        <v>115</v>
      </c>
      <c r="L281" t="s">
        <v>116</v>
      </c>
      <c r="M281" s="11">
        <v>45.76</v>
      </c>
      <c r="N281" s="11">
        <v>17.04</v>
      </c>
      <c r="O281" s="11">
        <v>6.33</v>
      </c>
      <c r="P281" s="11">
        <v>0.03</v>
      </c>
      <c r="Q281" s="11">
        <v>6.3</v>
      </c>
      <c r="R281" s="11">
        <v>1</v>
      </c>
      <c r="S281" s="11">
        <f t="shared" si="32"/>
        <v>45.76</v>
      </c>
      <c r="T281" s="11">
        <f t="shared" si="33"/>
        <v>17.04</v>
      </c>
      <c r="U281" s="11">
        <f t="shared" si="34"/>
        <v>6.33</v>
      </c>
      <c r="V281" s="11">
        <f t="shared" si="35"/>
        <v>1.37</v>
      </c>
      <c r="W281" s="11" t="s">
        <v>66</v>
      </c>
      <c r="X281" s="11">
        <v>0</v>
      </c>
      <c r="Y281" s="11">
        <f t="shared" si="36"/>
        <v>31.04</v>
      </c>
      <c r="Z281" s="11">
        <f t="shared" si="37"/>
        <v>14.719999999999999</v>
      </c>
      <c r="AA281" s="12">
        <f t="shared" si="38"/>
        <v>0.32167832167832167</v>
      </c>
      <c r="AB281" s="13">
        <f t="shared" si="39"/>
        <v>7.2634920634920634</v>
      </c>
      <c r="AC281" t="s">
        <v>67</v>
      </c>
    </row>
    <row r="282" spans="1:29" ht="14.25" customHeight="1" x14ac:dyDescent="0.45">
      <c r="A282" t="s">
        <v>405</v>
      </c>
      <c r="B282" s="10">
        <v>45920</v>
      </c>
      <c r="C282">
        <v>2025</v>
      </c>
      <c r="D282">
        <v>9</v>
      </c>
      <c r="E282" t="s">
        <v>122</v>
      </c>
      <c r="F282" t="s">
        <v>123</v>
      </c>
      <c r="G282" t="s">
        <v>79</v>
      </c>
      <c r="H282" t="s">
        <v>112</v>
      </c>
      <c r="I282" t="s">
        <v>107</v>
      </c>
      <c r="J282" t="s">
        <v>108</v>
      </c>
      <c r="K282" t="s">
        <v>109</v>
      </c>
      <c r="L282" t="s">
        <v>110</v>
      </c>
      <c r="M282" s="11">
        <v>18.46</v>
      </c>
      <c r="N282" s="11">
        <v>3.65</v>
      </c>
      <c r="O282" s="11">
        <v>2.44</v>
      </c>
      <c r="P282" s="11">
        <v>0.03</v>
      </c>
      <c r="Q282" s="11">
        <v>3.75</v>
      </c>
      <c r="R282" s="11">
        <v>1</v>
      </c>
      <c r="S282" s="11">
        <f t="shared" si="32"/>
        <v>18.46</v>
      </c>
      <c r="T282" s="11">
        <f t="shared" si="33"/>
        <v>3.65</v>
      </c>
      <c r="U282" s="11">
        <f t="shared" si="34"/>
        <v>2.44</v>
      </c>
      <c r="V282" s="11">
        <f t="shared" si="35"/>
        <v>0.55000000000000004</v>
      </c>
      <c r="W282" s="11" t="s">
        <v>66</v>
      </c>
      <c r="X282" s="11">
        <v>0</v>
      </c>
      <c r="Y282" s="11">
        <f t="shared" si="36"/>
        <v>10.39</v>
      </c>
      <c r="Z282" s="11">
        <f t="shared" si="37"/>
        <v>8.07</v>
      </c>
      <c r="AA282" s="12">
        <f t="shared" si="38"/>
        <v>0.43716143011917658</v>
      </c>
      <c r="AB282" s="13">
        <f t="shared" si="39"/>
        <v>4.9226666666666672</v>
      </c>
      <c r="AC282" t="s">
        <v>67</v>
      </c>
    </row>
    <row r="283" spans="1:29" ht="14.25" customHeight="1" x14ac:dyDescent="0.45">
      <c r="A283" t="s">
        <v>406</v>
      </c>
      <c r="B283" s="10">
        <v>45920</v>
      </c>
      <c r="C283">
        <v>2025</v>
      </c>
      <c r="D283">
        <v>9</v>
      </c>
      <c r="E283" t="s">
        <v>122</v>
      </c>
      <c r="F283" t="s">
        <v>123</v>
      </c>
      <c r="G283" t="s">
        <v>60</v>
      </c>
      <c r="H283" t="s">
        <v>86</v>
      </c>
      <c r="I283" t="s">
        <v>81</v>
      </c>
      <c r="J283" t="s">
        <v>82</v>
      </c>
      <c r="K283" t="s">
        <v>83</v>
      </c>
      <c r="L283" t="s">
        <v>84</v>
      </c>
      <c r="M283" s="11">
        <v>26.14</v>
      </c>
      <c r="N283" s="11">
        <v>6</v>
      </c>
      <c r="O283" s="11">
        <v>3.45</v>
      </c>
      <c r="P283" s="11">
        <v>0.03</v>
      </c>
      <c r="Q283" s="11">
        <v>2.11</v>
      </c>
      <c r="R283" s="11">
        <v>2</v>
      </c>
      <c r="S283" s="11">
        <f t="shared" si="32"/>
        <v>52.28</v>
      </c>
      <c r="T283" s="11">
        <f t="shared" si="33"/>
        <v>12</v>
      </c>
      <c r="U283" s="11">
        <f t="shared" si="34"/>
        <v>6.9</v>
      </c>
      <c r="V283" s="11">
        <f t="shared" si="35"/>
        <v>1.57</v>
      </c>
      <c r="W283" s="11" t="s">
        <v>66</v>
      </c>
      <c r="X283" s="11">
        <v>0</v>
      </c>
      <c r="Y283" s="11">
        <f t="shared" si="36"/>
        <v>22.58</v>
      </c>
      <c r="Z283" s="11">
        <f t="shared" si="37"/>
        <v>29.700000000000003</v>
      </c>
      <c r="AA283" s="12">
        <f t="shared" si="38"/>
        <v>0.56809487375669476</v>
      </c>
      <c r="AB283" s="13">
        <f t="shared" si="39"/>
        <v>24.777251184834125</v>
      </c>
      <c r="AC283" t="s">
        <v>67</v>
      </c>
    </row>
    <row r="284" spans="1:29" ht="14.25" customHeight="1" x14ac:dyDescent="0.45">
      <c r="A284" t="s">
        <v>407</v>
      </c>
      <c r="B284" s="10">
        <v>45921</v>
      </c>
      <c r="C284">
        <v>2025</v>
      </c>
      <c r="D284">
        <v>9</v>
      </c>
      <c r="E284" t="s">
        <v>95</v>
      </c>
      <c r="F284" t="s">
        <v>96</v>
      </c>
      <c r="G284" t="s">
        <v>105</v>
      </c>
      <c r="H284" t="s">
        <v>61</v>
      </c>
      <c r="I284" t="s">
        <v>87</v>
      </c>
      <c r="J284" t="s">
        <v>88</v>
      </c>
      <c r="K284" t="s">
        <v>89</v>
      </c>
      <c r="L284" t="s">
        <v>90</v>
      </c>
      <c r="M284" s="11">
        <v>65.569999999999993</v>
      </c>
      <c r="N284" s="11">
        <v>20.99</v>
      </c>
      <c r="O284" s="11">
        <v>6.7</v>
      </c>
      <c r="P284" s="11">
        <v>0.03</v>
      </c>
      <c r="Q284" s="11">
        <v>6.09</v>
      </c>
      <c r="R284" s="11">
        <v>1</v>
      </c>
      <c r="S284" s="11">
        <f t="shared" si="32"/>
        <v>65.569999999999993</v>
      </c>
      <c r="T284" s="11">
        <f t="shared" si="33"/>
        <v>20.99</v>
      </c>
      <c r="U284" s="11">
        <f t="shared" si="34"/>
        <v>6.7</v>
      </c>
      <c r="V284" s="11">
        <f t="shared" si="35"/>
        <v>1.97</v>
      </c>
      <c r="W284" s="11" t="s">
        <v>66</v>
      </c>
      <c r="X284" s="11">
        <v>0</v>
      </c>
      <c r="Y284" s="11">
        <f t="shared" si="36"/>
        <v>35.75</v>
      </c>
      <c r="Z284" s="11">
        <f t="shared" si="37"/>
        <v>29.819999999999993</v>
      </c>
      <c r="AA284" s="12">
        <f t="shared" si="38"/>
        <v>0.45478114991612012</v>
      </c>
      <c r="AB284" s="13">
        <f t="shared" si="39"/>
        <v>10.766830870279145</v>
      </c>
      <c r="AC284" t="s">
        <v>67</v>
      </c>
    </row>
    <row r="285" spans="1:29" ht="14.25" customHeight="1" x14ac:dyDescent="0.45">
      <c r="A285" t="s">
        <v>408</v>
      </c>
      <c r="B285" s="10">
        <v>45922</v>
      </c>
      <c r="C285">
        <v>2025</v>
      </c>
      <c r="D285">
        <v>9</v>
      </c>
      <c r="E285" t="s">
        <v>58</v>
      </c>
      <c r="F285" t="s">
        <v>92</v>
      </c>
      <c r="G285" t="s">
        <v>105</v>
      </c>
      <c r="H285" t="s">
        <v>86</v>
      </c>
      <c r="I285" t="s">
        <v>133</v>
      </c>
      <c r="J285" t="s">
        <v>134</v>
      </c>
      <c r="K285" t="s">
        <v>135</v>
      </c>
      <c r="L285" t="s">
        <v>136</v>
      </c>
      <c r="M285" s="11">
        <v>15.26</v>
      </c>
      <c r="N285" s="11">
        <v>2.1</v>
      </c>
      <c r="O285" s="11">
        <v>2.09</v>
      </c>
      <c r="P285" s="11">
        <v>0.03</v>
      </c>
      <c r="Q285" s="11">
        <v>17.77</v>
      </c>
      <c r="R285" s="11">
        <v>2</v>
      </c>
      <c r="S285" s="11">
        <f t="shared" si="32"/>
        <v>30.52</v>
      </c>
      <c r="T285" s="11">
        <f t="shared" si="33"/>
        <v>4.2</v>
      </c>
      <c r="U285" s="11">
        <f t="shared" si="34"/>
        <v>4.18</v>
      </c>
      <c r="V285" s="11">
        <f t="shared" si="35"/>
        <v>0.92</v>
      </c>
      <c r="W285" s="11" t="s">
        <v>66</v>
      </c>
      <c r="X285" s="11">
        <v>0</v>
      </c>
      <c r="Y285" s="11">
        <f t="shared" si="36"/>
        <v>27.07</v>
      </c>
      <c r="Z285" s="11">
        <f t="shared" si="37"/>
        <v>3.4499999999999993</v>
      </c>
      <c r="AA285" s="12">
        <f t="shared" si="38"/>
        <v>0.11304062909567494</v>
      </c>
      <c r="AB285" s="13">
        <f t="shared" si="39"/>
        <v>1.7175014068655037</v>
      </c>
      <c r="AC285" t="s">
        <v>67</v>
      </c>
    </row>
    <row r="286" spans="1:29" ht="14.25" customHeight="1" x14ac:dyDescent="0.45">
      <c r="A286" t="s">
        <v>409</v>
      </c>
      <c r="B286" s="10">
        <v>45925</v>
      </c>
      <c r="C286">
        <v>2025</v>
      </c>
      <c r="D286">
        <v>9</v>
      </c>
      <c r="E286" t="s">
        <v>77</v>
      </c>
      <c r="F286" t="s">
        <v>104</v>
      </c>
      <c r="G286" t="s">
        <v>71</v>
      </c>
      <c r="H286" t="s">
        <v>80</v>
      </c>
      <c r="I286" t="s">
        <v>133</v>
      </c>
      <c r="J286" t="s">
        <v>134</v>
      </c>
      <c r="K286" t="s">
        <v>135</v>
      </c>
      <c r="L286" t="s">
        <v>136</v>
      </c>
      <c r="M286" s="11">
        <v>13.59</v>
      </c>
      <c r="N286" s="11">
        <v>2.15</v>
      </c>
      <c r="O286" s="11">
        <v>2.2799999999999998</v>
      </c>
      <c r="P286" s="11">
        <v>0.03</v>
      </c>
      <c r="Q286" s="11">
        <v>0</v>
      </c>
      <c r="R286" s="11">
        <v>2</v>
      </c>
      <c r="S286" s="11">
        <f t="shared" si="32"/>
        <v>27.18</v>
      </c>
      <c r="T286" s="11">
        <f t="shared" si="33"/>
        <v>4.3</v>
      </c>
      <c r="U286" s="11">
        <f t="shared" si="34"/>
        <v>4.5599999999999996</v>
      </c>
      <c r="V286" s="11">
        <f t="shared" si="35"/>
        <v>0.82</v>
      </c>
      <c r="W286" s="11" t="s">
        <v>66</v>
      </c>
      <c r="X286" s="11">
        <v>0</v>
      </c>
      <c r="Y286" s="11">
        <f t="shared" si="36"/>
        <v>9.68</v>
      </c>
      <c r="Z286" s="11">
        <f t="shared" si="37"/>
        <v>17.5</v>
      </c>
      <c r="AA286" s="12">
        <f t="shared" si="38"/>
        <v>0.64385577630610746</v>
      </c>
      <c r="AB286" s="13">
        <f t="shared" si="39"/>
        <v>0</v>
      </c>
      <c r="AC286" t="s">
        <v>67</v>
      </c>
    </row>
    <row r="287" spans="1:29" ht="14.25" customHeight="1" x14ac:dyDescent="0.45">
      <c r="A287" t="s">
        <v>410</v>
      </c>
      <c r="B287" s="10">
        <v>45925</v>
      </c>
      <c r="C287">
        <v>2025</v>
      </c>
      <c r="D287">
        <v>9</v>
      </c>
      <c r="E287" t="s">
        <v>122</v>
      </c>
      <c r="F287" t="s">
        <v>123</v>
      </c>
      <c r="G287" t="s">
        <v>79</v>
      </c>
      <c r="H287" t="s">
        <v>86</v>
      </c>
      <c r="I287" t="s">
        <v>107</v>
      </c>
      <c r="J287" t="s">
        <v>108</v>
      </c>
      <c r="K287" t="s">
        <v>109</v>
      </c>
      <c r="L287" t="s">
        <v>110</v>
      </c>
      <c r="M287" s="11">
        <v>20.16</v>
      </c>
      <c r="N287" s="11">
        <v>3.67</v>
      </c>
      <c r="O287" s="11">
        <v>2.74</v>
      </c>
      <c r="P287" s="11">
        <v>0.03</v>
      </c>
      <c r="Q287" s="11">
        <v>2.2000000000000002</v>
      </c>
      <c r="R287" s="11">
        <v>1</v>
      </c>
      <c r="S287" s="11">
        <f t="shared" si="32"/>
        <v>20.16</v>
      </c>
      <c r="T287" s="11">
        <f t="shared" si="33"/>
        <v>3.67</v>
      </c>
      <c r="U287" s="11">
        <f t="shared" si="34"/>
        <v>2.74</v>
      </c>
      <c r="V287" s="11">
        <f t="shared" si="35"/>
        <v>0.6</v>
      </c>
      <c r="W287" s="11" t="s">
        <v>66</v>
      </c>
      <c r="X287" s="11">
        <v>0</v>
      </c>
      <c r="Y287" s="11">
        <f t="shared" si="36"/>
        <v>9.2100000000000009</v>
      </c>
      <c r="Z287" s="11">
        <f t="shared" si="37"/>
        <v>10.95</v>
      </c>
      <c r="AA287" s="12">
        <f t="shared" si="38"/>
        <v>0.54315476190476186</v>
      </c>
      <c r="AB287" s="13">
        <f t="shared" si="39"/>
        <v>9.1636363636363622</v>
      </c>
      <c r="AC287" t="s">
        <v>67</v>
      </c>
    </row>
    <row r="288" spans="1:29" ht="14.25" customHeight="1" x14ac:dyDescent="0.45">
      <c r="A288" t="s">
        <v>411</v>
      </c>
      <c r="B288" s="10">
        <v>45927</v>
      </c>
      <c r="C288">
        <v>2025</v>
      </c>
      <c r="D288">
        <v>9</v>
      </c>
      <c r="E288" t="s">
        <v>95</v>
      </c>
      <c r="F288" t="s">
        <v>96</v>
      </c>
      <c r="G288" t="s">
        <v>126</v>
      </c>
      <c r="H288" t="s">
        <v>86</v>
      </c>
      <c r="I288" t="s">
        <v>147</v>
      </c>
      <c r="J288" t="s">
        <v>148</v>
      </c>
      <c r="K288" t="s">
        <v>149</v>
      </c>
      <c r="L288" t="s">
        <v>150</v>
      </c>
      <c r="M288" s="11">
        <v>31.44</v>
      </c>
      <c r="N288" s="11">
        <v>6.67</v>
      </c>
      <c r="O288" s="11">
        <v>4.5</v>
      </c>
      <c r="P288" s="11">
        <v>0.03</v>
      </c>
      <c r="Q288" s="11">
        <v>6.4</v>
      </c>
      <c r="R288" s="11">
        <v>2</v>
      </c>
      <c r="S288" s="11">
        <f t="shared" si="32"/>
        <v>62.88</v>
      </c>
      <c r="T288" s="11">
        <f t="shared" si="33"/>
        <v>13.34</v>
      </c>
      <c r="U288" s="11">
        <f t="shared" si="34"/>
        <v>9</v>
      </c>
      <c r="V288" s="11">
        <f t="shared" si="35"/>
        <v>1.89</v>
      </c>
      <c r="W288" s="11" t="s">
        <v>66</v>
      </c>
      <c r="X288" s="11">
        <v>0</v>
      </c>
      <c r="Y288" s="11">
        <f t="shared" si="36"/>
        <v>30.630000000000003</v>
      </c>
      <c r="Z288" s="11">
        <f t="shared" si="37"/>
        <v>32.25</v>
      </c>
      <c r="AA288" s="12">
        <f t="shared" si="38"/>
        <v>0.51288167938931295</v>
      </c>
      <c r="AB288" s="13">
        <f t="shared" si="39"/>
        <v>9.8249999999999993</v>
      </c>
      <c r="AC288" t="s">
        <v>67</v>
      </c>
    </row>
    <row r="289" spans="1:29" ht="14.25" customHeight="1" x14ac:dyDescent="0.45">
      <c r="A289" t="s">
        <v>412</v>
      </c>
      <c r="B289" s="10">
        <v>45928</v>
      </c>
      <c r="C289">
        <v>2025</v>
      </c>
      <c r="D289">
        <v>9</v>
      </c>
      <c r="E289" t="s">
        <v>122</v>
      </c>
      <c r="F289" t="s">
        <v>123</v>
      </c>
      <c r="G289" t="s">
        <v>93</v>
      </c>
      <c r="H289" t="s">
        <v>112</v>
      </c>
      <c r="I289" t="s">
        <v>72</v>
      </c>
      <c r="J289" t="s">
        <v>73</v>
      </c>
      <c r="K289" t="s">
        <v>74</v>
      </c>
      <c r="L289" t="s">
        <v>75</v>
      </c>
      <c r="M289" s="11">
        <v>41.3</v>
      </c>
      <c r="N289" s="11">
        <v>14.57</v>
      </c>
      <c r="O289" s="11">
        <v>5.91</v>
      </c>
      <c r="P289" s="11">
        <v>0.03</v>
      </c>
      <c r="Q289" s="11">
        <v>1.32</v>
      </c>
      <c r="R289" s="11">
        <v>1</v>
      </c>
      <c r="S289" s="11">
        <f t="shared" si="32"/>
        <v>41.3</v>
      </c>
      <c r="T289" s="11">
        <f t="shared" si="33"/>
        <v>14.57</v>
      </c>
      <c r="U289" s="11">
        <f t="shared" si="34"/>
        <v>5.91</v>
      </c>
      <c r="V289" s="11">
        <f t="shared" si="35"/>
        <v>1.24</v>
      </c>
      <c r="W289" s="11" t="s">
        <v>66</v>
      </c>
      <c r="X289" s="11">
        <v>0</v>
      </c>
      <c r="Y289" s="11">
        <f t="shared" si="36"/>
        <v>23.04</v>
      </c>
      <c r="Z289" s="11">
        <f t="shared" si="37"/>
        <v>18.259999999999998</v>
      </c>
      <c r="AA289" s="12">
        <f t="shared" si="38"/>
        <v>0.44213075060532686</v>
      </c>
      <c r="AB289" s="13">
        <f t="shared" si="39"/>
        <v>31.287878787878785</v>
      </c>
      <c r="AC289" t="s">
        <v>67</v>
      </c>
    </row>
    <row r="290" spans="1:29" ht="14.25" customHeight="1" x14ac:dyDescent="0.45">
      <c r="A290" t="s">
        <v>413</v>
      </c>
      <c r="B290" s="10">
        <v>45929</v>
      </c>
      <c r="C290">
        <v>2025</v>
      </c>
      <c r="D290">
        <v>9</v>
      </c>
      <c r="E290" t="s">
        <v>77</v>
      </c>
      <c r="F290" t="s">
        <v>102</v>
      </c>
      <c r="G290" t="s">
        <v>105</v>
      </c>
      <c r="H290" t="s">
        <v>112</v>
      </c>
      <c r="I290" t="s">
        <v>81</v>
      </c>
      <c r="J290" t="s">
        <v>82</v>
      </c>
      <c r="K290" t="s">
        <v>83</v>
      </c>
      <c r="L290" t="s">
        <v>84</v>
      </c>
      <c r="M290" s="11">
        <v>26.07</v>
      </c>
      <c r="N290" s="11">
        <v>6.34</v>
      </c>
      <c r="O290" s="11">
        <v>3.62</v>
      </c>
      <c r="P290" s="11">
        <v>0.03</v>
      </c>
      <c r="Q290" s="11">
        <v>4.26</v>
      </c>
      <c r="R290" s="11">
        <v>1</v>
      </c>
      <c r="S290" s="11">
        <f t="shared" si="32"/>
        <v>26.07</v>
      </c>
      <c r="T290" s="11">
        <f t="shared" si="33"/>
        <v>6.34</v>
      </c>
      <c r="U290" s="11">
        <f t="shared" si="34"/>
        <v>3.62</v>
      </c>
      <c r="V290" s="11">
        <f t="shared" si="35"/>
        <v>0.78</v>
      </c>
      <c r="W290" s="11" t="s">
        <v>66</v>
      </c>
      <c r="X290" s="11">
        <v>0</v>
      </c>
      <c r="Y290" s="11">
        <f t="shared" si="36"/>
        <v>15</v>
      </c>
      <c r="Z290" s="11">
        <f t="shared" si="37"/>
        <v>11.07</v>
      </c>
      <c r="AA290" s="12">
        <f t="shared" si="38"/>
        <v>0.42462600690448793</v>
      </c>
      <c r="AB290" s="13">
        <f t="shared" si="39"/>
        <v>6.119718309859155</v>
      </c>
      <c r="AC290" t="s">
        <v>67</v>
      </c>
    </row>
    <row r="291" spans="1:29" ht="14.25" customHeight="1" x14ac:dyDescent="0.45">
      <c r="A291" t="s">
        <v>414</v>
      </c>
      <c r="B291" s="10">
        <v>45930</v>
      </c>
      <c r="C291">
        <v>2025</v>
      </c>
      <c r="D291">
        <v>9</v>
      </c>
      <c r="E291" t="s">
        <v>77</v>
      </c>
      <c r="F291" t="s">
        <v>102</v>
      </c>
      <c r="G291" t="s">
        <v>126</v>
      </c>
      <c r="H291" t="s">
        <v>112</v>
      </c>
      <c r="I291" t="s">
        <v>147</v>
      </c>
      <c r="J291" t="s">
        <v>148</v>
      </c>
      <c r="K291" t="s">
        <v>149</v>
      </c>
      <c r="L291" t="s">
        <v>150</v>
      </c>
      <c r="M291" s="11">
        <v>31.97</v>
      </c>
      <c r="N291" s="11">
        <v>7</v>
      </c>
      <c r="O291" s="11">
        <v>4.13</v>
      </c>
      <c r="P291" s="11">
        <v>0.03</v>
      </c>
      <c r="Q291" s="11">
        <v>15.35</v>
      </c>
      <c r="R291" s="11">
        <v>3</v>
      </c>
      <c r="S291" s="11">
        <f t="shared" si="32"/>
        <v>95.91</v>
      </c>
      <c r="T291" s="11">
        <f t="shared" si="33"/>
        <v>21</v>
      </c>
      <c r="U291" s="11">
        <f t="shared" si="34"/>
        <v>12.39</v>
      </c>
      <c r="V291" s="11">
        <f t="shared" si="35"/>
        <v>2.88</v>
      </c>
      <c r="W291" s="11" t="s">
        <v>66</v>
      </c>
      <c r="X291" s="11">
        <v>0</v>
      </c>
      <c r="Y291" s="11">
        <f t="shared" si="36"/>
        <v>51.620000000000005</v>
      </c>
      <c r="Z291" s="11">
        <f t="shared" si="37"/>
        <v>44.289999999999992</v>
      </c>
      <c r="AA291" s="12">
        <f t="shared" si="38"/>
        <v>0.46178709206547797</v>
      </c>
      <c r="AB291" s="13">
        <f t="shared" si="39"/>
        <v>6.2482084690553741</v>
      </c>
      <c r="AC291" t="s">
        <v>67</v>
      </c>
    </row>
    <row r="292" spans="1:29" ht="14.25" customHeight="1" x14ac:dyDescent="0.45">
      <c r="A292" t="s">
        <v>415</v>
      </c>
      <c r="B292" s="10">
        <v>45930</v>
      </c>
      <c r="C292">
        <v>2025</v>
      </c>
      <c r="D292">
        <v>9</v>
      </c>
      <c r="E292" t="s">
        <v>77</v>
      </c>
      <c r="F292" t="s">
        <v>78</v>
      </c>
      <c r="G292" t="s">
        <v>126</v>
      </c>
      <c r="H292" t="s">
        <v>86</v>
      </c>
      <c r="I292" t="s">
        <v>147</v>
      </c>
      <c r="J292" t="s">
        <v>148</v>
      </c>
      <c r="K292" t="s">
        <v>149</v>
      </c>
      <c r="L292" t="s">
        <v>150</v>
      </c>
      <c r="M292" s="11">
        <v>33.04</v>
      </c>
      <c r="N292" s="11">
        <v>7.26</v>
      </c>
      <c r="O292" s="11">
        <v>5.09</v>
      </c>
      <c r="P292" s="11">
        <v>0.03</v>
      </c>
      <c r="Q292" s="11">
        <v>7.48</v>
      </c>
      <c r="R292" s="11">
        <v>3</v>
      </c>
      <c r="S292" s="11">
        <f t="shared" si="32"/>
        <v>99.12</v>
      </c>
      <c r="T292" s="11">
        <f t="shared" si="33"/>
        <v>21.78</v>
      </c>
      <c r="U292" s="11">
        <f t="shared" si="34"/>
        <v>15.27</v>
      </c>
      <c r="V292" s="11">
        <f t="shared" si="35"/>
        <v>2.97</v>
      </c>
      <c r="W292" s="11" t="s">
        <v>66</v>
      </c>
      <c r="X292" s="11">
        <v>0</v>
      </c>
      <c r="Y292" s="11">
        <f t="shared" si="36"/>
        <v>47.5</v>
      </c>
      <c r="Z292" s="11">
        <f t="shared" si="37"/>
        <v>51.620000000000005</v>
      </c>
      <c r="AA292" s="12">
        <f t="shared" si="38"/>
        <v>0.52078288942695727</v>
      </c>
      <c r="AB292" s="13">
        <f t="shared" si="39"/>
        <v>13.251336898395722</v>
      </c>
      <c r="AC292" t="s">
        <v>67</v>
      </c>
    </row>
    <row r="293" spans="1:29" ht="14.25" customHeight="1" x14ac:dyDescent="0.45">
      <c r="A293" t="s">
        <v>416</v>
      </c>
      <c r="B293" s="10">
        <v>45931</v>
      </c>
      <c r="C293">
        <v>2025</v>
      </c>
      <c r="D293">
        <v>10</v>
      </c>
      <c r="E293" t="s">
        <v>95</v>
      </c>
      <c r="F293" t="s">
        <v>96</v>
      </c>
      <c r="G293" t="s">
        <v>79</v>
      </c>
      <c r="H293" t="s">
        <v>112</v>
      </c>
      <c r="I293" t="s">
        <v>97</v>
      </c>
      <c r="J293" t="s">
        <v>98</v>
      </c>
      <c r="K293" t="s">
        <v>99</v>
      </c>
      <c r="L293" t="s">
        <v>100</v>
      </c>
      <c r="M293" s="11">
        <v>37.53</v>
      </c>
      <c r="N293" s="11">
        <v>8.8000000000000007</v>
      </c>
      <c r="O293" s="11">
        <v>4.0199999999999996</v>
      </c>
      <c r="P293" s="11">
        <v>0.03</v>
      </c>
      <c r="Q293" s="11">
        <v>12.54</v>
      </c>
      <c r="R293" s="11">
        <v>2</v>
      </c>
      <c r="S293" s="11">
        <f t="shared" si="32"/>
        <v>75.06</v>
      </c>
      <c r="T293" s="11">
        <f t="shared" si="33"/>
        <v>17.600000000000001</v>
      </c>
      <c r="U293" s="11">
        <f t="shared" si="34"/>
        <v>8.0399999999999991</v>
      </c>
      <c r="V293" s="11">
        <f t="shared" si="35"/>
        <v>2.25</v>
      </c>
      <c r="W293" s="11" t="s">
        <v>66</v>
      </c>
      <c r="X293" s="11">
        <v>0</v>
      </c>
      <c r="Y293" s="11">
        <f t="shared" si="36"/>
        <v>40.43</v>
      </c>
      <c r="Z293" s="11">
        <f t="shared" si="37"/>
        <v>34.630000000000003</v>
      </c>
      <c r="AA293" s="12">
        <f t="shared" si="38"/>
        <v>0.46136424193978154</v>
      </c>
      <c r="AB293" s="13">
        <f t="shared" si="39"/>
        <v>5.9856459330143545</v>
      </c>
      <c r="AC293" t="s">
        <v>67</v>
      </c>
    </row>
    <row r="294" spans="1:29" ht="14.25" customHeight="1" x14ac:dyDescent="0.45">
      <c r="A294" t="s">
        <v>417</v>
      </c>
      <c r="B294" s="10">
        <v>45931</v>
      </c>
      <c r="C294">
        <v>2025</v>
      </c>
      <c r="D294">
        <v>10</v>
      </c>
      <c r="E294" t="s">
        <v>122</v>
      </c>
      <c r="F294" t="s">
        <v>123</v>
      </c>
      <c r="G294" t="s">
        <v>93</v>
      </c>
      <c r="H294" t="s">
        <v>112</v>
      </c>
      <c r="I294" t="s">
        <v>107</v>
      </c>
      <c r="J294" t="s">
        <v>108</v>
      </c>
      <c r="K294" t="s">
        <v>109</v>
      </c>
      <c r="L294" t="s">
        <v>110</v>
      </c>
      <c r="M294" s="11">
        <v>18.32</v>
      </c>
      <c r="N294" s="11">
        <v>3.59</v>
      </c>
      <c r="O294" s="11">
        <v>2.52</v>
      </c>
      <c r="P294" s="11">
        <v>0.03</v>
      </c>
      <c r="Q294" s="11">
        <v>4.1500000000000004</v>
      </c>
      <c r="R294" s="11">
        <v>1</v>
      </c>
      <c r="S294" s="11">
        <f t="shared" si="32"/>
        <v>18.32</v>
      </c>
      <c r="T294" s="11">
        <f t="shared" si="33"/>
        <v>3.59</v>
      </c>
      <c r="U294" s="11">
        <f t="shared" si="34"/>
        <v>2.52</v>
      </c>
      <c r="V294" s="11">
        <f t="shared" si="35"/>
        <v>0.55000000000000004</v>
      </c>
      <c r="W294" s="11" t="s">
        <v>66</v>
      </c>
      <c r="X294" s="11">
        <v>0</v>
      </c>
      <c r="Y294" s="11">
        <f t="shared" si="36"/>
        <v>10.809999999999999</v>
      </c>
      <c r="Z294" s="11">
        <f t="shared" si="37"/>
        <v>7.5100000000000016</v>
      </c>
      <c r="AA294" s="12">
        <f t="shared" si="38"/>
        <v>0.40993449781659397</v>
      </c>
      <c r="AB294" s="13">
        <f t="shared" si="39"/>
        <v>4.4144578313253007</v>
      </c>
      <c r="AC294" t="s">
        <v>67</v>
      </c>
    </row>
    <row r="295" spans="1:29" ht="14.25" customHeight="1" x14ac:dyDescent="0.45">
      <c r="A295" t="s">
        <v>418</v>
      </c>
      <c r="B295" s="10">
        <v>45932</v>
      </c>
      <c r="C295">
        <v>2025</v>
      </c>
      <c r="D295">
        <v>10</v>
      </c>
      <c r="E295" t="s">
        <v>77</v>
      </c>
      <c r="F295" t="s">
        <v>104</v>
      </c>
      <c r="G295" t="s">
        <v>126</v>
      </c>
      <c r="H295" t="s">
        <v>127</v>
      </c>
      <c r="I295" t="s">
        <v>138</v>
      </c>
      <c r="J295" t="s">
        <v>139</v>
      </c>
      <c r="K295" t="s">
        <v>89</v>
      </c>
      <c r="L295" t="s">
        <v>140</v>
      </c>
      <c r="M295" s="11">
        <v>42.43</v>
      </c>
      <c r="N295" s="11">
        <v>8.5299999999999994</v>
      </c>
      <c r="O295" s="11">
        <v>4.55</v>
      </c>
      <c r="P295" s="11">
        <v>0.03</v>
      </c>
      <c r="Q295" s="11">
        <v>3.43</v>
      </c>
      <c r="R295" s="11">
        <v>1</v>
      </c>
      <c r="S295" s="11">
        <f t="shared" si="32"/>
        <v>42.43</v>
      </c>
      <c r="T295" s="11">
        <f t="shared" si="33"/>
        <v>8.5299999999999994</v>
      </c>
      <c r="U295" s="11">
        <f t="shared" si="34"/>
        <v>4.55</v>
      </c>
      <c r="V295" s="11">
        <f t="shared" si="35"/>
        <v>1.27</v>
      </c>
      <c r="W295" s="11" t="s">
        <v>66</v>
      </c>
      <c r="X295" s="11">
        <v>0</v>
      </c>
      <c r="Y295" s="11">
        <f t="shared" si="36"/>
        <v>17.779999999999998</v>
      </c>
      <c r="Z295" s="11">
        <f t="shared" si="37"/>
        <v>24.650000000000002</v>
      </c>
      <c r="AA295" s="12">
        <f t="shared" si="38"/>
        <v>0.58095687013905262</v>
      </c>
      <c r="AB295" s="13">
        <f t="shared" si="39"/>
        <v>12.370262390670554</v>
      </c>
      <c r="AC295" t="s">
        <v>67</v>
      </c>
    </row>
    <row r="296" spans="1:29" ht="14.25" customHeight="1" x14ac:dyDescent="0.45">
      <c r="A296" t="s">
        <v>419</v>
      </c>
      <c r="B296" s="10">
        <v>45935</v>
      </c>
      <c r="C296">
        <v>2025</v>
      </c>
      <c r="D296">
        <v>10</v>
      </c>
      <c r="E296" t="s">
        <v>77</v>
      </c>
      <c r="F296" t="s">
        <v>102</v>
      </c>
      <c r="G296" t="s">
        <v>71</v>
      </c>
      <c r="H296" t="s">
        <v>86</v>
      </c>
      <c r="I296" t="s">
        <v>133</v>
      </c>
      <c r="J296" t="s">
        <v>134</v>
      </c>
      <c r="K296" t="s">
        <v>135</v>
      </c>
      <c r="L296" t="s">
        <v>136</v>
      </c>
      <c r="M296" s="11">
        <v>16.68</v>
      </c>
      <c r="N296" s="11">
        <v>2.0699999999999998</v>
      </c>
      <c r="O296" s="11">
        <v>2.2799999999999998</v>
      </c>
      <c r="P296" s="11">
        <v>0.03</v>
      </c>
      <c r="Q296" s="11">
        <v>0</v>
      </c>
      <c r="R296" s="11">
        <v>1</v>
      </c>
      <c r="S296" s="11">
        <f t="shared" si="32"/>
        <v>16.68</v>
      </c>
      <c r="T296" s="11">
        <f t="shared" si="33"/>
        <v>2.0699999999999998</v>
      </c>
      <c r="U296" s="11">
        <f t="shared" si="34"/>
        <v>2.2799999999999998</v>
      </c>
      <c r="V296" s="11">
        <f t="shared" si="35"/>
        <v>0.5</v>
      </c>
      <c r="W296" s="11" t="s">
        <v>66</v>
      </c>
      <c r="X296" s="11">
        <v>0</v>
      </c>
      <c r="Y296" s="11">
        <f t="shared" si="36"/>
        <v>4.8499999999999996</v>
      </c>
      <c r="Z296" s="11">
        <f t="shared" si="37"/>
        <v>11.83</v>
      </c>
      <c r="AA296" s="12">
        <f t="shared" si="38"/>
        <v>0.70923261390887293</v>
      </c>
      <c r="AB296" s="13">
        <f t="shared" si="39"/>
        <v>0</v>
      </c>
      <c r="AC296" t="s">
        <v>67</v>
      </c>
    </row>
    <row r="297" spans="1:29" ht="14.25" customHeight="1" x14ac:dyDescent="0.45">
      <c r="A297" t="s">
        <v>420</v>
      </c>
      <c r="B297" s="10">
        <v>45935</v>
      </c>
      <c r="C297">
        <v>2025</v>
      </c>
      <c r="D297">
        <v>10</v>
      </c>
      <c r="E297" t="s">
        <v>77</v>
      </c>
      <c r="F297" t="s">
        <v>102</v>
      </c>
      <c r="G297" t="s">
        <v>105</v>
      </c>
      <c r="H297" t="s">
        <v>61</v>
      </c>
      <c r="I297" t="s">
        <v>87</v>
      </c>
      <c r="J297" t="s">
        <v>88</v>
      </c>
      <c r="K297" t="s">
        <v>89</v>
      </c>
      <c r="L297" t="s">
        <v>90</v>
      </c>
      <c r="M297" s="11">
        <v>64.400000000000006</v>
      </c>
      <c r="N297" s="11">
        <v>22.42</v>
      </c>
      <c r="O297" s="11">
        <v>6.6</v>
      </c>
      <c r="P297" s="11">
        <v>0.03</v>
      </c>
      <c r="Q297" s="11">
        <v>17.14</v>
      </c>
      <c r="R297" s="11">
        <v>2</v>
      </c>
      <c r="S297" s="11">
        <f t="shared" si="32"/>
        <v>128.80000000000001</v>
      </c>
      <c r="T297" s="11">
        <f t="shared" si="33"/>
        <v>44.84</v>
      </c>
      <c r="U297" s="11">
        <f t="shared" si="34"/>
        <v>13.2</v>
      </c>
      <c r="V297" s="11">
        <f t="shared" si="35"/>
        <v>3.86</v>
      </c>
      <c r="W297" s="11" t="s">
        <v>66</v>
      </c>
      <c r="X297" s="11">
        <v>0</v>
      </c>
      <c r="Y297" s="11">
        <f t="shared" si="36"/>
        <v>79.040000000000006</v>
      </c>
      <c r="Z297" s="11">
        <f t="shared" si="37"/>
        <v>49.760000000000005</v>
      </c>
      <c r="AA297" s="12">
        <f t="shared" si="38"/>
        <v>0.3863354037267081</v>
      </c>
      <c r="AB297" s="13">
        <f t="shared" si="39"/>
        <v>7.5145857642940497</v>
      </c>
      <c r="AC297" t="s">
        <v>67</v>
      </c>
    </row>
    <row r="298" spans="1:29" ht="14.25" customHeight="1" x14ac:dyDescent="0.45">
      <c r="A298" t="s">
        <v>421</v>
      </c>
      <c r="B298" s="10">
        <v>45936</v>
      </c>
      <c r="C298">
        <v>2025</v>
      </c>
      <c r="D298">
        <v>10</v>
      </c>
      <c r="E298" t="s">
        <v>58</v>
      </c>
      <c r="F298" t="s">
        <v>59</v>
      </c>
      <c r="G298" t="s">
        <v>105</v>
      </c>
      <c r="H298" t="s">
        <v>80</v>
      </c>
      <c r="I298" t="s">
        <v>107</v>
      </c>
      <c r="J298" t="s">
        <v>108</v>
      </c>
      <c r="K298" t="s">
        <v>109</v>
      </c>
      <c r="L298" t="s">
        <v>110</v>
      </c>
      <c r="M298" s="11">
        <v>18.440000000000001</v>
      </c>
      <c r="N298" s="11">
        <v>3.58</v>
      </c>
      <c r="O298" s="11">
        <v>2.58</v>
      </c>
      <c r="P298" s="11">
        <v>0.03</v>
      </c>
      <c r="Q298" s="11">
        <v>11.91</v>
      </c>
      <c r="R298" s="11">
        <v>3</v>
      </c>
      <c r="S298" s="11">
        <f t="shared" si="32"/>
        <v>55.320000000000007</v>
      </c>
      <c r="T298" s="11">
        <f t="shared" si="33"/>
        <v>10.74</v>
      </c>
      <c r="U298" s="11">
        <f t="shared" si="34"/>
        <v>7.74</v>
      </c>
      <c r="V298" s="11">
        <f t="shared" si="35"/>
        <v>1.66</v>
      </c>
      <c r="W298" s="11" t="s">
        <v>66</v>
      </c>
      <c r="X298" s="11">
        <v>0</v>
      </c>
      <c r="Y298" s="11">
        <f t="shared" si="36"/>
        <v>32.049999999999997</v>
      </c>
      <c r="Z298" s="11">
        <f t="shared" si="37"/>
        <v>23.27000000000001</v>
      </c>
      <c r="AA298" s="12">
        <f t="shared" si="38"/>
        <v>0.42064352856109921</v>
      </c>
      <c r="AB298" s="13">
        <f t="shared" si="39"/>
        <v>4.6448362720403029</v>
      </c>
      <c r="AC298" t="s">
        <v>67</v>
      </c>
    </row>
    <row r="299" spans="1:29" ht="14.25" customHeight="1" x14ac:dyDescent="0.45">
      <c r="A299" t="s">
        <v>422</v>
      </c>
      <c r="B299" s="10">
        <v>45936</v>
      </c>
      <c r="C299">
        <v>2025</v>
      </c>
      <c r="D299">
        <v>10</v>
      </c>
      <c r="E299" t="s">
        <v>58</v>
      </c>
      <c r="F299" t="s">
        <v>92</v>
      </c>
      <c r="G299" t="s">
        <v>105</v>
      </c>
      <c r="H299" t="s">
        <v>80</v>
      </c>
      <c r="I299" t="s">
        <v>72</v>
      </c>
      <c r="J299" t="s">
        <v>73</v>
      </c>
      <c r="K299" t="s">
        <v>74</v>
      </c>
      <c r="L299" t="s">
        <v>75</v>
      </c>
      <c r="M299" s="11">
        <v>48.51</v>
      </c>
      <c r="N299" s="11">
        <v>14.89</v>
      </c>
      <c r="O299" s="11">
        <v>7.02</v>
      </c>
      <c r="P299" s="11">
        <v>0.03</v>
      </c>
      <c r="Q299" s="11">
        <v>22.81</v>
      </c>
      <c r="R299" s="11">
        <v>3</v>
      </c>
      <c r="S299" s="11">
        <f t="shared" si="32"/>
        <v>145.53</v>
      </c>
      <c r="T299" s="11">
        <f t="shared" si="33"/>
        <v>44.67</v>
      </c>
      <c r="U299" s="11">
        <f t="shared" si="34"/>
        <v>21.06</v>
      </c>
      <c r="V299" s="11">
        <f t="shared" si="35"/>
        <v>4.37</v>
      </c>
      <c r="W299" s="11" t="s">
        <v>66</v>
      </c>
      <c r="X299" s="11">
        <v>0</v>
      </c>
      <c r="Y299" s="11">
        <f t="shared" si="36"/>
        <v>92.910000000000011</v>
      </c>
      <c r="Z299" s="11">
        <f t="shared" si="37"/>
        <v>52.61999999999999</v>
      </c>
      <c r="AA299" s="12">
        <f t="shared" si="38"/>
        <v>0.36157493300350435</v>
      </c>
      <c r="AB299" s="13">
        <f t="shared" si="39"/>
        <v>6.3800964489259098</v>
      </c>
      <c r="AC299" t="s">
        <v>67</v>
      </c>
    </row>
    <row r="300" spans="1:29" ht="14.25" customHeight="1" x14ac:dyDescent="0.45">
      <c r="A300" t="s">
        <v>423</v>
      </c>
      <c r="B300" s="10">
        <v>45937</v>
      </c>
      <c r="C300">
        <v>2025</v>
      </c>
      <c r="D300">
        <v>10</v>
      </c>
      <c r="E300" t="s">
        <v>69</v>
      </c>
      <c r="F300" t="s">
        <v>70</v>
      </c>
      <c r="G300" t="s">
        <v>60</v>
      </c>
      <c r="H300" t="s">
        <v>86</v>
      </c>
      <c r="I300" t="s">
        <v>87</v>
      </c>
      <c r="J300" t="s">
        <v>88</v>
      </c>
      <c r="K300" t="s">
        <v>89</v>
      </c>
      <c r="L300" t="s">
        <v>90</v>
      </c>
      <c r="M300" s="11">
        <v>57.44</v>
      </c>
      <c r="N300" s="11">
        <v>21.63</v>
      </c>
      <c r="O300" s="11">
        <v>7.98</v>
      </c>
      <c r="P300" s="11">
        <v>0.03</v>
      </c>
      <c r="Q300" s="11">
        <v>14.62</v>
      </c>
      <c r="R300" s="11">
        <v>3</v>
      </c>
      <c r="S300" s="11">
        <f t="shared" si="32"/>
        <v>172.32</v>
      </c>
      <c r="T300" s="11">
        <f t="shared" si="33"/>
        <v>64.89</v>
      </c>
      <c r="U300" s="11">
        <f t="shared" si="34"/>
        <v>23.94</v>
      </c>
      <c r="V300" s="11">
        <f t="shared" si="35"/>
        <v>5.17</v>
      </c>
      <c r="W300" s="11" t="s">
        <v>66</v>
      </c>
      <c r="X300" s="11">
        <v>0</v>
      </c>
      <c r="Y300" s="11">
        <f t="shared" si="36"/>
        <v>108.62</v>
      </c>
      <c r="Z300" s="11">
        <f t="shared" si="37"/>
        <v>63.699999999999989</v>
      </c>
      <c r="AA300" s="12">
        <f t="shared" si="38"/>
        <v>0.36966109563602595</v>
      </c>
      <c r="AB300" s="13">
        <f t="shared" si="39"/>
        <v>11.786593707250342</v>
      </c>
      <c r="AC300" t="s">
        <v>67</v>
      </c>
    </row>
    <row r="301" spans="1:29" ht="14.25" customHeight="1" x14ac:dyDescent="0.45">
      <c r="A301" t="s">
        <v>424</v>
      </c>
      <c r="B301" s="10">
        <v>45937</v>
      </c>
      <c r="C301">
        <v>2025</v>
      </c>
      <c r="D301">
        <v>10</v>
      </c>
      <c r="E301" t="s">
        <v>122</v>
      </c>
      <c r="F301" t="s">
        <v>123</v>
      </c>
      <c r="G301" t="s">
        <v>126</v>
      </c>
      <c r="H301" t="s">
        <v>127</v>
      </c>
      <c r="I301" t="s">
        <v>81</v>
      </c>
      <c r="J301" t="s">
        <v>82</v>
      </c>
      <c r="K301" t="s">
        <v>83</v>
      </c>
      <c r="L301" t="s">
        <v>84</v>
      </c>
      <c r="M301" s="11">
        <v>27.98</v>
      </c>
      <c r="N301" s="11">
        <v>6.03</v>
      </c>
      <c r="O301" s="11">
        <v>3.33</v>
      </c>
      <c r="P301" s="11">
        <v>0.03</v>
      </c>
      <c r="Q301" s="11">
        <v>9.1300000000000008</v>
      </c>
      <c r="R301" s="11">
        <v>1</v>
      </c>
      <c r="S301" s="11">
        <f t="shared" si="32"/>
        <v>27.98</v>
      </c>
      <c r="T301" s="11">
        <f t="shared" si="33"/>
        <v>6.03</v>
      </c>
      <c r="U301" s="11">
        <f t="shared" si="34"/>
        <v>3.33</v>
      </c>
      <c r="V301" s="11">
        <f t="shared" si="35"/>
        <v>0.84</v>
      </c>
      <c r="W301" s="11" t="s">
        <v>66</v>
      </c>
      <c r="X301" s="11">
        <v>0</v>
      </c>
      <c r="Y301" s="11">
        <f t="shared" si="36"/>
        <v>19.329999999999998</v>
      </c>
      <c r="Z301" s="11">
        <f t="shared" si="37"/>
        <v>8.6500000000000021</v>
      </c>
      <c r="AA301" s="12">
        <f t="shared" si="38"/>
        <v>0.30914939242315947</v>
      </c>
      <c r="AB301" s="13">
        <f t="shared" si="39"/>
        <v>3.0646221248630887</v>
      </c>
      <c r="AC301" t="s">
        <v>67</v>
      </c>
    </row>
    <row r="302" spans="1:29" ht="14.25" customHeight="1" x14ac:dyDescent="0.45">
      <c r="A302" t="s">
        <v>425</v>
      </c>
      <c r="B302" s="10">
        <v>45938</v>
      </c>
      <c r="C302">
        <v>2025</v>
      </c>
      <c r="D302">
        <v>10</v>
      </c>
      <c r="E302" t="s">
        <v>58</v>
      </c>
      <c r="F302" t="s">
        <v>92</v>
      </c>
      <c r="G302" t="s">
        <v>60</v>
      </c>
      <c r="H302" t="s">
        <v>127</v>
      </c>
      <c r="I302" t="s">
        <v>72</v>
      </c>
      <c r="J302" t="s">
        <v>73</v>
      </c>
      <c r="K302" t="s">
        <v>74</v>
      </c>
      <c r="L302" t="s">
        <v>75</v>
      </c>
      <c r="M302" s="11">
        <v>46.89</v>
      </c>
      <c r="N302" s="11">
        <v>13.49</v>
      </c>
      <c r="O302" s="11">
        <v>7.37</v>
      </c>
      <c r="P302" s="11">
        <v>0.03</v>
      </c>
      <c r="Q302" s="11">
        <v>6.2</v>
      </c>
      <c r="R302" s="11">
        <v>2</v>
      </c>
      <c r="S302" s="11">
        <f t="shared" si="32"/>
        <v>93.78</v>
      </c>
      <c r="T302" s="11">
        <f t="shared" si="33"/>
        <v>26.98</v>
      </c>
      <c r="U302" s="11">
        <f t="shared" si="34"/>
        <v>14.74</v>
      </c>
      <c r="V302" s="11">
        <f t="shared" si="35"/>
        <v>2.81</v>
      </c>
      <c r="W302" s="11" t="s">
        <v>66</v>
      </c>
      <c r="X302" s="11">
        <v>0</v>
      </c>
      <c r="Y302" s="11">
        <f t="shared" si="36"/>
        <v>50.730000000000004</v>
      </c>
      <c r="Z302" s="11">
        <f t="shared" si="37"/>
        <v>43.05</v>
      </c>
      <c r="AA302" s="12">
        <f t="shared" si="38"/>
        <v>0.45905310300703772</v>
      </c>
      <c r="AB302" s="13">
        <f t="shared" si="39"/>
        <v>15.125806451612902</v>
      </c>
      <c r="AC302" t="s">
        <v>67</v>
      </c>
    </row>
    <row r="303" spans="1:29" ht="14.25" customHeight="1" x14ac:dyDescent="0.45">
      <c r="A303" t="s">
        <v>426</v>
      </c>
      <c r="B303" s="10">
        <v>45939</v>
      </c>
      <c r="C303">
        <v>2025</v>
      </c>
      <c r="D303">
        <v>10</v>
      </c>
      <c r="E303" t="s">
        <v>58</v>
      </c>
      <c r="F303" t="s">
        <v>59</v>
      </c>
      <c r="G303" t="s">
        <v>105</v>
      </c>
      <c r="H303" t="s">
        <v>127</v>
      </c>
      <c r="I303" t="s">
        <v>97</v>
      </c>
      <c r="J303" t="s">
        <v>98</v>
      </c>
      <c r="K303" t="s">
        <v>99</v>
      </c>
      <c r="L303" t="s">
        <v>100</v>
      </c>
      <c r="M303" s="11">
        <v>34.799999999999997</v>
      </c>
      <c r="N303" s="11">
        <v>9.4499999999999993</v>
      </c>
      <c r="O303" s="11">
        <v>4.3600000000000003</v>
      </c>
      <c r="P303" s="11">
        <v>0.03</v>
      </c>
      <c r="Q303" s="11">
        <v>2.63</v>
      </c>
      <c r="R303" s="11">
        <v>1</v>
      </c>
      <c r="S303" s="11">
        <f t="shared" si="32"/>
        <v>34.799999999999997</v>
      </c>
      <c r="T303" s="11">
        <f t="shared" si="33"/>
        <v>9.4499999999999993</v>
      </c>
      <c r="U303" s="11">
        <f t="shared" si="34"/>
        <v>4.3600000000000003</v>
      </c>
      <c r="V303" s="11">
        <f t="shared" si="35"/>
        <v>1.04</v>
      </c>
      <c r="W303" s="11" t="s">
        <v>66</v>
      </c>
      <c r="X303" s="11">
        <v>0</v>
      </c>
      <c r="Y303" s="11">
        <f t="shared" si="36"/>
        <v>17.479999999999997</v>
      </c>
      <c r="Z303" s="11">
        <f t="shared" si="37"/>
        <v>17.32</v>
      </c>
      <c r="AA303" s="12">
        <f t="shared" si="38"/>
        <v>0.49770114942528743</v>
      </c>
      <c r="AB303" s="13">
        <f t="shared" si="39"/>
        <v>13.231939163498099</v>
      </c>
      <c r="AC303" t="s">
        <v>67</v>
      </c>
    </row>
    <row r="304" spans="1:29" ht="14.25" customHeight="1" x14ac:dyDescent="0.45">
      <c r="A304" t="s">
        <v>427</v>
      </c>
      <c r="B304" s="10">
        <v>45940</v>
      </c>
      <c r="C304">
        <v>2025</v>
      </c>
      <c r="D304">
        <v>10</v>
      </c>
      <c r="E304" t="s">
        <v>95</v>
      </c>
      <c r="F304" t="s">
        <v>96</v>
      </c>
      <c r="G304" t="s">
        <v>71</v>
      </c>
      <c r="H304" t="s">
        <v>127</v>
      </c>
      <c r="I304" t="s">
        <v>72</v>
      </c>
      <c r="J304" t="s">
        <v>73</v>
      </c>
      <c r="K304" t="s">
        <v>74</v>
      </c>
      <c r="L304" t="s">
        <v>75</v>
      </c>
      <c r="M304" s="11">
        <v>49.25</v>
      </c>
      <c r="N304" s="11">
        <v>13.43</v>
      </c>
      <c r="O304" s="11">
        <v>7.47</v>
      </c>
      <c r="P304" s="11">
        <v>0.03</v>
      </c>
      <c r="Q304" s="11">
        <v>0</v>
      </c>
      <c r="R304" s="11">
        <v>2</v>
      </c>
      <c r="S304" s="11">
        <f t="shared" si="32"/>
        <v>98.5</v>
      </c>
      <c r="T304" s="11">
        <f t="shared" si="33"/>
        <v>26.86</v>
      </c>
      <c r="U304" s="11">
        <f t="shared" si="34"/>
        <v>14.94</v>
      </c>
      <c r="V304" s="11">
        <f t="shared" si="35"/>
        <v>2.96</v>
      </c>
      <c r="W304" s="11" t="s">
        <v>66</v>
      </c>
      <c r="X304" s="11">
        <v>0</v>
      </c>
      <c r="Y304" s="11">
        <f t="shared" si="36"/>
        <v>44.76</v>
      </c>
      <c r="Z304" s="11">
        <f t="shared" si="37"/>
        <v>53.74</v>
      </c>
      <c r="AA304" s="12">
        <f t="shared" si="38"/>
        <v>0.54558375634517764</v>
      </c>
      <c r="AB304" s="13">
        <f t="shared" si="39"/>
        <v>0</v>
      </c>
      <c r="AC304" t="s">
        <v>67</v>
      </c>
    </row>
    <row r="305" spans="1:29" ht="14.25" customHeight="1" x14ac:dyDescent="0.45">
      <c r="A305" t="s">
        <v>428</v>
      </c>
      <c r="B305" s="10">
        <v>45943</v>
      </c>
      <c r="C305">
        <v>2025</v>
      </c>
      <c r="D305">
        <v>10</v>
      </c>
      <c r="E305" t="s">
        <v>77</v>
      </c>
      <c r="F305" t="s">
        <v>78</v>
      </c>
      <c r="G305" t="s">
        <v>126</v>
      </c>
      <c r="H305" t="s">
        <v>61</v>
      </c>
      <c r="I305" t="s">
        <v>138</v>
      </c>
      <c r="J305" t="s">
        <v>139</v>
      </c>
      <c r="K305" t="s">
        <v>89</v>
      </c>
      <c r="L305" t="s">
        <v>140</v>
      </c>
      <c r="M305" s="11">
        <v>39</v>
      </c>
      <c r="N305" s="11">
        <v>8.58</v>
      </c>
      <c r="O305" s="11">
        <v>3.72</v>
      </c>
      <c r="P305" s="11">
        <v>0.03</v>
      </c>
      <c r="Q305" s="11">
        <v>18.54</v>
      </c>
      <c r="R305" s="11">
        <v>2</v>
      </c>
      <c r="S305" s="11">
        <f t="shared" si="32"/>
        <v>78</v>
      </c>
      <c r="T305" s="11">
        <f t="shared" si="33"/>
        <v>17.16</v>
      </c>
      <c r="U305" s="11">
        <f t="shared" si="34"/>
        <v>7.44</v>
      </c>
      <c r="V305" s="11">
        <f t="shared" si="35"/>
        <v>2.34</v>
      </c>
      <c r="W305" s="11" t="s">
        <v>154</v>
      </c>
      <c r="X305" s="11">
        <v>48.77</v>
      </c>
      <c r="Y305" s="11">
        <f t="shared" si="36"/>
        <v>94.25</v>
      </c>
      <c r="Z305" s="11">
        <f t="shared" si="37"/>
        <v>-16.25</v>
      </c>
      <c r="AA305" s="12">
        <f t="shared" si="38"/>
        <v>-0.20833333333333334</v>
      </c>
      <c r="AB305" s="13">
        <f t="shared" si="39"/>
        <v>4.2071197411003238</v>
      </c>
      <c r="AC305" t="s">
        <v>155</v>
      </c>
    </row>
    <row r="306" spans="1:29" ht="14.25" customHeight="1" x14ac:dyDescent="0.45">
      <c r="A306" t="s">
        <v>429</v>
      </c>
      <c r="B306" s="10">
        <v>45944</v>
      </c>
      <c r="C306">
        <v>2025</v>
      </c>
      <c r="D306">
        <v>10</v>
      </c>
      <c r="E306" t="s">
        <v>122</v>
      </c>
      <c r="F306" t="s">
        <v>123</v>
      </c>
      <c r="G306" t="s">
        <v>105</v>
      </c>
      <c r="H306" t="s">
        <v>61</v>
      </c>
      <c r="I306" t="s">
        <v>72</v>
      </c>
      <c r="J306" t="s">
        <v>73</v>
      </c>
      <c r="K306" t="s">
        <v>74</v>
      </c>
      <c r="L306" t="s">
        <v>75</v>
      </c>
      <c r="M306" s="11">
        <v>42</v>
      </c>
      <c r="N306" s="11">
        <v>15</v>
      </c>
      <c r="O306" s="11">
        <v>6.15</v>
      </c>
      <c r="P306" s="11">
        <v>0.03</v>
      </c>
      <c r="Q306" s="11">
        <v>14.04</v>
      </c>
      <c r="R306" s="11">
        <v>2</v>
      </c>
      <c r="S306" s="11">
        <f t="shared" si="32"/>
        <v>84</v>
      </c>
      <c r="T306" s="11">
        <f t="shared" si="33"/>
        <v>30</v>
      </c>
      <c r="U306" s="11">
        <f t="shared" si="34"/>
        <v>12.3</v>
      </c>
      <c r="V306" s="11">
        <f t="shared" si="35"/>
        <v>2.52</v>
      </c>
      <c r="W306" s="11" t="s">
        <v>66</v>
      </c>
      <c r="X306" s="11">
        <v>0</v>
      </c>
      <c r="Y306" s="11">
        <f t="shared" si="36"/>
        <v>58.86</v>
      </c>
      <c r="Z306" s="11">
        <f t="shared" si="37"/>
        <v>25.14</v>
      </c>
      <c r="AA306" s="12">
        <f t="shared" si="38"/>
        <v>0.29928571428571427</v>
      </c>
      <c r="AB306" s="13">
        <f t="shared" si="39"/>
        <v>5.982905982905983</v>
      </c>
      <c r="AC306" t="s">
        <v>67</v>
      </c>
    </row>
    <row r="307" spans="1:29" ht="14.25" customHeight="1" x14ac:dyDescent="0.45">
      <c r="A307" t="s">
        <v>430</v>
      </c>
      <c r="B307" s="10">
        <v>45947</v>
      </c>
      <c r="C307">
        <v>2025</v>
      </c>
      <c r="D307">
        <v>10</v>
      </c>
      <c r="E307" t="s">
        <v>77</v>
      </c>
      <c r="F307" t="s">
        <v>104</v>
      </c>
      <c r="G307" t="s">
        <v>105</v>
      </c>
      <c r="H307" t="s">
        <v>112</v>
      </c>
      <c r="I307" t="s">
        <v>72</v>
      </c>
      <c r="J307" t="s">
        <v>73</v>
      </c>
      <c r="K307" t="s">
        <v>74</v>
      </c>
      <c r="L307" t="s">
        <v>75</v>
      </c>
      <c r="M307" s="11">
        <v>49.59</v>
      </c>
      <c r="N307" s="11">
        <v>14.68</v>
      </c>
      <c r="O307" s="11">
        <v>6.35</v>
      </c>
      <c r="P307" s="11">
        <v>0.03</v>
      </c>
      <c r="Q307" s="11">
        <v>20.57</v>
      </c>
      <c r="R307" s="11">
        <v>2</v>
      </c>
      <c r="S307" s="11">
        <f t="shared" si="32"/>
        <v>99.18</v>
      </c>
      <c r="T307" s="11">
        <f t="shared" si="33"/>
        <v>29.36</v>
      </c>
      <c r="U307" s="11">
        <f t="shared" si="34"/>
        <v>12.7</v>
      </c>
      <c r="V307" s="11">
        <f t="shared" si="35"/>
        <v>2.98</v>
      </c>
      <c r="W307" s="11" t="s">
        <v>66</v>
      </c>
      <c r="X307" s="11">
        <v>0</v>
      </c>
      <c r="Y307" s="11">
        <f t="shared" si="36"/>
        <v>65.61</v>
      </c>
      <c r="Z307" s="11">
        <f t="shared" si="37"/>
        <v>33.570000000000007</v>
      </c>
      <c r="AA307" s="12">
        <f t="shared" si="38"/>
        <v>0.33847549909255903</v>
      </c>
      <c r="AB307" s="13">
        <f t="shared" si="39"/>
        <v>4.8215848322800197</v>
      </c>
      <c r="AC307" t="s">
        <v>67</v>
      </c>
    </row>
    <row r="308" spans="1:29" ht="14.25" customHeight="1" x14ac:dyDescent="0.45">
      <c r="A308" t="s">
        <v>431</v>
      </c>
      <c r="B308" s="10">
        <v>45949</v>
      </c>
      <c r="C308">
        <v>2025</v>
      </c>
      <c r="D308">
        <v>10</v>
      </c>
      <c r="E308" t="s">
        <v>95</v>
      </c>
      <c r="F308" t="s">
        <v>96</v>
      </c>
      <c r="G308" t="s">
        <v>126</v>
      </c>
      <c r="H308" t="s">
        <v>112</v>
      </c>
      <c r="I308" t="s">
        <v>81</v>
      </c>
      <c r="J308" t="s">
        <v>82</v>
      </c>
      <c r="K308" t="s">
        <v>83</v>
      </c>
      <c r="L308" t="s">
        <v>84</v>
      </c>
      <c r="M308" s="11">
        <v>27.67</v>
      </c>
      <c r="N308" s="11">
        <v>6.27</v>
      </c>
      <c r="O308" s="11">
        <v>3.82</v>
      </c>
      <c r="P308" s="11">
        <v>0.03</v>
      </c>
      <c r="Q308" s="11">
        <v>20.76</v>
      </c>
      <c r="R308" s="11">
        <v>2</v>
      </c>
      <c r="S308" s="11">
        <f t="shared" si="32"/>
        <v>55.34</v>
      </c>
      <c r="T308" s="11">
        <f t="shared" si="33"/>
        <v>12.54</v>
      </c>
      <c r="U308" s="11">
        <f t="shared" si="34"/>
        <v>7.64</v>
      </c>
      <c r="V308" s="11">
        <f t="shared" si="35"/>
        <v>1.66</v>
      </c>
      <c r="W308" s="11" t="s">
        <v>66</v>
      </c>
      <c r="X308" s="11">
        <v>0</v>
      </c>
      <c r="Y308" s="11">
        <f t="shared" si="36"/>
        <v>42.6</v>
      </c>
      <c r="Z308" s="11">
        <f t="shared" si="37"/>
        <v>12.740000000000002</v>
      </c>
      <c r="AA308" s="12">
        <f t="shared" si="38"/>
        <v>0.23021322732200941</v>
      </c>
      <c r="AB308" s="13">
        <f t="shared" si="39"/>
        <v>2.6657032755298653</v>
      </c>
      <c r="AC308" t="s">
        <v>67</v>
      </c>
    </row>
    <row r="309" spans="1:29" ht="14.25" customHeight="1" x14ac:dyDescent="0.45">
      <c r="A309" t="s">
        <v>432</v>
      </c>
      <c r="B309" s="10">
        <v>45950</v>
      </c>
      <c r="C309">
        <v>2025</v>
      </c>
      <c r="D309">
        <v>10</v>
      </c>
      <c r="E309" t="s">
        <v>69</v>
      </c>
      <c r="F309" t="s">
        <v>70</v>
      </c>
      <c r="G309" t="s">
        <v>93</v>
      </c>
      <c r="H309" t="s">
        <v>61</v>
      </c>
      <c r="I309" t="s">
        <v>138</v>
      </c>
      <c r="J309" t="s">
        <v>139</v>
      </c>
      <c r="K309" t="s">
        <v>89</v>
      </c>
      <c r="L309" t="s">
        <v>140</v>
      </c>
      <c r="M309" s="11">
        <v>43.15</v>
      </c>
      <c r="N309" s="11">
        <v>8.99</v>
      </c>
      <c r="O309" s="11">
        <v>4.25</v>
      </c>
      <c r="P309" s="11">
        <v>0.03</v>
      </c>
      <c r="Q309" s="11">
        <v>5.04</v>
      </c>
      <c r="R309" s="11">
        <v>2</v>
      </c>
      <c r="S309" s="11">
        <f t="shared" si="32"/>
        <v>86.3</v>
      </c>
      <c r="T309" s="11">
        <f t="shared" si="33"/>
        <v>17.98</v>
      </c>
      <c r="U309" s="11">
        <f t="shared" si="34"/>
        <v>8.5</v>
      </c>
      <c r="V309" s="11">
        <f t="shared" si="35"/>
        <v>2.59</v>
      </c>
      <c r="W309" s="11" t="s">
        <v>66</v>
      </c>
      <c r="X309" s="11">
        <v>0</v>
      </c>
      <c r="Y309" s="11">
        <f t="shared" si="36"/>
        <v>34.11</v>
      </c>
      <c r="Z309" s="11">
        <f t="shared" si="37"/>
        <v>52.19</v>
      </c>
      <c r="AA309" s="12">
        <f t="shared" si="38"/>
        <v>0.60475086906141362</v>
      </c>
      <c r="AB309" s="13">
        <f t="shared" si="39"/>
        <v>17.123015873015873</v>
      </c>
      <c r="AC309" t="s">
        <v>67</v>
      </c>
    </row>
    <row r="310" spans="1:29" ht="14.25" customHeight="1" x14ac:dyDescent="0.45">
      <c r="A310" t="s">
        <v>433</v>
      </c>
      <c r="B310" s="10">
        <v>45950</v>
      </c>
      <c r="C310">
        <v>2025</v>
      </c>
      <c r="D310">
        <v>10</v>
      </c>
      <c r="E310" t="s">
        <v>77</v>
      </c>
      <c r="F310" t="s">
        <v>78</v>
      </c>
      <c r="G310" t="s">
        <v>126</v>
      </c>
      <c r="H310" t="s">
        <v>86</v>
      </c>
      <c r="I310" t="s">
        <v>113</v>
      </c>
      <c r="J310" t="s">
        <v>114</v>
      </c>
      <c r="K310" t="s">
        <v>115</v>
      </c>
      <c r="L310" t="s">
        <v>116</v>
      </c>
      <c r="M310" s="11">
        <v>54.76</v>
      </c>
      <c r="N310" s="11">
        <v>15.6</v>
      </c>
      <c r="O310" s="11">
        <v>6.8</v>
      </c>
      <c r="P310" s="11">
        <v>0.03</v>
      </c>
      <c r="Q310" s="11">
        <v>12.72</v>
      </c>
      <c r="R310" s="11">
        <v>2</v>
      </c>
      <c r="S310" s="11">
        <f t="shared" si="32"/>
        <v>109.52</v>
      </c>
      <c r="T310" s="11">
        <f t="shared" si="33"/>
        <v>31.2</v>
      </c>
      <c r="U310" s="11">
        <f t="shared" si="34"/>
        <v>13.6</v>
      </c>
      <c r="V310" s="11">
        <f t="shared" si="35"/>
        <v>3.29</v>
      </c>
      <c r="W310" s="11" t="s">
        <v>66</v>
      </c>
      <c r="X310" s="11">
        <v>0</v>
      </c>
      <c r="Y310" s="11">
        <f t="shared" si="36"/>
        <v>60.809999999999995</v>
      </c>
      <c r="Z310" s="11">
        <f t="shared" si="37"/>
        <v>48.71</v>
      </c>
      <c r="AA310" s="12">
        <f t="shared" si="38"/>
        <v>0.44475894813732653</v>
      </c>
      <c r="AB310" s="13">
        <f t="shared" si="39"/>
        <v>8.6100628930817606</v>
      </c>
      <c r="AC310" t="s">
        <v>67</v>
      </c>
    </row>
    <row r="311" spans="1:29" ht="14.25" customHeight="1" x14ac:dyDescent="0.45">
      <c r="A311" t="s">
        <v>434</v>
      </c>
      <c r="B311" s="10">
        <v>45950</v>
      </c>
      <c r="C311">
        <v>2025</v>
      </c>
      <c r="D311">
        <v>10</v>
      </c>
      <c r="E311" t="s">
        <v>77</v>
      </c>
      <c r="F311" t="s">
        <v>102</v>
      </c>
      <c r="G311" t="s">
        <v>105</v>
      </c>
      <c r="H311" t="s">
        <v>61</v>
      </c>
      <c r="I311" t="s">
        <v>81</v>
      </c>
      <c r="J311" t="s">
        <v>82</v>
      </c>
      <c r="K311" t="s">
        <v>83</v>
      </c>
      <c r="L311" t="s">
        <v>84</v>
      </c>
      <c r="M311" s="11">
        <v>26.34</v>
      </c>
      <c r="N311" s="11">
        <v>6.22</v>
      </c>
      <c r="O311" s="11">
        <v>3.46</v>
      </c>
      <c r="P311" s="11">
        <v>0.03</v>
      </c>
      <c r="Q311" s="11">
        <v>7.78</v>
      </c>
      <c r="R311" s="11">
        <v>2</v>
      </c>
      <c r="S311" s="11">
        <f t="shared" si="32"/>
        <v>52.68</v>
      </c>
      <c r="T311" s="11">
        <f t="shared" si="33"/>
        <v>12.44</v>
      </c>
      <c r="U311" s="11">
        <f t="shared" si="34"/>
        <v>6.92</v>
      </c>
      <c r="V311" s="11">
        <f t="shared" si="35"/>
        <v>1.58</v>
      </c>
      <c r="W311" s="11" t="s">
        <v>66</v>
      </c>
      <c r="X311" s="11">
        <v>0</v>
      </c>
      <c r="Y311" s="11">
        <f t="shared" si="36"/>
        <v>28.72</v>
      </c>
      <c r="Z311" s="11">
        <f t="shared" si="37"/>
        <v>23.96</v>
      </c>
      <c r="AA311" s="12">
        <f t="shared" si="38"/>
        <v>0.45482156416097191</v>
      </c>
      <c r="AB311" s="13">
        <f t="shared" si="39"/>
        <v>6.7712082262210798</v>
      </c>
      <c r="AC311" t="s">
        <v>67</v>
      </c>
    </row>
    <row r="312" spans="1:29" ht="14.25" customHeight="1" x14ac:dyDescent="0.45">
      <c r="A312" t="s">
        <v>435</v>
      </c>
      <c r="B312" s="10">
        <v>45950</v>
      </c>
      <c r="C312">
        <v>2025</v>
      </c>
      <c r="D312">
        <v>10</v>
      </c>
      <c r="E312" t="s">
        <v>69</v>
      </c>
      <c r="F312" t="s">
        <v>70</v>
      </c>
      <c r="G312" t="s">
        <v>126</v>
      </c>
      <c r="H312" t="s">
        <v>61</v>
      </c>
      <c r="I312" t="s">
        <v>133</v>
      </c>
      <c r="J312" t="s">
        <v>134</v>
      </c>
      <c r="K312" t="s">
        <v>135</v>
      </c>
      <c r="L312" t="s">
        <v>136</v>
      </c>
      <c r="M312" s="11">
        <v>16.52</v>
      </c>
      <c r="N312" s="11">
        <v>2.09</v>
      </c>
      <c r="O312" s="11">
        <v>2.06</v>
      </c>
      <c r="P312" s="11">
        <v>0.03</v>
      </c>
      <c r="Q312" s="11">
        <v>7.93</v>
      </c>
      <c r="R312" s="11">
        <v>3</v>
      </c>
      <c r="S312" s="11">
        <f t="shared" si="32"/>
        <v>49.56</v>
      </c>
      <c r="T312" s="11">
        <f t="shared" si="33"/>
        <v>6.27</v>
      </c>
      <c r="U312" s="11">
        <f t="shared" si="34"/>
        <v>6.18</v>
      </c>
      <c r="V312" s="11">
        <f t="shared" si="35"/>
        <v>1.49</v>
      </c>
      <c r="W312" s="11" t="s">
        <v>66</v>
      </c>
      <c r="X312" s="11">
        <v>0</v>
      </c>
      <c r="Y312" s="11">
        <f t="shared" si="36"/>
        <v>21.869999999999997</v>
      </c>
      <c r="Z312" s="11">
        <f t="shared" si="37"/>
        <v>27.690000000000005</v>
      </c>
      <c r="AA312" s="12">
        <f t="shared" si="38"/>
        <v>0.55871670702179188</v>
      </c>
      <c r="AB312" s="13">
        <f t="shared" si="39"/>
        <v>6.2496847414880206</v>
      </c>
      <c r="AC312" t="s">
        <v>67</v>
      </c>
    </row>
    <row r="313" spans="1:29" ht="14.25" customHeight="1" x14ac:dyDescent="0.45">
      <c r="A313" t="s">
        <v>436</v>
      </c>
      <c r="B313" s="10">
        <v>45951</v>
      </c>
      <c r="C313">
        <v>2025</v>
      </c>
      <c r="D313">
        <v>10</v>
      </c>
      <c r="E313" t="s">
        <v>95</v>
      </c>
      <c r="F313" t="s">
        <v>96</v>
      </c>
      <c r="G313" t="s">
        <v>105</v>
      </c>
      <c r="H313" t="s">
        <v>80</v>
      </c>
      <c r="I313" t="s">
        <v>62</v>
      </c>
      <c r="J313" t="s">
        <v>63</v>
      </c>
      <c r="K313" t="s">
        <v>64</v>
      </c>
      <c r="L313" t="s">
        <v>65</v>
      </c>
      <c r="M313" s="11">
        <v>29.92</v>
      </c>
      <c r="N313" s="11">
        <v>10.79</v>
      </c>
      <c r="O313" s="11">
        <v>3.97</v>
      </c>
      <c r="P313" s="11">
        <v>0.03</v>
      </c>
      <c r="Q313" s="11">
        <v>4.96</v>
      </c>
      <c r="R313" s="11">
        <v>1</v>
      </c>
      <c r="S313" s="11">
        <f t="shared" si="32"/>
        <v>29.92</v>
      </c>
      <c r="T313" s="11">
        <f t="shared" si="33"/>
        <v>10.79</v>
      </c>
      <c r="U313" s="11">
        <f t="shared" si="34"/>
        <v>3.97</v>
      </c>
      <c r="V313" s="11">
        <f t="shared" si="35"/>
        <v>0.9</v>
      </c>
      <c r="W313" s="11" t="s">
        <v>66</v>
      </c>
      <c r="X313" s="11">
        <v>0</v>
      </c>
      <c r="Y313" s="11">
        <f t="shared" si="36"/>
        <v>20.62</v>
      </c>
      <c r="Z313" s="11">
        <f t="shared" si="37"/>
        <v>9.3000000000000007</v>
      </c>
      <c r="AA313" s="12">
        <f t="shared" si="38"/>
        <v>0.31082887700534761</v>
      </c>
      <c r="AB313" s="13">
        <f t="shared" si="39"/>
        <v>6.032258064516129</v>
      </c>
      <c r="AC313" t="s">
        <v>67</v>
      </c>
    </row>
    <row r="314" spans="1:29" ht="14.25" customHeight="1" x14ac:dyDescent="0.45">
      <c r="A314" t="s">
        <v>437</v>
      </c>
      <c r="B314" s="10">
        <v>45952</v>
      </c>
      <c r="C314">
        <v>2025</v>
      </c>
      <c r="D314">
        <v>10</v>
      </c>
      <c r="E314" t="s">
        <v>77</v>
      </c>
      <c r="F314" t="s">
        <v>78</v>
      </c>
      <c r="G314" t="s">
        <v>71</v>
      </c>
      <c r="H314" t="s">
        <v>127</v>
      </c>
      <c r="I314" t="s">
        <v>62</v>
      </c>
      <c r="J314" t="s">
        <v>63</v>
      </c>
      <c r="K314" t="s">
        <v>64</v>
      </c>
      <c r="L314" t="s">
        <v>65</v>
      </c>
      <c r="M314" s="11">
        <v>31.18</v>
      </c>
      <c r="N314" s="11">
        <v>9.82</v>
      </c>
      <c r="O314" s="11">
        <v>3.68</v>
      </c>
      <c r="P314" s="11">
        <v>0.03</v>
      </c>
      <c r="Q314" s="11">
        <v>0</v>
      </c>
      <c r="R314" s="11">
        <v>1</v>
      </c>
      <c r="S314" s="11">
        <f t="shared" si="32"/>
        <v>31.18</v>
      </c>
      <c r="T314" s="11">
        <f t="shared" si="33"/>
        <v>9.82</v>
      </c>
      <c r="U314" s="11">
        <f t="shared" si="34"/>
        <v>3.68</v>
      </c>
      <c r="V314" s="11">
        <f t="shared" si="35"/>
        <v>0.94</v>
      </c>
      <c r="W314" s="11" t="s">
        <v>66</v>
      </c>
      <c r="X314" s="11">
        <v>0</v>
      </c>
      <c r="Y314" s="11">
        <f t="shared" si="36"/>
        <v>14.44</v>
      </c>
      <c r="Z314" s="11">
        <f t="shared" si="37"/>
        <v>16.740000000000002</v>
      </c>
      <c r="AA314" s="12">
        <f t="shared" si="38"/>
        <v>0.5368826170622194</v>
      </c>
      <c r="AB314" s="13">
        <f t="shared" si="39"/>
        <v>0</v>
      </c>
      <c r="AC314" t="s">
        <v>67</v>
      </c>
    </row>
    <row r="315" spans="1:29" ht="14.25" customHeight="1" x14ac:dyDescent="0.45">
      <c r="A315" t="s">
        <v>438</v>
      </c>
      <c r="B315" s="10">
        <v>45953</v>
      </c>
      <c r="C315">
        <v>2025</v>
      </c>
      <c r="D315">
        <v>10</v>
      </c>
      <c r="E315" t="s">
        <v>77</v>
      </c>
      <c r="F315" t="s">
        <v>102</v>
      </c>
      <c r="G315" t="s">
        <v>93</v>
      </c>
      <c r="H315" t="s">
        <v>80</v>
      </c>
      <c r="I315" t="s">
        <v>97</v>
      </c>
      <c r="J315" t="s">
        <v>98</v>
      </c>
      <c r="K315" t="s">
        <v>99</v>
      </c>
      <c r="L315" t="s">
        <v>100</v>
      </c>
      <c r="M315" s="11">
        <v>34.78</v>
      </c>
      <c r="N315" s="11">
        <v>8.89</v>
      </c>
      <c r="O315" s="11">
        <v>4.3499999999999996</v>
      </c>
      <c r="P315" s="11">
        <v>0.03</v>
      </c>
      <c r="Q315" s="11">
        <v>1.76</v>
      </c>
      <c r="R315" s="11">
        <v>1</v>
      </c>
      <c r="S315" s="11">
        <f t="shared" si="32"/>
        <v>34.78</v>
      </c>
      <c r="T315" s="11">
        <f t="shared" si="33"/>
        <v>8.89</v>
      </c>
      <c r="U315" s="11">
        <f t="shared" si="34"/>
        <v>4.3499999999999996</v>
      </c>
      <c r="V315" s="11">
        <f t="shared" si="35"/>
        <v>1.04</v>
      </c>
      <c r="W315" s="11" t="s">
        <v>66</v>
      </c>
      <c r="X315" s="11">
        <v>0</v>
      </c>
      <c r="Y315" s="11">
        <f t="shared" si="36"/>
        <v>16.040000000000003</v>
      </c>
      <c r="Z315" s="11">
        <f t="shared" si="37"/>
        <v>18.739999999999998</v>
      </c>
      <c r="AA315" s="12">
        <f t="shared" si="38"/>
        <v>0.53881541115583664</v>
      </c>
      <c r="AB315" s="13">
        <f t="shared" si="39"/>
        <v>19.761363636363637</v>
      </c>
      <c r="AC315" t="s">
        <v>67</v>
      </c>
    </row>
    <row r="316" spans="1:29" ht="14.25" customHeight="1" x14ac:dyDescent="0.45">
      <c r="A316" t="s">
        <v>439</v>
      </c>
      <c r="B316" s="10">
        <v>45953</v>
      </c>
      <c r="C316">
        <v>2025</v>
      </c>
      <c r="D316">
        <v>10</v>
      </c>
      <c r="E316" t="s">
        <v>77</v>
      </c>
      <c r="F316" t="s">
        <v>104</v>
      </c>
      <c r="G316" t="s">
        <v>126</v>
      </c>
      <c r="H316" t="s">
        <v>86</v>
      </c>
      <c r="I316" t="s">
        <v>147</v>
      </c>
      <c r="J316" t="s">
        <v>148</v>
      </c>
      <c r="K316" t="s">
        <v>149</v>
      </c>
      <c r="L316" t="s">
        <v>150</v>
      </c>
      <c r="M316" s="11">
        <v>29.27</v>
      </c>
      <c r="N316" s="11">
        <v>6.92</v>
      </c>
      <c r="O316" s="11">
        <v>5</v>
      </c>
      <c r="P316" s="11">
        <v>0.03</v>
      </c>
      <c r="Q316" s="11">
        <v>13.55</v>
      </c>
      <c r="R316" s="11">
        <v>3</v>
      </c>
      <c r="S316" s="11">
        <f t="shared" si="32"/>
        <v>87.81</v>
      </c>
      <c r="T316" s="11">
        <f t="shared" si="33"/>
        <v>20.759999999999998</v>
      </c>
      <c r="U316" s="11">
        <f t="shared" si="34"/>
        <v>15</v>
      </c>
      <c r="V316" s="11">
        <f t="shared" si="35"/>
        <v>2.63</v>
      </c>
      <c r="W316" s="11" t="s">
        <v>66</v>
      </c>
      <c r="X316" s="11">
        <v>0</v>
      </c>
      <c r="Y316" s="11">
        <f t="shared" si="36"/>
        <v>51.94</v>
      </c>
      <c r="Z316" s="11">
        <f t="shared" si="37"/>
        <v>35.870000000000005</v>
      </c>
      <c r="AA316" s="12">
        <f t="shared" si="38"/>
        <v>0.40849561553353836</v>
      </c>
      <c r="AB316" s="13">
        <f t="shared" si="39"/>
        <v>6.4804428044280442</v>
      </c>
      <c r="AC316" t="s">
        <v>67</v>
      </c>
    </row>
    <row r="317" spans="1:29" ht="14.25" customHeight="1" x14ac:dyDescent="0.45">
      <c r="A317" t="s">
        <v>440</v>
      </c>
      <c r="B317" s="10">
        <v>45957</v>
      </c>
      <c r="C317">
        <v>2025</v>
      </c>
      <c r="D317">
        <v>10</v>
      </c>
      <c r="E317" t="s">
        <v>122</v>
      </c>
      <c r="F317" t="s">
        <v>123</v>
      </c>
      <c r="G317" t="s">
        <v>93</v>
      </c>
      <c r="H317" t="s">
        <v>112</v>
      </c>
      <c r="I317" t="s">
        <v>72</v>
      </c>
      <c r="J317" t="s">
        <v>73</v>
      </c>
      <c r="K317" t="s">
        <v>74</v>
      </c>
      <c r="L317" t="s">
        <v>75</v>
      </c>
      <c r="M317" s="11">
        <v>44.55</v>
      </c>
      <c r="N317" s="11">
        <v>14.85</v>
      </c>
      <c r="O317" s="11">
        <v>6.53</v>
      </c>
      <c r="P317" s="11">
        <v>0.03</v>
      </c>
      <c r="Q317" s="11">
        <v>25.47</v>
      </c>
      <c r="R317" s="11">
        <v>3</v>
      </c>
      <c r="S317" s="11">
        <f t="shared" si="32"/>
        <v>133.64999999999998</v>
      </c>
      <c r="T317" s="11">
        <f t="shared" si="33"/>
        <v>44.55</v>
      </c>
      <c r="U317" s="11">
        <f t="shared" si="34"/>
        <v>19.59</v>
      </c>
      <c r="V317" s="11">
        <f t="shared" si="35"/>
        <v>4.01</v>
      </c>
      <c r="W317" s="11" t="s">
        <v>66</v>
      </c>
      <c r="X317" s="11">
        <v>0</v>
      </c>
      <c r="Y317" s="11">
        <f t="shared" si="36"/>
        <v>93.62</v>
      </c>
      <c r="Z317" s="11">
        <f t="shared" si="37"/>
        <v>40.029999999999973</v>
      </c>
      <c r="AA317" s="12">
        <f t="shared" si="38"/>
        <v>0.29951365506921046</v>
      </c>
      <c r="AB317" s="13">
        <f t="shared" si="39"/>
        <v>5.2473498233215539</v>
      </c>
      <c r="AC317" t="s">
        <v>67</v>
      </c>
    </row>
    <row r="318" spans="1:29" ht="14.25" customHeight="1" x14ac:dyDescent="0.45">
      <c r="A318" t="s">
        <v>441</v>
      </c>
      <c r="B318" s="10">
        <v>45958</v>
      </c>
      <c r="C318">
        <v>2025</v>
      </c>
      <c r="D318">
        <v>10</v>
      </c>
      <c r="E318" t="s">
        <v>69</v>
      </c>
      <c r="F318" t="s">
        <v>70</v>
      </c>
      <c r="G318" t="s">
        <v>105</v>
      </c>
      <c r="H318" t="s">
        <v>127</v>
      </c>
      <c r="I318" t="s">
        <v>87</v>
      </c>
      <c r="J318" t="s">
        <v>88</v>
      </c>
      <c r="K318" t="s">
        <v>89</v>
      </c>
      <c r="L318" t="s">
        <v>90</v>
      </c>
      <c r="M318" s="11">
        <v>64.73</v>
      </c>
      <c r="N318" s="11">
        <v>23.25</v>
      </c>
      <c r="O318" s="11">
        <v>7.52</v>
      </c>
      <c r="P318" s="11">
        <v>0.03</v>
      </c>
      <c r="Q318" s="11">
        <v>5.7</v>
      </c>
      <c r="R318" s="11">
        <v>1</v>
      </c>
      <c r="S318" s="11">
        <f t="shared" si="32"/>
        <v>64.73</v>
      </c>
      <c r="T318" s="11">
        <f t="shared" si="33"/>
        <v>23.25</v>
      </c>
      <c r="U318" s="11">
        <f t="shared" si="34"/>
        <v>7.52</v>
      </c>
      <c r="V318" s="11">
        <f t="shared" si="35"/>
        <v>1.94</v>
      </c>
      <c r="W318" s="11" t="s">
        <v>66</v>
      </c>
      <c r="X318" s="11">
        <v>0</v>
      </c>
      <c r="Y318" s="11">
        <f t="shared" si="36"/>
        <v>38.410000000000004</v>
      </c>
      <c r="Z318" s="11">
        <f t="shared" si="37"/>
        <v>26.32</v>
      </c>
      <c r="AA318" s="12">
        <f t="shared" si="38"/>
        <v>0.40661208095164525</v>
      </c>
      <c r="AB318" s="13">
        <f t="shared" si="39"/>
        <v>11.356140350877194</v>
      </c>
      <c r="AC318" t="s">
        <v>67</v>
      </c>
    </row>
    <row r="319" spans="1:29" ht="14.25" customHeight="1" x14ac:dyDescent="0.45">
      <c r="A319" t="s">
        <v>442</v>
      </c>
      <c r="B319" s="10">
        <v>45958</v>
      </c>
      <c r="C319">
        <v>2025</v>
      </c>
      <c r="D319">
        <v>10</v>
      </c>
      <c r="E319" t="s">
        <v>58</v>
      </c>
      <c r="F319" t="s">
        <v>92</v>
      </c>
      <c r="G319" t="s">
        <v>93</v>
      </c>
      <c r="H319" t="s">
        <v>127</v>
      </c>
      <c r="I319" t="s">
        <v>147</v>
      </c>
      <c r="J319" t="s">
        <v>148</v>
      </c>
      <c r="K319" t="s">
        <v>149</v>
      </c>
      <c r="L319" t="s">
        <v>150</v>
      </c>
      <c r="M319" s="11">
        <v>27.58</v>
      </c>
      <c r="N319" s="11">
        <v>7</v>
      </c>
      <c r="O319" s="11">
        <v>4.42</v>
      </c>
      <c r="P319" s="11">
        <v>0.03</v>
      </c>
      <c r="Q319" s="11">
        <v>22.58</v>
      </c>
      <c r="R319" s="11">
        <v>3</v>
      </c>
      <c r="S319" s="11">
        <f t="shared" si="32"/>
        <v>82.74</v>
      </c>
      <c r="T319" s="11">
        <f t="shared" si="33"/>
        <v>21</v>
      </c>
      <c r="U319" s="11">
        <f t="shared" si="34"/>
        <v>13.26</v>
      </c>
      <c r="V319" s="11">
        <f t="shared" si="35"/>
        <v>2.48</v>
      </c>
      <c r="W319" s="11" t="s">
        <v>66</v>
      </c>
      <c r="X319" s="11">
        <v>0</v>
      </c>
      <c r="Y319" s="11">
        <f t="shared" si="36"/>
        <v>59.319999999999993</v>
      </c>
      <c r="Z319" s="11">
        <f t="shared" si="37"/>
        <v>23.42</v>
      </c>
      <c r="AA319" s="12">
        <f t="shared" si="38"/>
        <v>0.28305535412134403</v>
      </c>
      <c r="AB319" s="13">
        <f t="shared" si="39"/>
        <v>3.6643046944198407</v>
      </c>
      <c r="AC319" t="s">
        <v>67</v>
      </c>
    </row>
    <row r="320" spans="1:29" ht="14.25" customHeight="1" x14ac:dyDescent="0.45">
      <c r="A320" t="s">
        <v>443</v>
      </c>
      <c r="B320" s="10">
        <v>45962</v>
      </c>
      <c r="C320">
        <v>2025</v>
      </c>
      <c r="D320">
        <v>11</v>
      </c>
      <c r="E320" t="s">
        <v>77</v>
      </c>
      <c r="F320" t="s">
        <v>102</v>
      </c>
      <c r="G320" t="s">
        <v>105</v>
      </c>
      <c r="H320" t="s">
        <v>61</v>
      </c>
      <c r="I320" t="s">
        <v>97</v>
      </c>
      <c r="J320" t="s">
        <v>98</v>
      </c>
      <c r="K320" t="s">
        <v>99</v>
      </c>
      <c r="L320" t="s">
        <v>100</v>
      </c>
      <c r="M320" s="11">
        <v>31.75</v>
      </c>
      <c r="N320" s="11">
        <v>9.61</v>
      </c>
      <c r="O320" s="11">
        <v>3.74</v>
      </c>
      <c r="P320" s="11">
        <v>0.03</v>
      </c>
      <c r="Q320" s="11">
        <v>4.88</v>
      </c>
      <c r="R320" s="11">
        <v>1</v>
      </c>
      <c r="S320" s="11">
        <f t="shared" si="32"/>
        <v>31.75</v>
      </c>
      <c r="T320" s="11">
        <f t="shared" si="33"/>
        <v>9.61</v>
      </c>
      <c r="U320" s="11">
        <f t="shared" si="34"/>
        <v>3.74</v>
      </c>
      <c r="V320" s="11">
        <f t="shared" si="35"/>
        <v>0.95</v>
      </c>
      <c r="W320" s="11" t="s">
        <v>66</v>
      </c>
      <c r="X320" s="11">
        <v>0</v>
      </c>
      <c r="Y320" s="11">
        <f t="shared" si="36"/>
        <v>19.18</v>
      </c>
      <c r="Z320" s="11">
        <f t="shared" si="37"/>
        <v>12.57</v>
      </c>
      <c r="AA320" s="12">
        <f t="shared" si="38"/>
        <v>0.39590551181102362</v>
      </c>
      <c r="AB320" s="13">
        <f t="shared" si="39"/>
        <v>6.5061475409836067</v>
      </c>
      <c r="AC320" t="s">
        <v>67</v>
      </c>
    </row>
    <row r="321" spans="1:29" ht="14.25" customHeight="1" x14ac:dyDescent="0.45">
      <c r="A321" t="s">
        <v>444</v>
      </c>
      <c r="B321" s="10">
        <v>45962</v>
      </c>
      <c r="C321">
        <v>2025</v>
      </c>
      <c r="D321">
        <v>11</v>
      </c>
      <c r="E321" t="s">
        <v>77</v>
      </c>
      <c r="F321" t="s">
        <v>102</v>
      </c>
      <c r="G321" t="s">
        <v>126</v>
      </c>
      <c r="H321" t="s">
        <v>80</v>
      </c>
      <c r="I321" t="s">
        <v>62</v>
      </c>
      <c r="J321" t="s">
        <v>63</v>
      </c>
      <c r="K321" t="s">
        <v>64</v>
      </c>
      <c r="L321" t="s">
        <v>65</v>
      </c>
      <c r="M321" s="11">
        <v>34.090000000000003</v>
      </c>
      <c r="N321" s="11">
        <v>10.59</v>
      </c>
      <c r="O321" s="11">
        <v>3.88</v>
      </c>
      <c r="P321" s="11">
        <v>0.03</v>
      </c>
      <c r="Q321" s="11">
        <v>15.15</v>
      </c>
      <c r="R321" s="11">
        <v>2</v>
      </c>
      <c r="S321" s="11">
        <f t="shared" si="32"/>
        <v>68.180000000000007</v>
      </c>
      <c r="T321" s="11">
        <f t="shared" si="33"/>
        <v>21.18</v>
      </c>
      <c r="U321" s="11">
        <f t="shared" si="34"/>
        <v>7.76</v>
      </c>
      <c r="V321" s="11">
        <f t="shared" si="35"/>
        <v>2.0499999999999998</v>
      </c>
      <c r="W321" s="11" t="s">
        <v>66</v>
      </c>
      <c r="X321" s="11">
        <v>0</v>
      </c>
      <c r="Y321" s="11">
        <f t="shared" si="36"/>
        <v>46.14</v>
      </c>
      <c r="Z321" s="11">
        <f t="shared" si="37"/>
        <v>22.040000000000006</v>
      </c>
      <c r="AA321" s="12">
        <f t="shared" si="38"/>
        <v>0.32326195365209742</v>
      </c>
      <c r="AB321" s="13">
        <f t="shared" si="39"/>
        <v>4.5003300330033005</v>
      </c>
      <c r="AC321" t="s">
        <v>67</v>
      </c>
    </row>
    <row r="322" spans="1:29" ht="14.25" customHeight="1" x14ac:dyDescent="0.45">
      <c r="A322" t="s">
        <v>445</v>
      </c>
      <c r="B322" s="10">
        <v>45962</v>
      </c>
      <c r="C322">
        <v>2025</v>
      </c>
      <c r="D322">
        <v>11</v>
      </c>
      <c r="E322" t="s">
        <v>95</v>
      </c>
      <c r="F322" t="s">
        <v>96</v>
      </c>
      <c r="G322" t="s">
        <v>126</v>
      </c>
      <c r="H322" t="s">
        <v>86</v>
      </c>
      <c r="I322" t="s">
        <v>133</v>
      </c>
      <c r="J322" t="s">
        <v>134</v>
      </c>
      <c r="K322" t="s">
        <v>135</v>
      </c>
      <c r="L322" t="s">
        <v>136</v>
      </c>
      <c r="M322" s="11">
        <v>14.19</v>
      </c>
      <c r="N322" s="11">
        <v>2.1</v>
      </c>
      <c r="O322" s="11">
        <v>1.84</v>
      </c>
      <c r="P322" s="11">
        <v>0.03</v>
      </c>
      <c r="Q322" s="11">
        <v>4.38</v>
      </c>
      <c r="R322" s="11">
        <v>2</v>
      </c>
      <c r="S322" s="11">
        <f t="shared" ref="S322:S385" si="40">IF(AC322="Cancelled",0,M322*R322)</f>
        <v>28.38</v>
      </c>
      <c r="T322" s="11">
        <f t="shared" ref="T322:T385" si="41">IF(AC322="Cancelled",0,N322*R322)</f>
        <v>4.2</v>
      </c>
      <c r="U322" s="11">
        <f t="shared" ref="U322:U385" si="42">IF(AC322="Cancelled",0,O322*R322)</f>
        <v>3.68</v>
      </c>
      <c r="V322" s="11">
        <f t="shared" ref="V322:V385" si="43">IF(AC322="Cancelled",0,ROUND(P322*S322,2))</f>
        <v>0.85</v>
      </c>
      <c r="W322" s="11" t="s">
        <v>66</v>
      </c>
      <c r="X322" s="11">
        <v>0</v>
      </c>
      <c r="Y322" s="11">
        <f t="shared" ref="Y322:Y385" si="44">IF(AC322="Cancelled",0,T322+U322+V322+Q322+X322)</f>
        <v>13.11</v>
      </c>
      <c r="Z322" s="11">
        <f t="shared" ref="Z322:Z385" si="45">IF(AC322="Cancelled",-Q322,S322-Y322)</f>
        <v>15.27</v>
      </c>
      <c r="AA322" s="12">
        <f t="shared" ref="AA322:AA385" si="46">IF(OR(AC322="Cancelled",S322=0),0,Z322/S322)</f>
        <v>0.53805496828752641</v>
      </c>
      <c r="AB322" s="13">
        <f t="shared" ref="AB322:AB385" si="47">IFERROR(S322/Q322,0)</f>
        <v>6.4794520547945202</v>
      </c>
      <c r="AC322" t="s">
        <v>67</v>
      </c>
    </row>
    <row r="323" spans="1:29" ht="14.25" customHeight="1" x14ac:dyDescent="0.45">
      <c r="A323" t="s">
        <v>446</v>
      </c>
      <c r="B323" s="10">
        <v>45962</v>
      </c>
      <c r="C323">
        <v>2025</v>
      </c>
      <c r="D323">
        <v>11</v>
      </c>
      <c r="E323" t="s">
        <v>95</v>
      </c>
      <c r="F323" t="s">
        <v>96</v>
      </c>
      <c r="G323" t="s">
        <v>60</v>
      </c>
      <c r="H323" t="s">
        <v>80</v>
      </c>
      <c r="I323" t="s">
        <v>97</v>
      </c>
      <c r="J323" t="s">
        <v>98</v>
      </c>
      <c r="K323" t="s">
        <v>99</v>
      </c>
      <c r="L323" t="s">
        <v>100</v>
      </c>
      <c r="M323" s="11">
        <v>34.479999999999997</v>
      </c>
      <c r="N323" s="11">
        <v>9.44</v>
      </c>
      <c r="O323" s="11">
        <v>3.91</v>
      </c>
      <c r="P323" s="11">
        <v>0.03</v>
      </c>
      <c r="Q323" s="11">
        <v>5.67</v>
      </c>
      <c r="R323" s="11">
        <v>1</v>
      </c>
      <c r="S323" s="11">
        <f t="shared" si="40"/>
        <v>34.479999999999997</v>
      </c>
      <c r="T323" s="11">
        <f t="shared" si="41"/>
        <v>9.44</v>
      </c>
      <c r="U323" s="11">
        <f t="shared" si="42"/>
        <v>3.91</v>
      </c>
      <c r="V323" s="11">
        <f t="shared" si="43"/>
        <v>1.03</v>
      </c>
      <c r="W323" s="11" t="s">
        <v>66</v>
      </c>
      <c r="X323" s="11">
        <v>0</v>
      </c>
      <c r="Y323" s="11">
        <f t="shared" si="44"/>
        <v>20.049999999999997</v>
      </c>
      <c r="Z323" s="11">
        <f t="shared" si="45"/>
        <v>14.43</v>
      </c>
      <c r="AA323" s="12">
        <f t="shared" si="46"/>
        <v>0.41850348027842232</v>
      </c>
      <c r="AB323" s="13">
        <f t="shared" si="47"/>
        <v>6.0811287477954137</v>
      </c>
      <c r="AC323" t="s">
        <v>67</v>
      </c>
    </row>
    <row r="324" spans="1:29" ht="14.25" customHeight="1" x14ac:dyDescent="0.45">
      <c r="A324" t="s">
        <v>447</v>
      </c>
      <c r="B324" s="10">
        <v>45963</v>
      </c>
      <c r="C324">
        <v>2025</v>
      </c>
      <c r="D324">
        <v>11</v>
      </c>
      <c r="E324" t="s">
        <v>77</v>
      </c>
      <c r="F324" t="s">
        <v>78</v>
      </c>
      <c r="G324" t="s">
        <v>71</v>
      </c>
      <c r="H324" t="s">
        <v>61</v>
      </c>
      <c r="I324" t="s">
        <v>107</v>
      </c>
      <c r="J324" t="s">
        <v>108</v>
      </c>
      <c r="K324" t="s">
        <v>109</v>
      </c>
      <c r="L324" t="s">
        <v>110</v>
      </c>
      <c r="M324" s="11">
        <v>19.11</v>
      </c>
      <c r="N324" s="11">
        <v>3.56</v>
      </c>
      <c r="O324" s="11">
        <v>2.41</v>
      </c>
      <c r="P324" s="11">
        <v>0.03</v>
      </c>
      <c r="Q324" s="11">
        <v>0</v>
      </c>
      <c r="R324" s="11">
        <v>2</v>
      </c>
      <c r="S324" s="11">
        <f t="shared" si="40"/>
        <v>38.22</v>
      </c>
      <c r="T324" s="11">
        <f t="shared" si="41"/>
        <v>7.12</v>
      </c>
      <c r="U324" s="11">
        <f t="shared" si="42"/>
        <v>4.82</v>
      </c>
      <c r="V324" s="11">
        <f t="shared" si="43"/>
        <v>1.1499999999999999</v>
      </c>
      <c r="W324" s="11" t="s">
        <v>66</v>
      </c>
      <c r="X324" s="11">
        <v>0</v>
      </c>
      <c r="Y324" s="11">
        <f t="shared" si="44"/>
        <v>13.090000000000002</v>
      </c>
      <c r="Z324" s="11">
        <f t="shared" si="45"/>
        <v>25.129999999999995</v>
      </c>
      <c r="AA324" s="12">
        <f t="shared" si="46"/>
        <v>0.65750915750915739</v>
      </c>
      <c r="AB324" s="13">
        <f t="shared" si="47"/>
        <v>0</v>
      </c>
      <c r="AC324" t="s">
        <v>67</v>
      </c>
    </row>
    <row r="325" spans="1:29" ht="14.25" customHeight="1" x14ac:dyDescent="0.45">
      <c r="A325" t="s">
        <v>448</v>
      </c>
      <c r="B325" s="10">
        <v>45964</v>
      </c>
      <c r="C325">
        <v>2025</v>
      </c>
      <c r="D325">
        <v>11</v>
      </c>
      <c r="E325" t="s">
        <v>69</v>
      </c>
      <c r="F325" t="s">
        <v>70</v>
      </c>
      <c r="G325" t="s">
        <v>105</v>
      </c>
      <c r="H325" t="s">
        <v>80</v>
      </c>
      <c r="I325" t="s">
        <v>133</v>
      </c>
      <c r="J325" t="s">
        <v>134</v>
      </c>
      <c r="K325" t="s">
        <v>135</v>
      </c>
      <c r="L325" t="s">
        <v>136</v>
      </c>
      <c r="M325" s="11">
        <v>16.12</v>
      </c>
      <c r="N325" s="11">
        <v>1.99</v>
      </c>
      <c r="O325" s="11">
        <v>2.23</v>
      </c>
      <c r="P325" s="11">
        <v>0.03</v>
      </c>
      <c r="Q325" s="11">
        <v>8</v>
      </c>
      <c r="R325" s="11">
        <v>1</v>
      </c>
      <c r="S325" s="11">
        <f t="shared" si="40"/>
        <v>16.12</v>
      </c>
      <c r="T325" s="11">
        <f t="shared" si="41"/>
        <v>1.99</v>
      </c>
      <c r="U325" s="11">
        <f t="shared" si="42"/>
        <v>2.23</v>
      </c>
      <c r="V325" s="11">
        <f t="shared" si="43"/>
        <v>0.48</v>
      </c>
      <c r="W325" s="11" t="s">
        <v>66</v>
      </c>
      <c r="X325" s="11">
        <v>0</v>
      </c>
      <c r="Y325" s="11">
        <f t="shared" si="44"/>
        <v>12.7</v>
      </c>
      <c r="Z325" s="11">
        <f t="shared" si="45"/>
        <v>3.4200000000000017</v>
      </c>
      <c r="AA325" s="12">
        <f t="shared" si="46"/>
        <v>0.21215880893300257</v>
      </c>
      <c r="AB325" s="13">
        <f t="shared" si="47"/>
        <v>2.0150000000000001</v>
      </c>
      <c r="AC325" t="s">
        <v>67</v>
      </c>
    </row>
    <row r="326" spans="1:29" ht="14.25" customHeight="1" x14ac:dyDescent="0.45">
      <c r="A326" t="s">
        <v>449</v>
      </c>
      <c r="B326" s="10">
        <v>45965</v>
      </c>
      <c r="C326">
        <v>2025</v>
      </c>
      <c r="D326">
        <v>11</v>
      </c>
      <c r="E326" t="s">
        <v>77</v>
      </c>
      <c r="F326" t="s">
        <v>104</v>
      </c>
      <c r="G326" t="s">
        <v>105</v>
      </c>
      <c r="H326" t="s">
        <v>80</v>
      </c>
      <c r="I326" t="s">
        <v>72</v>
      </c>
      <c r="J326" t="s">
        <v>73</v>
      </c>
      <c r="K326" t="s">
        <v>74</v>
      </c>
      <c r="L326" t="s">
        <v>75</v>
      </c>
      <c r="M326" s="11">
        <v>46.75</v>
      </c>
      <c r="N326" s="11">
        <v>14.25</v>
      </c>
      <c r="O326" s="11">
        <v>7.27</v>
      </c>
      <c r="P326" s="11">
        <v>0.03</v>
      </c>
      <c r="Q326" s="11">
        <v>14.75</v>
      </c>
      <c r="R326" s="11">
        <v>3</v>
      </c>
      <c r="S326" s="11">
        <f t="shared" si="40"/>
        <v>140.25</v>
      </c>
      <c r="T326" s="11">
        <f t="shared" si="41"/>
        <v>42.75</v>
      </c>
      <c r="U326" s="11">
        <f t="shared" si="42"/>
        <v>21.81</v>
      </c>
      <c r="V326" s="11">
        <f t="shared" si="43"/>
        <v>4.21</v>
      </c>
      <c r="W326" s="11" t="s">
        <v>66</v>
      </c>
      <c r="X326" s="11">
        <v>0</v>
      </c>
      <c r="Y326" s="11">
        <f t="shared" si="44"/>
        <v>83.52</v>
      </c>
      <c r="Z326" s="11">
        <f t="shared" si="45"/>
        <v>56.730000000000004</v>
      </c>
      <c r="AA326" s="12">
        <f t="shared" si="46"/>
        <v>0.40449197860962571</v>
      </c>
      <c r="AB326" s="13">
        <f t="shared" si="47"/>
        <v>9.5084745762711869</v>
      </c>
      <c r="AC326" t="s">
        <v>67</v>
      </c>
    </row>
    <row r="327" spans="1:29" ht="14.25" customHeight="1" x14ac:dyDescent="0.45">
      <c r="A327" t="s">
        <v>450</v>
      </c>
      <c r="B327" s="10">
        <v>45966</v>
      </c>
      <c r="C327">
        <v>2025</v>
      </c>
      <c r="D327">
        <v>11</v>
      </c>
      <c r="E327" t="s">
        <v>58</v>
      </c>
      <c r="F327" t="s">
        <v>59</v>
      </c>
      <c r="G327" t="s">
        <v>105</v>
      </c>
      <c r="H327" t="s">
        <v>112</v>
      </c>
      <c r="I327" t="s">
        <v>133</v>
      </c>
      <c r="J327" t="s">
        <v>134</v>
      </c>
      <c r="K327" t="s">
        <v>135</v>
      </c>
      <c r="L327" t="s">
        <v>136</v>
      </c>
      <c r="M327" s="11">
        <v>15.08</v>
      </c>
      <c r="N327" s="11">
        <v>2.1</v>
      </c>
      <c r="O327" s="11">
        <v>2.1800000000000002</v>
      </c>
      <c r="P327" s="11">
        <v>0.03</v>
      </c>
      <c r="Q327" s="11">
        <v>2.91</v>
      </c>
      <c r="R327" s="11">
        <v>1</v>
      </c>
      <c r="S327" s="11">
        <f t="shared" si="40"/>
        <v>15.08</v>
      </c>
      <c r="T327" s="11">
        <f t="shared" si="41"/>
        <v>2.1</v>
      </c>
      <c r="U327" s="11">
        <f t="shared" si="42"/>
        <v>2.1800000000000002</v>
      </c>
      <c r="V327" s="11">
        <f t="shared" si="43"/>
        <v>0.45</v>
      </c>
      <c r="W327" s="11" t="s">
        <v>66</v>
      </c>
      <c r="X327" s="11">
        <v>0</v>
      </c>
      <c r="Y327" s="11">
        <f t="shared" si="44"/>
        <v>7.6400000000000006</v>
      </c>
      <c r="Z327" s="11">
        <f t="shared" si="45"/>
        <v>7.4399999999999995</v>
      </c>
      <c r="AA327" s="12">
        <f t="shared" si="46"/>
        <v>0.49336870026525198</v>
      </c>
      <c r="AB327" s="13">
        <f t="shared" si="47"/>
        <v>5.1821305841924392</v>
      </c>
      <c r="AC327" t="s">
        <v>67</v>
      </c>
    </row>
    <row r="328" spans="1:29" ht="14.25" customHeight="1" x14ac:dyDescent="0.45">
      <c r="A328" t="s">
        <v>451</v>
      </c>
      <c r="B328" s="10">
        <v>45967</v>
      </c>
      <c r="C328">
        <v>2025</v>
      </c>
      <c r="D328">
        <v>11</v>
      </c>
      <c r="E328" t="s">
        <v>77</v>
      </c>
      <c r="F328" t="s">
        <v>102</v>
      </c>
      <c r="G328" t="s">
        <v>105</v>
      </c>
      <c r="H328" t="s">
        <v>86</v>
      </c>
      <c r="I328" t="s">
        <v>87</v>
      </c>
      <c r="J328" t="s">
        <v>88</v>
      </c>
      <c r="K328" t="s">
        <v>89</v>
      </c>
      <c r="L328" t="s">
        <v>90</v>
      </c>
      <c r="M328" s="11">
        <v>66.569999999999993</v>
      </c>
      <c r="N328" s="11">
        <v>22.75</v>
      </c>
      <c r="O328" s="11">
        <v>7.57</v>
      </c>
      <c r="P328" s="11">
        <v>0.03</v>
      </c>
      <c r="Q328" s="11">
        <v>9.93</v>
      </c>
      <c r="R328" s="11">
        <v>2</v>
      </c>
      <c r="S328" s="11">
        <f t="shared" si="40"/>
        <v>133.13999999999999</v>
      </c>
      <c r="T328" s="11">
        <f t="shared" si="41"/>
        <v>45.5</v>
      </c>
      <c r="U328" s="11">
        <f t="shared" si="42"/>
        <v>15.14</v>
      </c>
      <c r="V328" s="11">
        <f t="shared" si="43"/>
        <v>3.99</v>
      </c>
      <c r="W328" s="11" t="s">
        <v>66</v>
      </c>
      <c r="X328" s="11">
        <v>0</v>
      </c>
      <c r="Y328" s="11">
        <f t="shared" si="44"/>
        <v>74.56</v>
      </c>
      <c r="Z328" s="11">
        <f t="shared" si="45"/>
        <v>58.579999999999984</v>
      </c>
      <c r="AA328" s="12">
        <f t="shared" si="46"/>
        <v>0.43998798257473332</v>
      </c>
      <c r="AB328" s="13">
        <f t="shared" si="47"/>
        <v>13.407854984894259</v>
      </c>
      <c r="AC328" t="s">
        <v>67</v>
      </c>
    </row>
    <row r="329" spans="1:29" ht="14.25" customHeight="1" x14ac:dyDescent="0.45">
      <c r="A329" t="s">
        <v>452</v>
      </c>
      <c r="B329" s="10">
        <v>45968</v>
      </c>
      <c r="C329">
        <v>2025</v>
      </c>
      <c r="D329">
        <v>11</v>
      </c>
      <c r="E329" t="s">
        <v>77</v>
      </c>
      <c r="F329" t="s">
        <v>78</v>
      </c>
      <c r="G329" t="s">
        <v>60</v>
      </c>
      <c r="H329" t="s">
        <v>112</v>
      </c>
      <c r="I329" t="s">
        <v>97</v>
      </c>
      <c r="J329" t="s">
        <v>98</v>
      </c>
      <c r="K329" t="s">
        <v>99</v>
      </c>
      <c r="L329" t="s">
        <v>100</v>
      </c>
      <c r="M329" s="11">
        <v>37.69</v>
      </c>
      <c r="N329" s="11">
        <v>8.65</v>
      </c>
      <c r="O329" s="11">
        <v>4.04</v>
      </c>
      <c r="P329" s="11">
        <v>0.03</v>
      </c>
      <c r="Q329" s="11">
        <v>9.3699999999999992</v>
      </c>
      <c r="R329" s="11">
        <v>1</v>
      </c>
      <c r="S329" s="11">
        <f t="shared" si="40"/>
        <v>37.69</v>
      </c>
      <c r="T329" s="11">
        <f t="shared" si="41"/>
        <v>8.65</v>
      </c>
      <c r="U329" s="11">
        <f t="shared" si="42"/>
        <v>4.04</v>
      </c>
      <c r="V329" s="11">
        <f t="shared" si="43"/>
        <v>1.1299999999999999</v>
      </c>
      <c r="W329" s="11" t="s">
        <v>66</v>
      </c>
      <c r="X329" s="11">
        <v>0</v>
      </c>
      <c r="Y329" s="11">
        <f t="shared" si="44"/>
        <v>23.189999999999998</v>
      </c>
      <c r="Z329" s="11">
        <f t="shared" si="45"/>
        <v>14.5</v>
      </c>
      <c r="AA329" s="12">
        <f t="shared" si="46"/>
        <v>0.38471743167949063</v>
      </c>
      <c r="AB329" s="13">
        <f t="shared" si="47"/>
        <v>4.0224119530416225</v>
      </c>
      <c r="AC329" t="s">
        <v>67</v>
      </c>
    </row>
    <row r="330" spans="1:29" ht="14.25" customHeight="1" x14ac:dyDescent="0.45">
      <c r="A330" t="s">
        <v>453</v>
      </c>
      <c r="B330" s="10">
        <v>45968</v>
      </c>
      <c r="C330">
        <v>2025</v>
      </c>
      <c r="D330">
        <v>11</v>
      </c>
      <c r="E330" t="s">
        <v>77</v>
      </c>
      <c r="F330" t="s">
        <v>102</v>
      </c>
      <c r="G330" t="s">
        <v>105</v>
      </c>
      <c r="H330" t="s">
        <v>127</v>
      </c>
      <c r="I330" t="s">
        <v>97</v>
      </c>
      <c r="J330" t="s">
        <v>98</v>
      </c>
      <c r="K330" t="s">
        <v>99</v>
      </c>
      <c r="L330" t="s">
        <v>100</v>
      </c>
      <c r="M330" s="11">
        <v>35.31</v>
      </c>
      <c r="N330" s="11">
        <v>9.02</v>
      </c>
      <c r="O330" s="11">
        <v>3.89</v>
      </c>
      <c r="P330" s="11">
        <v>0.03</v>
      </c>
      <c r="Q330" s="11">
        <v>8.5</v>
      </c>
      <c r="R330" s="11">
        <v>3</v>
      </c>
      <c r="S330" s="11">
        <f t="shared" si="40"/>
        <v>105.93</v>
      </c>
      <c r="T330" s="11">
        <f t="shared" si="41"/>
        <v>27.06</v>
      </c>
      <c r="U330" s="11">
        <f t="shared" si="42"/>
        <v>11.67</v>
      </c>
      <c r="V330" s="11">
        <f t="shared" si="43"/>
        <v>3.18</v>
      </c>
      <c r="W330" s="11" t="s">
        <v>66</v>
      </c>
      <c r="X330" s="11">
        <v>0</v>
      </c>
      <c r="Y330" s="11">
        <f t="shared" si="44"/>
        <v>50.41</v>
      </c>
      <c r="Z330" s="11">
        <f t="shared" si="45"/>
        <v>55.52000000000001</v>
      </c>
      <c r="AA330" s="12">
        <f t="shared" si="46"/>
        <v>0.52411970168979516</v>
      </c>
      <c r="AB330" s="13">
        <f t="shared" si="47"/>
        <v>12.462352941176471</v>
      </c>
      <c r="AC330" t="s">
        <v>67</v>
      </c>
    </row>
    <row r="331" spans="1:29" ht="14.25" customHeight="1" x14ac:dyDescent="0.45">
      <c r="A331" t="s">
        <v>454</v>
      </c>
      <c r="B331" s="10">
        <v>45971</v>
      </c>
      <c r="C331">
        <v>2025</v>
      </c>
      <c r="D331">
        <v>11</v>
      </c>
      <c r="E331" t="s">
        <v>77</v>
      </c>
      <c r="F331" t="s">
        <v>102</v>
      </c>
      <c r="G331" t="s">
        <v>105</v>
      </c>
      <c r="H331" t="s">
        <v>127</v>
      </c>
      <c r="I331" t="s">
        <v>72</v>
      </c>
      <c r="J331" t="s">
        <v>73</v>
      </c>
      <c r="K331" t="s">
        <v>74</v>
      </c>
      <c r="L331" t="s">
        <v>75</v>
      </c>
      <c r="M331" s="11">
        <v>50.03</v>
      </c>
      <c r="N331" s="11">
        <v>13.96</v>
      </c>
      <c r="O331" s="11">
        <v>6.49</v>
      </c>
      <c r="P331" s="11">
        <v>0.03</v>
      </c>
      <c r="Q331" s="11">
        <v>6.15</v>
      </c>
      <c r="R331" s="11">
        <v>1</v>
      </c>
      <c r="S331" s="11">
        <f t="shared" si="40"/>
        <v>50.03</v>
      </c>
      <c r="T331" s="11">
        <f t="shared" si="41"/>
        <v>13.96</v>
      </c>
      <c r="U331" s="11">
        <f t="shared" si="42"/>
        <v>6.49</v>
      </c>
      <c r="V331" s="11">
        <f t="shared" si="43"/>
        <v>1.5</v>
      </c>
      <c r="W331" s="11" t="s">
        <v>66</v>
      </c>
      <c r="X331" s="11">
        <v>0</v>
      </c>
      <c r="Y331" s="11">
        <f t="shared" si="44"/>
        <v>28.1</v>
      </c>
      <c r="Z331" s="11">
        <f t="shared" si="45"/>
        <v>21.93</v>
      </c>
      <c r="AA331" s="12">
        <f t="shared" si="46"/>
        <v>0.43833699780131918</v>
      </c>
      <c r="AB331" s="13">
        <f t="shared" si="47"/>
        <v>8.1349593495934958</v>
      </c>
      <c r="AC331" t="s">
        <v>67</v>
      </c>
    </row>
    <row r="332" spans="1:29" ht="14.25" customHeight="1" x14ac:dyDescent="0.45">
      <c r="A332" t="s">
        <v>455</v>
      </c>
      <c r="B332" s="10">
        <v>45974</v>
      </c>
      <c r="C332">
        <v>2025</v>
      </c>
      <c r="D332">
        <v>11</v>
      </c>
      <c r="E332" t="s">
        <v>77</v>
      </c>
      <c r="F332" t="s">
        <v>102</v>
      </c>
      <c r="G332" t="s">
        <v>105</v>
      </c>
      <c r="H332" t="s">
        <v>86</v>
      </c>
      <c r="I332" t="s">
        <v>72</v>
      </c>
      <c r="J332" t="s">
        <v>73</v>
      </c>
      <c r="K332" t="s">
        <v>74</v>
      </c>
      <c r="L332" t="s">
        <v>75</v>
      </c>
      <c r="M332" s="11">
        <v>47.03</v>
      </c>
      <c r="N332" s="11">
        <v>15.02</v>
      </c>
      <c r="O332" s="11">
        <v>6.13</v>
      </c>
      <c r="P332" s="11">
        <v>0.03</v>
      </c>
      <c r="Q332" s="11">
        <v>2.67</v>
      </c>
      <c r="R332" s="11">
        <v>1</v>
      </c>
      <c r="S332" s="11">
        <f t="shared" si="40"/>
        <v>47.03</v>
      </c>
      <c r="T332" s="11">
        <f t="shared" si="41"/>
        <v>15.02</v>
      </c>
      <c r="U332" s="11">
        <f t="shared" si="42"/>
        <v>6.13</v>
      </c>
      <c r="V332" s="11">
        <f t="shared" si="43"/>
        <v>1.41</v>
      </c>
      <c r="W332" s="11" t="s">
        <v>66</v>
      </c>
      <c r="X332" s="11">
        <v>0</v>
      </c>
      <c r="Y332" s="11">
        <f t="shared" si="44"/>
        <v>25.229999999999997</v>
      </c>
      <c r="Z332" s="11">
        <f t="shared" si="45"/>
        <v>21.800000000000004</v>
      </c>
      <c r="AA332" s="12">
        <f t="shared" si="46"/>
        <v>0.4635339145226452</v>
      </c>
      <c r="AB332" s="13">
        <f t="shared" si="47"/>
        <v>17.614232209737828</v>
      </c>
      <c r="AC332" t="s">
        <v>67</v>
      </c>
    </row>
    <row r="333" spans="1:29" ht="14.25" customHeight="1" x14ac:dyDescent="0.45">
      <c r="A333" t="s">
        <v>456</v>
      </c>
      <c r="B333" s="10">
        <v>45977</v>
      </c>
      <c r="C333">
        <v>2025</v>
      </c>
      <c r="D333">
        <v>11</v>
      </c>
      <c r="E333" t="s">
        <v>69</v>
      </c>
      <c r="F333" t="s">
        <v>70</v>
      </c>
      <c r="G333" t="s">
        <v>105</v>
      </c>
      <c r="H333" t="s">
        <v>61</v>
      </c>
      <c r="I333" t="s">
        <v>133</v>
      </c>
      <c r="J333" t="s">
        <v>134</v>
      </c>
      <c r="K333" t="s">
        <v>135</v>
      </c>
      <c r="L333" t="s">
        <v>136</v>
      </c>
      <c r="M333" s="11">
        <v>16.399999999999999</v>
      </c>
      <c r="N333" s="11">
        <v>2.12</v>
      </c>
      <c r="O333" s="11">
        <v>1.94</v>
      </c>
      <c r="P333" s="11">
        <v>0.03</v>
      </c>
      <c r="Q333" s="11">
        <v>19.5</v>
      </c>
      <c r="R333" s="11">
        <v>2</v>
      </c>
      <c r="S333" s="11">
        <f t="shared" si="40"/>
        <v>32.799999999999997</v>
      </c>
      <c r="T333" s="11">
        <f t="shared" si="41"/>
        <v>4.24</v>
      </c>
      <c r="U333" s="11">
        <f t="shared" si="42"/>
        <v>3.88</v>
      </c>
      <c r="V333" s="11">
        <f t="shared" si="43"/>
        <v>0.98</v>
      </c>
      <c r="W333" s="11" t="s">
        <v>66</v>
      </c>
      <c r="X333" s="11">
        <v>0</v>
      </c>
      <c r="Y333" s="11">
        <f t="shared" si="44"/>
        <v>28.6</v>
      </c>
      <c r="Z333" s="11">
        <f t="shared" si="45"/>
        <v>4.1999999999999957</v>
      </c>
      <c r="AA333" s="12">
        <f t="shared" si="46"/>
        <v>0.12804878048780477</v>
      </c>
      <c r="AB333" s="13">
        <f t="shared" si="47"/>
        <v>1.6820512820512818</v>
      </c>
      <c r="AC333" t="s">
        <v>67</v>
      </c>
    </row>
    <row r="334" spans="1:29" ht="14.25" customHeight="1" x14ac:dyDescent="0.45">
      <c r="A334" t="s">
        <v>457</v>
      </c>
      <c r="B334" s="10">
        <v>45978</v>
      </c>
      <c r="C334">
        <v>2025</v>
      </c>
      <c r="D334">
        <v>11</v>
      </c>
      <c r="E334" t="s">
        <v>77</v>
      </c>
      <c r="F334" t="s">
        <v>104</v>
      </c>
      <c r="G334" t="s">
        <v>71</v>
      </c>
      <c r="H334" t="s">
        <v>127</v>
      </c>
      <c r="I334" t="s">
        <v>113</v>
      </c>
      <c r="J334" t="s">
        <v>114</v>
      </c>
      <c r="K334" t="s">
        <v>115</v>
      </c>
      <c r="L334" t="s">
        <v>116</v>
      </c>
      <c r="M334" s="11">
        <v>48.53</v>
      </c>
      <c r="N334" s="11">
        <v>15.84</v>
      </c>
      <c r="O334" s="11">
        <v>6.67</v>
      </c>
      <c r="P334" s="11">
        <v>0.03</v>
      </c>
      <c r="Q334" s="11">
        <v>0</v>
      </c>
      <c r="R334" s="11">
        <v>1</v>
      </c>
      <c r="S334" s="11">
        <f t="shared" si="40"/>
        <v>48.53</v>
      </c>
      <c r="T334" s="11">
        <f t="shared" si="41"/>
        <v>15.84</v>
      </c>
      <c r="U334" s="11">
        <f t="shared" si="42"/>
        <v>6.67</v>
      </c>
      <c r="V334" s="11">
        <f t="shared" si="43"/>
        <v>1.46</v>
      </c>
      <c r="W334" s="11" t="s">
        <v>66</v>
      </c>
      <c r="X334" s="11">
        <v>0</v>
      </c>
      <c r="Y334" s="11">
        <f t="shared" si="44"/>
        <v>23.97</v>
      </c>
      <c r="Z334" s="11">
        <f t="shared" si="45"/>
        <v>24.560000000000002</v>
      </c>
      <c r="AA334" s="12">
        <f t="shared" si="46"/>
        <v>0.50607871419740369</v>
      </c>
      <c r="AB334" s="13">
        <f t="shared" si="47"/>
        <v>0</v>
      </c>
      <c r="AC334" t="s">
        <v>67</v>
      </c>
    </row>
    <row r="335" spans="1:29" ht="14.25" customHeight="1" x14ac:dyDescent="0.45">
      <c r="A335" t="s">
        <v>458</v>
      </c>
      <c r="B335" s="10">
        <v>45980</v>
      </c>
      <c r="C335">
        <v>2025</v>
      </c>
      <c r="D335">
        <v>11</v>
      </c>
      <c r="E335" t="s">
        <v>77</v>
      </c>
      <c r="F335" t="s">
        <v>102</v>
      </c>
      <c r="G335" t="s">
        <v>93</v>
      </c>
      <c r="H335" t="s">
        <v>86</v>
      </c>
      <c r="I335" t="s">
        <v>107</v>
      </c>
      <c r="J335" t="s">
        <v>108</v>
      </c>
      <c r="K335" t="s">
        <v>109</v>
      </c>
      <c r="L335" t="s">
        <v>110</v>
      </c>
      <c r="M335" s="11">
        <v>21.97</v>
      </c>
      <c r="N335" s="11">
        <v>3.75</v>
      </c>
      <c r="O335" s="11">
        <v>2.33</v>
      </c>
      <c r="P335" s="11">
        <v>0.03</v>
      </c>
      <c r="Q335" s="11">
        <v>1.32</v>
      </c>
      <c r="R335" s="11">
        <v>1</v>
      </c>
      <c r="S335" s="11">
        <f t="shared" si="40"/>
        <v>21.97</v>
      </c>
      <c r="T335" s="11">
        <f t="shared" si="41"/>
        <v>3.75</v>
      </c>
      <c r="U335" s="11">
        <f t="shared" si="42"/>
        <v>2.33</v>
      </c>
      <c r="V335" s="11">
        <f t="shared" si="43"/>
        <v>0.66</v>
      </c>
      <c r="W335" s="11" t="s">
        <v>66</v>
      </c>
      <c r="X335" s="11">
        <v>0</v>
      </c>
      <c r="Y335" s="11">
        <f t="shared" si="44"/>
        <v>8.06</v>
      </c>
      <c r="Z335" s="11">
        <f t="shared" si="45"/>
        <v>13.909999999999998</v>
      </c>
      <c r="AA335" s="12">
        <f t="shared" si="46"/>
        <v>0.63313609467455623</v>
      </c>
      <c r="AB335" s="13">
        <f t="shared" si="47"/>
        <v>16.643939393939391</v>
      </c>
      <c r="AC335" t="s">
        <v>67</v>
      </c>
    </row>
    <row r="336" spans="1:29" ht="14.25" customHeight="1" x14ac:dyDescent="0.45">
      <c r="A336" t="s">
        <v>459</v>
      </c>
      <c r="B336" s="10">
        <v>45980</v>
      </c>
      <c r="C336">
        <v>2025</v>
      </c>
      <c r="D336">
        <v>11</v>
      </c>
      <c r="E336" t="s">
        <v>122</v>
      </c>
      <c r="F336" t="s">
        <v>123</v>
      </c>
      <c r="G336" t="s">
        <v>105</v>
      </c>
      <c r="H336" t="s">
        <v>61</v>
      </c>
      <c r="I336" t="s">
        <v>138</v>
      </c>
      <c r="J336" t="s">
        <v>139</v>
      </c>
      <c r="K336" t="s">
        <v>89</v>
      </c>
      <c r="L336" t="s">
        <v>140</v>
      </c>
      <c r="M336" s="11">
        <v>36.72</v>
      </c>
      <c r="N336" s="11">
        <v>8.7100000000000009</v>
      </c>
      <c r="O336" s="11">
        <v>4.51</v>
      </c>
      <c r="P336" s="11">
        <v>0.03</v>
      </c>
      <c r="Q336" s="11">
        <v>9.99</v>
      </c>
      <c r="R336" s="11">
        <v>2</v>
      </c>
      <c r="S336" s="11">
        <f t="shared" si="40"/>
        <v>73.44</v>
      </c>
      <c r="T336" s="11">
        <f t="shared" si="41"/>
        <v>17.420000000000002</v>
      </c>
      <c r="U336" s="11">
        <f t="shared" si="42"/>
        <v>9.02</v>
      </c>
      <c r="V336" s="11">
        <f t="shared" si="43"/>
        <v>2.2000000000000002</v>
      </c>
      <c r="W336" s="11" t="s">
        <v>66</v>
      </c>
      <c r="X336" s="11">
        <v>0</v>
      </c>
      <c r="Y336" s="11">
        <f t="shared" si="44"/>
        <v>38.630000000000003</v>
      </c>
      <c r="Z336" s="11">
        <f t="shared" si="45"/>
        <v>34.809999999999995</v>
      </c>
      <c r="AA336" s="12">
        <f t="shared" si="46"/>
        <v>0.47399237472766881</v>
      </c>
      <c r="AB336" s="13">
        <f t="shared" si="47"/>
        <v>7.3513513513513509</v>
      </c>
      <c r="AC336" t="s">
        <v>67</v>
      </c>
    </row>
    <row r="337" spans="1:29" ht="14.25" customHeight="1" x14ac:dyDescent="0.45">
      <c r="A337" t="s">
        <v>460</v>
      </c>
      <c r="B337" s="10">
        <v>45981</v>
      </c>
      <c r="C337">
        <v>2025</v>
      </c>
      <c r="D337">
        <v>11</v>
      </c>
      <c r="E337" t="s">
        <v>69</v>
      </c>
      <c r="F337" t="s">
        <v>70</v>
      </c>
      <c r="G337" t="s">
        <v>105</v>
      </c>
      <c r="H337" t="s">
        <v>80</v>
      </c>
      <c r="I337" t="s">
        <v>62</v>
      </c>
      <c r="J337" t="s">
        <v>63</v>
      </c>
      <c r="K337" t="s">
        <v>64</v>
      </c>
      <c r="L337" t="s">
        <v>65</v>
      </c>
      <c r="M337" s="11">
        <v>30.92</v>
      </c>
      <c r="N337" s="11">
        <v>10.64</v>
      </c>
      <c r="O337" s="11">
        <v>4.05</v>
      </c>
      <c r="P337" s="11">
        <v>0.03</v>
      </c>
      <c r="Q337" s="11">
        <v>18.18</v>
      </c>
      <c r="R337" s="11">
        <v>2</v>
      </c>
      <c r="S337" s="11">
        <f t="shared" si="40"/>
        <v>61.84</v>
      </c>
      <c r="T337" s="11">
        <f t="shared" si="41"/>
        <v>21.28</v>
      </c>
      <c r="U337" s="11">
        <f t="shared" si="42"/>
        <v>8.1</v>
      </c>
      <c r="V337" s="11">
        <f t="shared" si="43"/>
        <v>1.86</v>
      </c>
      <c r="W337" s="11" t="s">
        <v>66</v>
      </c>
      <c r="X337" s="11">
        <v>0</v>
      </c>
      <c r="Y337" s="11">
        <f t="shared" si="44"/>
        <v>49.42</v>
      </c>
      <c r="Z337" s="11">
        <f t="shared" si="45"/>
        <v>12.420000000000002</v>
      </c>
      <c r="AA337" s="12">
        <f t="shared" si="46"/>
        <v>0.20084087968952136</v>
      </c>
      <c r="AB337" s="13">
        <f t="shared" si="47"/>
        <v>3.401540154015402</v>
      </c>
      <c r="AC337" t="s">
        <v>67</v>
      </c>
    </row>
    <row r="338" spans="1:29" ht="14.25" customHeight="1" x14ac:dyDescent="0.45">
      <c r="A338" t="s">
        <v>461</v>
      </c>
      <c r="B338" s="10">
        <v>45983</v>
      </c>
      <c r="C338">
        <v>2025</v>
      </c>
      <c r="D338">
        <v>11</v>
      </c>
      <c r="E338" t="s">
        <v>77</v>
      </c>
      <c r="F338" t="s">
        <v>104</v>
      </c>
      <c r="G338" t="s">
        <v>126</v>
      </c>
      <c r="H338" t="s">
        <v>127</v>
      </c>
      <c r="I338" t="s">
        <v>62</v>
      </c>
      <c r="J338" t="s">
        <v>63</v>
      </c>
      <c r="K338" t="s">
        <v>64</v>
      </c>
      <c r="L338" t="s">
        <v>65</v>
      </c>
      <c r="M338" s="11">
        <v>32.56</v>
      </c>
      <c r="N338" s="11">
        <v>10.49</v>
      </c>
      <c r="O338" s="11">
        <v>3.68</v>
      </c>
      <c r="P338" s="11">
        <v>0.03</v>
      </c>
      <c r="Q338" s="11">
        <v>8.2200000000000006</v>
      </c>
      <c r="R338" s="11">
        <v>1</v>
      </c>
      <c r="S338" s="11">
        <f t="shared" si="40"/>
        <v>32.56</v>
      </c>
      <c r="T338" s="11">
        <f t="shared" si="41"/>
        <v>10.49</v>
      </c>
      <c r="U338" s="11">
        <f t="shared" si="42"/>
        <v>3.68</v>
      </c>
      <c r="V338" s="11">
        <f t="shared" si="43"/>
        <v>0.98</v>
      </c>
      <c r="W338" s="11" t="s">
        <v>66</v>
      </c>
      <c r="X338" s="11">
        <v>0</v>
      </c>
      <c r="Y338" s="11">
        <f t="shared" si="44"/>
        <v>23.37</v>
      </c>
      <c r="Z338" s="11">
        <f t="shared" si="45"/>
        <v>9.1900000000000013</v>
      </c>
      <c r="AA338" s="12">
        <f t="shared" si="46"/>
        <v>0.28224815724815727</v>
      </c>
      <c r="AB338" s="13">
        <f t="shared" si="47"/>
        <v>3.9610705596107056</v>
      </c>
      <c r="AC338" t="s">
        <v>67</v>
      </c>
    </row>
    <row r="339" spans="1:29" ht="14.25" customHeight="1" x14ac:dyDescent="0.45">
      <c r="A339" t="s">
        <v>462</v>
      </c>
      <c r="B339" s="10">
        <v>45984</v>
      </c>
      <c r="C339">
        <v>2025</v>
      </c>
      <c r="D339">
        <v>11</v>
      </c>
      <c r="E339" t="s">
        <v>77</v>
      </c>
      <c r="F339" t="s">
        <v>102</v>
      </c>
      <c r="G339" t="s">
        <v>79</v>
      </c>
      <c r="H339" t="s">
        <v>112</v>
      </c>
      <c r="I339" t="s">
        <v>81</v>
      </c>
      <c r="J339" t="s">
        <v>82</v>
      </c>
      <c r="K339" t="s">
        <v>83</v>
      </c>
      <c r="L339" t="s">
        <v>84</v>
      </c>
      <c r="M339" s="11">
        <v>24.97</v>
      </c>
      <c r="N339" s="11">
        <v>5.79</v>
      </c>
      <c r="O339" s="11">
        <v>3.5</v>
      </c>
      <c r="P339" s="11">
        <v>0.03</v>
      </c>
      <c r="Q339" s="11">
        <v>20.49</v>
      </c>
      <c r="R339" s="11">
        <v>3</v>
      </c>
      <c r="S339" s="11">
        <f t="shared" si="40"/>
        <v>74.91</v>
      </c>
      <c r="T339" s="11">
        <f t="shared" si="41"/>
        <v>17.37</v>
      </c>
      <c r="U339" s="11">
        <f t="shared" si="42"/>
        <v>10.5</v>
      </c>
      <c r="V339" s="11">
        <f t="shared" si="43"/>
        <v>2.25</v>
      </c>
      <c r="W339" s="11" t="s">
        <v>66</v>
      </c>
      <c r="X339" s="11">
        <v>0</v>
      </c>
      <c r="Y339" s="11">
        <f t="shared" si="44"/>
        <v>50.61</v>
      </c>
      <c r="Z339" s="11">
        <f t="shared" si="45"/>
        <v>24.299999999999997</v>
      </c>
      <c r="AA339" s="12">
        <f t="shared" si="46"/>
        <v>0.32438926712054461</v>
      </c>
      <c r="AB339" s="13">
        <f t="shared" si="47"/>
        <v>3.6559297218155198</v>
      </c>
      <c r="AC339" t="s">
        <v>67</v>
      </c>
    </row>
    <row r="340" spans="1:29" ht="14.25" customHeight="1" x14ac:dyDescent="0.45">
      <c r="A340" t="s">
        <v>463</v>
      </c>
      <c r="B340" s="10">
        <v>45984</v>
      </c>
      <c r="C340">
        <v>2025</v>
      </c>
      <c r="D340">
        <v>11</v>
      </c>
      <c r="E340" t="s">
        <v>122</v>
      </c>
      <c r="F340" t="s">
        <v>123</v>
      </c>
      <c r="G340" t="s">
        <v>71</v>
      </c>
      <c r="H340" t="s">
        <v>61</v>
      </c>
      <c r="I340" t="s">
        <v>72</v>
      </c>
      <c r="J340" t="s">
        <v>73</v>
      </c>
      <c r="K340" t="s">
        <v>74</v>
      </c>
      <c r="L340" t="s">
        <v>75</v>
      </c>
      <c r="M340" s="11">
        <v>47.52</v>
      </c>
      <c r="N340" s="11">
        <v>13.77</v>
      </c>
      <c r="O340" s="11">
        <v>6.11</v>
      </c>
      <c r="P340" s="11">
        <v>0.03</v>
      </c>
      <c r="Q340" s="11">
        <v>0</v>
      </c>
      <c r="R340" s="11">
        <v>2</v>
      </c>
      <c r="S340" s="11">
        <f t="shared" si="40"/>
        <v>95.04</v>
      </c>
      <c r="T340" s="11">
        <f t="shared" si="41"/>
        <v>27.54</v>
      </c>
      <c r="U340" s="11">
        <f t="shared" si="42"/>
        <v>12.22</v>
      </c>
      <c r="V340" s="11">
        <f t="shared" si="43"/>
        <v>2.85</v>
      </c>
      <c r="W340" s="11" t="s">
        <v>66</v>
      </c>
      <c r="X340" s="11">
        <v>0</v>
      </c>
      <c r="Y340" s="11">
        <f t="shared" si="44"/>
        <v>42.61</v>
      </c>
      <c r="Z340" s="11">
        <f t="shared" si="45"/>
        <v>52.430000000000007</v>
      </c>
      <c r="AA340" s="12">
        <f t="shared" si="46"/>
        <v>0.55166245791245794</v>
      </c>
      <c r="AB340" s="13">
        <f t="shared" si="47"/>
        <v>0</v>
      </c>
      <c r="AC340" t="s">
        <v>67</v>
      </c>
    </row>
    <row r="341" spans="1:29" ht="14.25" customHeight="1" x14ac:dyDescent="0.45">
      <c r="A341" t="s">
        <v>464</v>
      </c>
      <c r="B341" s="10">
        <v>45984</v>
      </c>
      <c r="C341">
        <v>2025</v>
      </c>
      <c r="D341">
        <v>11</v>
      </c>
      <c r="E341" t="s">
        <v>122</v>
      </c>
      <c r="F341" t="s">
        <v>123</v>
      </c>
      <c r="G341" t="s">
        <v>79</v>
      </c>
      <c r="H341" t="s">
        <v>80</v>
      </c>
      <c r="I341" t="s">
        <v>107</v>
      </c>
      <c r="J341" t="s">
        <v>108</v>
      </c>
      <c r="K341" t="s">
        <v>109</v>
      </c>
      <c r="L341" t="s">
        <v>110</v>
      </c>
      <c r="M341" s="11">
        <v>19.59</v>
      </c>
      <c r="N341" s="11">
        <v>3.74</v>
      </c>
      <c r="O341" s="11">
        <v>2.7</v>
      </c>
      <c r="P341" s="11">
        <v>0.03</v>
      </c>
      <c r="Q341" s="11">
        <v>9.98</v>
      </c>
      <c r="R341" s="11">
        <v>1</v>
      </c>
      <c r="S341" s="11">
        <f t="shared" si="40"/>
        <v>19.59</v>
      </c>
      <c r="T341" s="11">
        <f t="shared" si="41"/>
        <v>3.74</v>
      </c>
      <c r="U341" s="11">
        <f t="shared" si="42"/>
        <v>2.7</v>
      </c>
      <c r="V341" s="11">
        <f t="shared" si="43"/>
        <v>0.59</v>
      </c>
      <c r="W341" s="11" t="s">
        <v>66</v>
      </c>
      <c r="X341" s="11">
        <v>0</v>
      </c>
      <c r="Y341" s="11">
        <f t="shared" si="44"/>
        <v>17.010000000000002</v>
      </c>
      <c r="Z341" s="11">
        <f t="shared" si="45"/>
        <v>2.5799999999999983</v>
      </c>
      <c r="AA341" s="12">
        <f t="shared" si="46"/>
        <v>0.13169984686064309</v>
      </c>
      <c r="AB341" s="13">
        <f t="shared" si="47"/>
        <v>1.9629258517034067</v>
      </c>
      <c r="AC341" t="s">
        <v>67</v>
      </c>
    </row>
    <row r="342" spans="1:29" ht="14.25" customHeight="1" x14ac:dyDescent="0.45">
      <c r="A342" t="s">
        <v>465</v>
      </c>
      <c r="B342" s="10">
        <v>45984</v>
      </c>
      <c r="C342">
        <v>2025</v>
      </c>
      <c r="D342">
        <v>11</v>
      </c>
      <c r="E342" t="s">
        <v>77</v>
      </c>
      <c r="F342" t="s">
        <v>78</v>
      </c>
      <c r="G342" t="s">
        <v>126</v>
      </c>
      <c r="H342" t="s">
        <v>61</v>
      </c>
      <c r="I342" t="s">
        <v>62</v>
      </c>
      <c r="J342" t="s">
        <v>63</v>
      </c>
      <c r="K342" t="s">
        <v>64</v>
      </c>
      <c r="L342" t="s">
        <v>65</v>
      </c>
      <c r="M342" s="11">
        <v>31.04</v>
      </c>
      <c r="N342" s="11">
        <v>9.92</v>
      </c>
      <c r="O342" s="11">
        <v>4.2699999999999996</v>
      </c>
      <c r="P342" s="11">
        <v>0.03</v>
      </c>
      <c r="Q342" s="11">
        <v>10.27</v>
      </c>
      <c r="R342" s="11">
        <v>1</v>
      </c>
      <c r="S342" s="11">
        <f t="shared" si="40"/>
        <v>31.04</v>
      </c>
      <c r="T342" s="11">
        <f t="shared" si="41"/>
        <v>9.92</v>
      </c>
      <c r="U342" s="11">
        <f t="shared" si="42"/>
        <v>4.2699999999999996</v>
      </c>
      <c r="V342" s="11">
        <f t="shared" si="43"/>
        <v>0.93</v>
      </c>
      <c r="W342" s="11" t="s">
        <v>66</v>
      </c>
      <c r="X342" s="11">
        <v>0</v>
      </c>
      <c r="Y342" s="11">
        <f t="shared" si="44"/>
        <v>25.39</v>
      </c>
      <c r="Z342" s="11">
        <f t="shared" si="45"/>
        <v>5.6499999999999986</v>
      </c>
      <c r="AA342" s="12">
        <f t="shared" si="46"/>
        <v>0.18202319587628862</v>
      </c>
      <c r="AB342" s="13">
        <f t="shared" si="47"/>
        <v>3.0223953261927945</v>
      </c>
      <c r="AC342" t="s">
        <v>67</v>
      </c>
    </row>
    <row r="343" spans="1:29" ht="14.25" customHeight="1" x14ac:dyDescent="0.45">
      <c r="A343" t="s">
        <v>466</v>
      </c>
      <c r="B343" s="10">
        <v>45985</v>
      </c>
      <c r="C343">
        <v>2025</v>
      </c>
      <c r="D343">
        <v>11</v>
      </c>
      <c r="E343" t="s">
        <v>77</v>
      </c>
      <c r="F343" t="s">
        <v>78</v>
      </c>
      <c r="G343" t="s">
        <v>105</v>
      </c>
      <c r="H343" t="s">
        <v>86</v>
      </c>
      <c r="I343" t="s">
        <v>87</v>
      </c>
      <c r="J343" t="s">
        <v>88</v>
      </c>
      <c r="K343" t="s">
        <v>89</v>
      </c>
      <c r="L343" t="s">
        <v>90</v>
      </c>
      <c r="M343" s="11">
        <v>63.99</v>
      </c>
      <c r="N343" s="11">
        <v>22.69</v>
      </c>
      <c r="O343" s="11">
        <v>7.52</v>
      </c>
      <c r="P343" s="11">
        <v>0.03</v>
      </c>
      <c r="Q343" s="11">
        <v>4.93</v>
      </c>
      <c r="R343" s="11">
        <v>2</v>
      </c>
      <c r="S343" s="11">
        <f t="shared" si="40"/>
        <v>127.98</v>
      </c>
      <c r="T343" s="11">
        <f t="shared" si="41"/>
        <v>45.38</v>
      </c>
      <c r="U343" s="11">
        <f t="shared" si="42"/>
        <v>15.04</v>
      </c>
      <c r="V343" s="11">
        <f t="shared" si="43"/>
        <v>3.84</v>
      </c>
      <c r="W343" s="11" t="s">
        <v>66</v>
      </c>
      <c r="X343" s="11">
        <v>0</v>
      </c>
      <c r="Y343" s="11">
        <f t="shared" si="44"/>
        <v>69.19</v>
      </c>
      <c r="Z343" s="11">
        <f t="shared" si="45"/>
        <v>58.790000000000006</v>
      </c>
      <c r="AA343" s="12">
        <f t="shared" si="46"/>
        <v>0.45936865135177374</v>
      </c>
      <c r="AB343" s="13">
        <f t="shared" si="47"/>
        <v>25.959432048681546</v>
      </c>
      <c r="AC343" t="s">
        <v>67</v>
      </c>
    </row>
    <row r="344" spans="1:29" ht="14.25" customHeight="1" x14ac:dyDescent="0.45">
      <c r="A344" t="s">
        <v>467</v>
      </c>
      <c r="B344" s="10">
        <v>45987</v>
      </c>
      <c r="C344">
        <v>2025</v>
      </c>
      <c r="D344">
        <v>11</v>
      </c>
      <c r="E344" t="s">
        <v>122</v>
      </c>
      <c r="F344" t="s">
        <v>123</v>
      </c>
      <c r="G344" t="s">
        <v>105</v>
      </c>
      <c r="H344" t="s">
        <v>86</v>
      </c>
      <c r="I344" t="s">
        <v>97</v>
      </c>
      <c r="J344" t="s">
        <v>98</v>
      </c>
      <c r="K344" t="s">
        <v>99</v>
      </c>
      <c r="L344" t="s">
        <v>100</v>
      </c>
      <c r="M344" s="11">
        <v>37.29</v>
      </c>
      <c r="N344" s="11">
        <v>8.73</v>
      </c>
      <c r="O344" s="11">
        <v>4.22</v>
      </c>
      <c r="P344" s="11">
        <v>0.03</v>
      </c>
      <c r="Q344" s="11">
        <v>15</v>
      </c>
      <c r="R344" s="11">
        <v>2</v>
      </c>
      <c r="S344" s="11">
        <f t="shared" si="40"/>
        <v>74.58</v>
      </c>
      <c r="T344" s="11">
        <f t="shared" si="41"/>
        <v>17.46</v>
      </c>
      <c r="U344" s="11">
        <f t="shared" si="42"/>
        <v>8.44</v>
      </c>
      <c r="V344" s="11">
        <f t="shared" si="43"/>
        <v>2.2400000000000002</v>
      </c>
      <c r="W344" s="11" t="s">
        <v>66</v>
      </c>
      <c r="X344" s="11">
        <v>0</v>
      </c>
      <c r="Y344" s="11">
        <f t="shared" si="44"/>
        <v>43.14</v>
      </c>
      <c r="Z344" s="11">
        <f t="shared" si="45"/>
        <v>31.439999999999998</v>
      </c>
      <c r="AA344" s="12">
        <f t="shared" si="46"/>
        <v>0.42156074014481093</v>
      </c>
      <c r="AB344" s="13">
        <f t="shared" si="47"/>
        <v>4.9719999999999995</v>
      </c>
      <c r="AC344" t="s">
        <v>67</v>
      </c>
    </row>
    <row r="345" spans="1:29" ht="14.25" customHeight="1" x14ac:dyDescent="0.45">
      <c r="A345" t="s">
        <v>468</v>
      </c>
      <c r="B345" s="10">
        <v>45987</v>
      </c>
      <c r="C345">
        <v>2025</v>
      </c>
      <c r="D345">
        <v>11</v>
      </c>
      <c r="E345" t="s">
        <v>58</v>
      </c>
      <c r="F345" t="s">
        <v>59</v>
      </c>
      <c r="G345" t="s">
        <v>93</v>
      </c>
      <c r="H345" t="s">
        <v>112</v>
      </c>
      <c r="I345" t="s">
        <v>72</v>
      </c>
      <c r="J345" t="s">
        <v>73</v>
      </c>
      <c r="K345" t="s">
        <v>74</v>
      </c>
      <c r="L345" t="s">
        <v>75</v>
      </c>
      <c r="M345" s="11">
        <v>43.42</v>
      </c>
      <c r="N345" s="11">
        <v>13.8</v>
      </c>
      <c r="O345" s="11">
        <v>6.43</v>
      </c>
      <c r="P345" s="11">
        <v>0.03</v>
      </c>
      <c r="Q345" s="11">
        <v>4.8899999999999997</v>
      </c>
      <c r="R345" s="11">
        <v>1</v>
      </c>
      <c r="S345" s="11">
        <f t="shared" si="40"/>
        <v>43.42</v>
      </c>
      <c r="T345" s="11">
        <f t="shared" si="41"/>
        <v>13.8</v>
      </c>
      <c r="U345" s="11">
        <f t="shared" si="42"/>
        <v>6.43</v>
      </c>
      <c r="V345" s="11">
        <f t="shared" si="43"/>
        <v>1.3</v>
      </c>
      <c r="W345" s="11" t="s">
        <v>66</v>
      </c>
      <c r="X345" s="11">
        <v>0</v>
      </c>
      <c r="Y345" s="11">
        <f t="shared" si="44"/>
        <v>26.42</v>
      </c>
      <c r="Z345" s="11">
        <f t="shared" si="45"/>
        <v>17</v>
      </c>
      <c r="AA345" s="12">
        <f t="shared" si="46"/>
        <v>0.39152464302164902</v>
      </c>
      <c r="AB345" s="13">
        <f t="shared" si="47"/>
        <v>8.8793456032719842</v>
      </c>
      <c r="AC345" t="s">
        <v>67</v>
      </c>
    </row>
    <row r="346" spans="1:29" ht="14.25" customHeight="1" x14ac:dyDescent="0.45">
      <c r="A346" t="s">
        <v>469</v>
      </c>
      <c r="B346" s="10">
        <v>45989</v>
      </c>
      <c r="C346">
        <v>2025</v>
      </c>
      <c r="D346">
        <v>11</v>
      </c>
      <c r="E346" t="s">
        <v>69</v>
      </c>
      <c r="F346" t="s">
        <v>70</v>
      </c>
      <c r="G346" t="s">
        <v>105</v>
      </c>
      <c r="H346" t="s">
        <v>127</v>
      </c>
      <c r="I346" t="s">
        <v>62</v>
      </c>
      <c r="J346" t="s">
        <v>63</v>
      </c>
      <c r="K346" t="s">
        <v>64</v>
      </c>
      <c r="L346" t="s">
        <v>65</v>
      </c>
      <c r="M346" s="11">
        <v>34.43</v>
      </c>
      <c r="N346" s="11">
        <v>9.64</v>
      </c>
      <c r="O346" s="11">
        <v>4.38</v>
      </c>
      <c r="P346" s="11">
        <v>0.03</v>
      </c>
      <c r="Q346" s="11">
        <v>1.48</v>
      </c>
      <c r="R346" s="11">
        <v>1</v>
      </c>
      <c r="S346" s="11">
        <f t="shared" si="40"/>
        <v>0</v>
      </c>
      <c r="T346" s="11">
        <f t="shared" si="41"/>
        <v>0</v>
      </c>
      <c r="U346" s="11">
        <f t="shared" si="42"/>
        <v>0</v>
      </c>
      <c r="V346" s="11">
        <f t="shared" si="43"/>
        <v>0</v>
      </c>
      <c r="W346" s="11" t="s">
        <v>66</v>
      </c>
      <c r="X346" s="11">
        <v>0</v>
      </c>
      <c r="Y346" s="11">
        <f t="shared" si="44"/>
        <v>0</v>
      </c>
      <c r="Z346" s="11">
        <f t="shared" si="45"/>
        <v>-1.48</v>
      </c>
      <c r="AA346" s="12">
        <f t="shared" si="46"/>
        <v>0</v>
      </c>
      <c r="AB346" s="13">
        <f t="shared" si="47"/>
        <v>0</v>
      </c>
      <c r="AC346" t="s">
        <v>166</v>
      </c>
    </row>
    <row r="347" spans="1:29" ht="14.25" customHeight="1" x14ac:dyDescent="0.45">
      <c r="A347" t="s">
        <v>470</v>
      </c>
      <c r="B347" s="10">
        <v>45992</v>
      </c>
      <c r="C347">
        <v>2025</v>
      </c>
      <c r="D347">
        <v>12</v>
      </c>
      <c r="E347" t="s">
        <v>58</v>
      </c>
      <c r="F347" t="s">
        <v>59</v>
      </c>
      <c r="G347" t="s">
        <v>71</v>
      </c>
      <c r="H347" t="s">
        <v>80</v>
      </c>
      <c r="I347" t="s">
        <v>133</v>
      </c>
      <c r="J347" t="s">
        <v>134</v>
      </c>
      <c r="K347" t="s">
        <v>135</v>
      </c>
      <c r="L347" t="s">
        <v>136</v>
      </c>
      <c r="M347" s="11">
        <v>14.16</v>
      </c>
      <c r="N347" s="11">
        <v>1.91</v>
      </c>
      <c r="O347" s="11">
        <v>1.83</v>
      </c>
      <c r="P347" s="11">
        <v>0.03</v>
      </c>
      <c r="Q347" s="11">
        <v>0</v>
      </c>
      <c r="R347" s="11">
        <v>2</v>
      </c>
      <c r="S347" s="11">
        <f t="shared" si="40"/>
        <v>28.32</v>
      </c>
      <c r="T347" s="11">
        <f t="shared" si="41"/>
        <v>3.82</v>
      </c>
      <c r="U347" s="11">
        <f t="shared" si="42"/>
        <v>3.66</v>
      </c>
      <c r="V347" s="11">
        <f t="shared" si="43"/>
        <v>0.85</v>
      </c>
      <c r="W347" s="11" t="s">
        <v>66</v>
      </c>
      <c r="X347" s="11">
        <v>0</v>
      </c>
      <c r="Y347" s="11">
        <f t="shared" si="44"/>
        <v>8.33</v>
      </c>
      <c r="Z347" s="11">
        <f t="shared" si="45"/>
        <v>19.990000000000002</v>
      </c>
      <c r="AA347" s="12">
        <f t="shared" si="46"/>
        <v>0.70586158192090398</v>
      </c>
      <c r="AB347" s="13">
        <f t="shared" si="47"/>
        <v>0</v>
      </c>
      <c r="AC347" t="s">
        <v>67</v>
      </c>
    </row>
    <row r="348" spans="1:29" ht="14.25" customHeight="1" x14ac:dyDescent="0.45">
      <c r="A348" t="s">
        <v>471</v>
      </c>
      <c r="B348" s="10">
        <v>45993</v>
      </c>
      <c r="C348">
        <v>2025</v>
      </c>
      <c r="D348">
        <v>12</v>
      </c>
      <c r="E348" t="s">
        <v>69</v>
      </c>
      <c r="F348" t="s">
        <v>70</v>
      </c>
      <c r="G348" t="s">
        <v>126</v>
      </c>
      <c r="H348" t="s">
        <v>80</v>
      </c>
      <c r="I348" t="s">
        <v>133</v>
      </c>
      <c r="J348" t="s">
        <v>134</v>
      </c>
      <c r="K348" t="s">
        <v>135</v>
      </c>
      <c r="L348" t="s">
        <v>136</v>
      </c>
      <c r="M348" s="11">
        <v>14.29</v>
      </c>
      <c r="N348" s="11">
        <v>1.95</v>
      </c>
      <c r="O348" s="11">
        <v>2.27</v>
      </c>
      <c r="P348" s="11">
        <v>0.03</v>
      </c>
      <c r="Q348" s="11">
        <v>7.31</v>
      </c>
      <c r="R348" s="11">
        <v>2</v>
      </c>
      <c r="S348" s="11">
        <f t="shared" si="40"/>
        <v>28.58</v>
      </c>
      <c r="T348" s="11">
        <f t="shared" si="41"/>
        <v>3.9</v>
      </c>
      <c r="U348" s="11">
        <f t="shared" si="42"/>
        <v>4.54</v>
      </c>
      <c r="V348" s="11">
        <f t="shared" si="43"/>
        <v>0.86</v>
      </c>
      <c r="W348" s="11" t="s">
        <v>66</v>
      </c>
      <c r="X348" s="11">
        <v>0</v>
      </c>
      <c r="Y348" s="11">
        <f t="shared" si="44"/>
        <v>16.61</v>
      </c>
      <c r="Z348" s="11">
        <f t="shared" si="45"/>
        <v>11.969999999999999</v>
      </c>
      <c r="AA348" s="12">
        <f t="shared" si="46"/>
        <v>0.41882435269419171</v>
      </c>
      <c r="AB348" s="13">
        <f t="shared" si="47"/>
        <v>3.9097127222982215</v>
      </c>
      <c r="AC348" t="s">
        <v>67</v>
      </c>
    </row>
    <row r="349" spans="1:29" ht="14.25" customHeight="1" x14ac:dyDescent="0.45">
      <c r="A349" t="s">
        <v>472</v>
      </c>
      <c r="B349" s="10">
        <v>45993</v>
      </c>
      <c r="C349">
        <v>2025</v>
      </c>
      <c r="D349">
        <v>12</v>
      </c>
      <c r="E349" t="s">
        <v>77</v>
      </c>
      <c r="F349" t="s">
        <v>104</v>
      </c>
      <c r="G349" t="s">
        <v>60</v>
      </c>
      <c r="H349" t="s">
        <v>112</v>
      </c>
      <c r="I349" t="s">
        <v>113</v>
      </c>
      <c r="J349" t="s">
        <v>114</v>
      </c>
      <c r="K349" t="s">
        <v>115</v>
      </c>
      <c r="L349" t="s">
        <v>116</v>
      </c>
      <c r="M349" s="11">
        <v>51.71</v>
      </c>
      <c r="N349" s="11">
        <v>17.07</v>
      </c>
      <c r="O349" s="11">
        <v>6.1</v>
      </c>
      <c r="P349" s="11">
        <v>0.03</v>
      </c>
      <c r="Q349" s="11">
        <v>5.52</v>
      </c>
      <c r="R349" s="11">
        <v>2</v>
      </c>
      <c r="S349" s="11">
        <f t="shared" si="40"/>
        <v>103.42</v>
      </c>
      <c r="T349" s="11">
        <f t="shared" si="41"/>
        <v>34.14</v>
      </c>
      <c r="U349" s="11">
        <f t="shared" si="42"/>
        <v>12.2</v>
      </c>
      <c r="V349" s="11">
        <f t="shared" si="43"/>
        <v>3.1</v>
      </c>
      <c r="W349" s="11" t="s">
        <v>66</v>
      </c>
      <c r="X349" s="11">
        <v>0</v>
      </c>
      <c r="Y349" s="11">
        <f t="shared" si="44"/>
        <v>54.960000000000008</v>
      </c>
      <c r="Z349" s="11">
        <f t="shared" si="45"/>
        <v>48.459999999999994</v>
      </c>
      <c r="AA349" s="12">
        <f t="shared" si="46"/>
        <v>0.46857474376329522</v>
      </c>
      <c r="AB349" s="13">
        <f t="shared" si="47"/>
        <v>18.735507246376812</v>
      </c>
      <c r="AC349" t="s">
        <v>67</v>
      </c>
    </row>
    <row r="350" spans="1:29" ht="14.25" customHeight="1" x14ac:dyDescent="0.45">
      <c r="A350" t="s">
        <v>473</v>
      </c>
      <c r="B350" s="10">
        <v>45993</v>
      </c>
      <c r="C350">
        <v>2025</v>
      </c>
      <c r="D350">
        <v>12</v>
      </c>
      <c r="E350" t="s">
        <v>122</v>
      </c>
      <c r="F350" t="s">
        <v>123</v>
      </c>
      <c r="G350" t="s">
        <v>79</v>
      </c>
      <c r="H350" t="s">
        <v>61</v>
      </c>
      <c r="I350" t="s">
        <v>113</v>
      </c>
      <c r="J350" t="s">
        <v>114</v>
      </c>
      <c r="K350" t="s">
        <v>115</v>
      </c>
      <c r="L350" t="s">
        <v>116</v>
      </c>
      <c r="M350" s="11">
        <v>46.83</v>
      </c>
      <c r="N350" s="11">
        <v>15.27</v>
      </c>
      <c r="O350" s="11">
        <v>5.87</v>
      </c>
      <c r="P350" s="11">
        <v>0.03</v>
      </c>
      <c r="Q350" s="11">
        <v>11.98</v>
      </c>
      <c r="R350" s="11">
        <v>3</v>
      </c>
      <c r="S350" s="11">
        <f t="shared" si="40"/>
        <v>140.49</v>
      </c>
      <c r="T350" s="11">
        <f t="shared" si="41"/>
        <v>45.81</v>
      </c>
      <c r="U350" s="11">
        <f t="shared" si="42"/>
        <v>17.61</v>
      </c>
      <c r="V350" s="11">
        <f t="shared" si="43"/>
        <v>4.21</v>
      </c>
      <c r="W350" s="11" t="s">
        <v>66</v>
      </c>
      <c r="X350" s="11">
        <v>0</v>
      </c>
      <c r="Y350" s="11">
        <f t="shared" si="44"/>
        <v>79.61</v>
      </c>
      <c r="Z350" s="11">
        <f t="shared" si="45"/>
        <v>60.88000000000001</v>
      </c>
      <c r="AA350" s="12">
        <f t="shared" si="46"/>
        <v>0.43334045127767107</v>
      </c>
      <c r="AB350" s="13">
        <f t="shared" si="47"/>
        <v>11.72704507512521</v>
      </c>
      <c r="AC350" t="s">
        <v>67</v>
      </c>
    </row>
    <row r="351" spans="1:29" ht="14.25" customHeight="1" x14ac:dyDescent="0.45">
      <c r="A351" t="s">
        <v>474</v>
      </c>
      <c r="B351" s="10">
        <v>45995</v>
      </c>
      <c r="C351">
        <v>2025</v>
      </c>
      <c r="D351">
        <v>12</v>
      </c>
      <c r="E351" t="s">
        <v>58</v>
      </c>
      <c r="F351" t="s">
        <v>59</v>
      </c>
      <c r="G351" t="s">
        <v>126</v>
      </c>
      <c r="H351" t="s">
        <v>61</v>
      </c>
      <c r="I351" t="s">
        <v>62</v>
      </c>
      <c r="J351" t="s">
        <v>63</v>
      </c>
      <c r="K351" t="s">
        <v>64</v>
      </c>
      <c r="L351" t="s">
        <v>65</v>
      </c>
      <c r="M351" s="11">
        <v>30.88</v>
      </c>
      <c r="N351" s="11">
        <v>9.7799999999999994</v>
      </c>
      <c r="O351" s="11">
        <v>3.72</v>
      </c>
      <c r="P351" s="11">
        <v>0.03</v>
      </c>
      <c r="Q351" s="11">
        <v>10.36</v>
      </c>
      <c r="R351" s="11">
        <v>1</v>
      </c>
      <c r="S351" s="11">
        <f t="shared" si="40"/>
        <v>30.88</v>
      </c>
      <c r="T351" s="11">
        <f t="shared" si="41"/>
        <v>9.7799999999999994</v>
      </c>
      <c r="U351" s="11">
        <f t="shared" si="42"/>
        <v>3.72</v>
      </c>
      <c r="V351" s="11">
        <f t="shared" si="43"/>
        <v>0.93</v>
      </c>
      <c r="W351" s="11" t="s">
        <v>66</v>
      </c>
      <c r="X351" s="11">
        <v>0</v>
      </c>
      <c r="Y351" s="11">
        <f t="shared" si="44"/>
        <v>24.79</v>
      </c>
      <c r="Z351" s="11">
        <f t="shared" si="45"/>
        <v>6.09</v>
      </c>
      <c r="AA351" s="12">
        <f t="shared" si="46"/>
        <v>0.19721502590673576</v>
      </c>
      <c r="AB351" s="13">
        <f t="shared" si="47"/>
        <v>2.980694980694981</v>
      </c>
      <c r="AC351" t="s">
        <v>67</v>
      </c>
    </row>
    <row r="352" spans="1:29" ht="14.25" customHeight="1" x14ac:dyDescent="0.45">
      <c r="A352" t="s">
        <v>475</v>
      </c>
      <c r="B352" s="10">
        <v>45995</v>
      </c>
      <c r="C352">
        <v>2025</v>
      </c>
      <c r="D352">
        <v>12</v>
      </c>
      <c r="E352" t="s">
        <v>77</v>
      </c>
      <c r="F352" t="s">
        <v>104</v>
      </c>
      <c r="G352" t="s">
        <v>126</v>
      </c>
      <c r="H352" t="s">
        <v>127</v>
      </c>
      <c r="I352" t="s">
        <v>72</v>
      </c>
      <c r="J352" t="s">
        <v>73</v>
      </c>
      <c r="K352" t="s">
        <v>74</v>
      </c>
      <c r="L352" t="s">
        <v>75</v>
      </c>
      <c r="M352" s="11">
        <v>46.16</v>
      </c>
      <c r="N352" s="11">
        <v>13.94</v>
      </c>
      <c r="O352" s="11">
        <v>6.97</v>
      </c>
      <c r="P352" s="11">
        <v>0.03</v>
      </c>
      <c r="Q352" s="11">
        <v>3.14</v>
      </c>
      <c r="R352" s="11">
        <v>1</v>
      </c>
      <c r="S352" s="11">
        <f t="shared" si="40"/>
        <v>46.16</v>
      </c>
      <c r="T352" s="11">
        <f t="shared" si="41"/>
        <v>13.94</v>
      </c>
      <c r="U352" s="11">
        <f t="shared" si="42"/>
        <v>6.97</v>
      </c>
      <c r="V352" s="11">
        <f t="shared" si="43"/>
        <v>1.38</v>
      </c>
      <c r="W352" s="11" t="s">
        <v>66</v>
      </c>
      <c r="X352" s="11">
        <v>0</v>
      </c>
      <c r="Y352" s="11">
        <f t="shared" si="44"/>
        <v>25.43</v>
      </c>
      <c r="Z352" s="11">
        <f t="shared" si="45"/>
        <v>20.729999999999997</v>
      </c>
      <c r="AA352" s="12">
        <f t="shared" si="46"/>
        <v>0.4490901213171577</v>
      </c>
      <c r="AB352" s="13">
        <f t="shared" si="47"/>
        <v>14.700636942675157</v>
      </c>
      <c r="AC352" t="s">
        <v>67</v>
      </c>
    </row>
    <row r="353" spans="1:29" ht="14.25" customHeight="1" x14ac:dyDescent="0.45">
      <c r="A353" t="s">
        <v>476</v>
      </c>
      <c r="B353" s="10">
        <v>45996</v>
      </c>
      <c r="C353">
        <v>2025</v>
      </c>
      <c r="D353">
        <v>12</v>
      </c>
      <c r="E353" t="s">
        <v>77</v>
      </c>
      <c r="F353" t="s">
        <v>102</v>
      </c>
      <c r="G353" t="s">
        <v>105</v>
      </c>
      <c r="H353" t="s">
        <v>112</v>
      </c>
      <c r="I353" t="s">
        <v>138</v>
      </c>
      <c r="J353" t="s">
        <v>139</v>
      </c>
      <c r="K353" t="s">
        <v>89</v>
      </c>
      <c r="L353" t="s">
        <v>140</v>
      </c>
      <c r="M353" s="11">
        <v>36.590000000000003</v>
      </c>
      <c r="N353" s="11">
        <v>8.82</v>
      </c>
      <c r="O353" s="11">
        <v>4.42</v>
      </c>
      <c r="P353" s="11">
        <v>0.03</v>
      </c>
      <c r="Q353" s="11">
        <v>10.45</v>
      </c>
      <c r="R353" s="11">
        <v>3</v>
      </c>
      <c r="S353" s="11">
        <f t="shared" si="40"/>
        <v>109.77000000000001</v>
      </c>
      <c r="T353" s="11">
        <f t="shared" si="41"/>
        <v>26.46</v>
      </c>
      <c r="U353" s="11">
        <f t="shared" si="42"/>
        <v>13.26</v>
      </c>
      <c r="V353" s="11">
        <f t="shared" si="43"/>
        <v>3.29</v>
      </c>
      <c r="W353" s="11" t="s">
        <v>66</v>
      </c>
      <c r="X353" s="11">
        <v>0</v>
      </c>
      <c r="Y353" s="11">
        <f t="shared" si="44"/>
        <v>53.459999999999994</v>
      </c>
      <c r="Z353" s="11">
        <f t="shared" si="45"/>
        <v>56.310000000000016</v>
      </c>
      <c r="AA353" s="12">
        <f t="shared" si="46"/>
        <v>0.51298168898606189</v>
      </c>
      <c r="AB353" s="13">
        <f t="shared" si="47"/>
        <v>10.504306220095696</v>
      </c>
      <c r="AC353" t="s">
        <v>67</v>
      </c>
    </row>
    <row r="354" spans="1:29" ht="14.25" customHeight="1" x14ac:dyDescent="0.45">
      <c r="A354" t="s">
        <v>477</v>
      </c>
      <c r="B354" s="10">
        <v>45996</v>
      </c>
      <c r="C354">
        <v>2025</v>
      </c>
      <c r="D354">
        <v>12</v>
      </c>
      <c r="E354" t="s">
        <v>77</v>
      </c>
      <c r="F354" t="s">
        <v>102</v>
      </c>
      <c r="G354" t="s">
        <v>71</v>
      </c>
      <c r="H354" t="s">
        <v>112</v>
      </c>
      <c r="I354" t="s">
        <v>62</v>
      </c>
      <c r="J354" t="s">
        <v>63</v>
      </c>
      <c r="K354" t="s">
        <v>64</v>
      </c>
      <c r="L354" t="s">
        <v>65</v>
      </c>
      <c r="M354" s="11">
        <v>34.22</v>
      </c>
      <c r="N354" s="11">
        <v>9.57</v>
      </c>
      <c r="O354" s="11">
        <v>3.77</v>
      </c>
      <c r="P354" s="11">
        <v>0.03</v>
      </c>
      <c r="Q354" s="11">
        <v>0</v>
      </c>
      <c r="R354" s="11">
        <v>2</v>
      </c>
      <c r="S354" s="11">
        <f t="shared" si="40"/>
        <v>68.44</v>
      </c>
      <c r="T354" s="11">
        <f t="shared" si="41"/>
        <v>19.14</v>
      </c>
      <c r="U354" s="11">
        <f t="shared" si="42"/>
        <v>7.54</v>
      </c>
      <c r="V354" s="11">
        <f t="shared" si="43"/>
        <v>2.0499999999999998</v>
      </c>
      <c r="W354" s="11" t="s">
        <v>66</v>
      </c>
      <c r="X354" s="11">
        <v>0</v>
      </c>
      <c r="Y354" s="11">
        <f t="shared" si="44"/>
        <v>28.73</v>
      </c>
      <c r="Z354" s="11">
        <f t="shared" si="45"/>
        <v>39.709999999999994</v>
      </c>
      <c r="AA354" s="12">
        <f t="shared" si="46"/>
        <v>0.58021624780829917</v>
      </c>
      <c r="AB354" s="13">
        <f t="shared" si="47"/>
        <v>0</v>
      </c>
      <c r="AC354" t="s">
        <v>67</v>
      </c>
    </row>
    <row r="355" spans="1:29" ht="14.25" customHeight="1" x14ac:dyDescent="0.45">
      <c r="A355" t="s">
        <v>478</v>
      </c>
      <c r="B355" s="10">
        <v>46001</v>
      </c>
      <c r="C355">
        <v>2025</v>
      </c>
      <c r="D355">
        <v>12</v>
      </c>
      <c r="E355" t="s">
        <v>77</v>
      </c>
      <c r="F355" t="s">
        <v>104</v>
      </c>
      <c r="G355" t="s">
        <v>105</v>
      </c>
      <c r="H355" t="s">
        <v>127</v>
      </c>
      <c r="I355" t="s">
        <v>147</v>
      </c>
      <c r="J355" t="s">
        <v>148</v>
      </c>
      <c r="K355" t="s">
        <v>149</v>
      </c>
      <c r="L355" t="s">
        <v>150</v>
      </c>
      <c r="M355" s="11">
        <v>33.19</v>
      </c>
      <c r="N355" s="11">
        <v>7.18</v>
      </c>
      <c r="O355" s="11">
        <v>4.57</v>
      </c>
      <c r="P355" s="11">
        <v>0.03</v>
      </c>
      <c r="Q355" s="11">
        <v>8.7200000000000006</v>
      </c>
      <c r="R355" s="11">
        <v>1</v>
      </c>
      <c r="S355" s="11">
        <f t="shared" si="40"/>
        <v>33.19</v>
      </c>
      <c r="T355" s="11">
        <f t="shared" si="41"/>
        <v>7.18</v>
      </c>
      <c r="U355" s="11">
        <f t="shared" si="42"/>
        <v>4.57</v>
      </c>
      <c r="V355" s="11">
        <f t="shared" si="43"/>
        <v>1</v>
      </c>
      <c r="W355" s="11" t="s">
        <v>66</v>
      </c>
      <c r="X355" s="11">
        <v>0</v>
      </c>
      <c r="Y355" s="11">
        <f t="shared" si="44"/>
        <v>21.47</v>
      </c>
      <c r="Z355" s="11">
        <f t="shared" si="45"/>
        <v>11.719999999999999</v>
      </c>
      <c r="AA355" s="12">
        <f t="shared" si="46"/>
        <v>0.35311840915938536</v>
      </c>
      <c r="AB355" s="13">
        <f t="shared" si="47"/>
        <v>3.8061926605504581</v>
      </c>
      <c r="AC355" t="s">
        <v>67</v>
      </c>
    </row>
    <row r="356" spans="1:29" ht="14.25" customHeight="1" x14ac:dyDescent="0.45">
      <c r="A356" t="s">
        <v>479</v>
      </c>
      <c r="B356" s="10">
        <v>46005</v>
      </c>
      <c r="C356">
        <v>2025</v>
      </c>
      <c r="D356">
        <v>12</v>
      </c>
      <c r="E356" t="s">
        <v>95</v>
      </c>
      <c r="F356" t="s">
        <v>96</v>
      </c>
      <c r="G356" t="s">
        <v>105</v>
      </c>
      <c r="H356" t="s">
        <v>80</v>
      </c>
      <c r="I356" t="s">
        <v>113</v>
      </c>
      <c r="J356" t="s">
        <v>114</v>
      </c>
      <c r="K356" t="s">
        <v>115</v>
      </c>
      <c r="L356" t="s">
        <v>116</v>
      </c>
      <c r="M356" s="11">
        <v>48.91</v>
      </c>
      <c r="N356" s="11">
        <v>15.24</v>
      </c>
      <c r="O356" s="11">
        <v>5.78</v>
      </c>
      <c r="P356" s="11">
        <v>0.03</v>
      </c>
      <c r="Q356" s="11">
        <v>4.68</v>
      </c>
      <c r="R356" s="11">
        <v>2</v>
      </c>
      <c r="S356" s="11">
        <f t="shared" si="40"/>
        <v>97.82</v>
      </c>
      <c r="T356" s="11">
        <f t="shared" si="41"/>
        <v>30.48</v>
      </c>
      <c r="U356" s="11">
        <f t="shared" si="42"/>
        <v>11.56</v>
      </c>
      <c r="V356" s="11">
        <f t="shared" si="43"/>
        <v>2.93</v>
      </c>
      <c r="W356" s="11" t="s">
        <v>66</v>
      </c>
      <c r="X356" s="11">
        <v>0</v>
      </c>
      <c r="Y356" s="11">
        <f t="shared" si="44"/>
        <v>49.65</v>
      </c>
      <c r="Z356" s="11">
        <f t="shared" si="45"/>
        <v>48.169999999999995</v>
      </c>
      <c r="AA356" s="12">
        <f t="shared" si="46"/>
        <v>0.49243508484972398</v>
      </c>
      <c r="AB356" s="13">
        <f t="shared" si="47"/>
        <v>20.9017094017094</v>
      </c>
      <c r="AC356" t="s">
        <v>67</v>
      </c>
    </row>
    <row r="357" spans="1:29" ht="14.25" customHeight="1" x14ac:dyDescent="0.45">
      <c r="A357" t="s">
        <v>480</v>
      </c>
      <c r="B357" s="10">
        <v>46006</v>
      </c>
      <c r="C357">
        <v>2025</v>
      </c>
      <c r="D357">
        <v>12</v>
      </c>
      <c r="E357" t="s">
        <v>58</v>
      </c>
      <c r="F357" t="s">
        <v>59</v>
      </c>
      <c r="G357" t="s">
        <v>105</v>
      </c>
      <c r="H357" t="s">
        <v>112</v>
      </c>
      <c r="I357" t="s">
        <v>133</v>
      </c>
      <c r="J357" t="s">
        <v>134</v>
      </c>
      <c r="K357" t="s">
        <v>135</v>
      </c>
      <c r="L357" t="s">
        <v>136</v>
      </c>
      <c r="M357" s="11">
        <v>16.16</v>
      </c>
      <c r="N357" s="11">
        <v>1.92</v>
      </c>
      <c r="O357" s="11">
        <v>2.0099999999999998</v>
      </c>
      <c r="P357" s="11">
        <v>0.03</v>
      </c>
      <c r="Q357" s="11">
        <v>7.23</v>
      </c>
      <c r="R357" s="11">
        <v>1</v>
      </c>
      <c r="S357" s="11">
        <f t="shared" si="40"/>
        <v>16.16</v>
      </c>
      <c r="T357" s="11">
        <f t="shared" si="41"/>
        <v>1.92</v>
      </c>
      <c r="U357" s="11">
        <f t="shared" si="42"/>
        <v>2.0099999999999998</v>
      </c>
      <c r="V357" s="11">
        <f t="shared" si="43"/>
        <v>0.48</v>
      </c>
      <c r="W357" s="11" t="s">
        <v>66</v>
      </c>
      <c r="X357" s="11">
        <v>0</v>
      </c>
      <c r="Y357" s="11">
        <f t="shared" si="44"/>
        <v>11.64</v>
      </c>
      <c r="Z357" s="11">
        <f t="shared" si="45"/>
        <v>4.5199999999999996</v>
      </c>
      <c r="AA357" s="12">
        <f t="shared" si="46"/>
        <v>0.27970297029702967</v>
      </c>
      <c r="AB357" s="13">
        <f t="shared" si="47"/>
        <v>2.2351313969571232</v>
      </c>
      <c r="AC357" t="s">
        <v>67</v>
      </c>
    </row>
    <row r="358" spans="1:29" ht="14.25" customHeight="1" x14ac:dyDescent="0.45">
      <c r="A358" t="s">
        <v>481</v>
      </c>
      <c r="B358" s="10">
        <v>46007</v>
      </c>
      <c r="C358">
        <v>2025</v>
      </c>
      <c r="D358">
        <v>12</v>
      </c>
      <c r="E358" t="s">
        <v>77</v>
      </c>
      <c r="F358" t="s">
        <v>104</v>
      </c>
      <c r="G358" t="s">
        <v>126</v>
      </c>
      <c r="H358" t="s">
        <v>61</v>
      </c>
      <c r="I358" t="s">
        <v>87</v>
      </c>
      <c r="J358" t="s">
        <v>88</v>
      </c>
      <c r="K358" t="s">
        <v>89</v>
      </c>
      <c r="L358" t="s">
        <v>90</v>
      </c>
      <c r="M358" s="11">
        <v>61.04</v>
      </c>
      <c r="N358" s="11">
        <v>22.85</v>
      </c>
      <c r="O358" s="11">
        <v>6.98</v>
      </c>
      <c r="P358" s="11">
        <v>0.03</v>
      </c>
      <c r="Q358" s="11">
        <v>8.9</v>
      </c>
      <c r="R358" s="11">
        <v>3</v>
      </c>
      <c r="S358" s="11">
        <f t="shared" si="40"/>
        <v>183.12</v>
      </c>
      <c r="T358" s="11">
        <f t="shared" si="41"/>
        <v>68.550000000000011</v>
      </c>
      <c r="U358" s="11">
        <f t="shared" si="42"/>
        <v>20.94</v>
      </c>
      <c r="V358" s="11">
        <f t="shared" si="43"/>
        <v>5.49</v>
      </c>
      <c r="W358" s="11" t="s">
        <v>66</v>
      </c>
      <c r="X358" s="11">
        <v>0</v>
      </c>
      <c r="Y358" s="11">
        <f t="shared" si="44"/>
        <v>103.88000000000001</v>
      </c>
      <c r="Z358" s="11">
        <f t="shared" si="45"/>
        <v>79.239999999999995</v>
      </c>
      <c r="AA358" s="12">
        <f t="shared" si="46"/>
        <v>0.43272171253822628</v>
      </c>
      <c r="AB358" s="13">
        <f t="shared" si="47"/>
        <v>20.575280898876404</v>
      </c>
      <c r="AC358" t="s">
        <v>67</v>
      </c>
    </row>
    <row r="359" spans="1:29" ht="14.25" customHeight="1" x14ac:dyDescent="0.45">
      <c r="A359" t="s">
        <v>482</v>
      </c>
      <c r="B359" s="10">
        <v>46008</v>
      </c>
      <c r="C359">
        <v>2025</v>
      </c>
      <c r="D359">
        <v>12</v>
      </c>
      <c r="E359" t="s">
        <v>77</v>
      </c>
      <c r="F359" t="s">
        <v>78</v>
      </c>
      <c r="G359" t="s">
        <v>105</v>
      </c>
      <c r="H359" t="s">
        <v>61</v>
      </c>
      <c r="I359" t="s">
        <v>107</v>
      </c>
      <c r="J359" t="s">
        <v>108</v>
      </c>
      <c r="K359" t="s">
        <v>109</v>
      </c>
      <c r="L359" t="s">
        <v>110</v>
      </c>
      <c r="M359" s="11">
        <v>19.12</v>
      </c>
      <c r="N359" s="11">
        <v>3.41</v>
      </c>
      <c r="O359" s="11">
        <v>2.2799999999999998</v>
      </c>
      <c r="P359" s="11">
        <v>0.03</v>
      </c>
      <c r="Q359" s="11">
        <v>9.56</v>
      </c>
      <c r="R359" s="11">
        <v>2</v>
      </c>
      <c r="S359" s="11">
        <f t="shared" si="40"/>
        <v>38.24</v>
      </c>
      <c r="T359" s="11">
        <f t="shared" si="41"/>
        <v>6.82</v>
      </c>
      <c r="U359" s="11">
        <f t="shared" si="42"/>
        <v>4.5599999999999996</v>
      </c>
      <c r="V359" s="11">
        <f t="shared" si="43"/>
        <v>1.1499999999999999</v>
      </c>
      <c r="W359" s="11" t="s">
        <v>66</v>
      </c>
      <c r="X359" s="11">
        <v>0</v>
      </c>
      <c r="Y359" s="11">
        <f t="shared" si="44"/>
        <v>22.09</v>
      </c>
      <c r="Z359" s="11">
        <f t="shared" si="45"/>
        <v>16.150000000000002</v>
      </c>
      <c r="AA359" s="12">
        <f t="shared" si="46"/>
        <v>0.42233263598326365</v>
      </c>
      <c r="AB359" s="13">
        <f t="shared" si="47"/>
        <v>4</v>
      </c>
      <c r="AC359" t="s">
        <v>67</v>
      </c>
    </row>
    <row r="360" spans="1:29" ht="14.25" customHeight="1" x14ac:dyDescent="0.45">
      <c r="A360" t="s">
        <v>483</v>
      </c>
      <c r="B360" s="10">
        <v>46011</v>
      </c>
      <c r="C360">
        <v>2025</v>
      </c>
      <c r="D360">
        <v>12</v>
      </c>
      <c r="E360" t="s">
        <v>95</v>
      </c>
      <c r="F360" t="s">
        <v>96</v>
      </c>
      <c r="G360" t="s">
        <v>71</v>
      </c>
      <c r="H360" t="s">
        <v>61</v>
      </c>
      <c r="I360" t="s">
        <v>72</v>
      </c>
      <c r="J360" t="s">
        <v>73</v>
      </c>
      <c r="K360" t="s">
        <v>74</v>
      </c>
      <c r="L360" t="s">
        <v>75</v>
      </c>
      <c r="M360" s="11">
        <v>48.35</v>
      </c>
      <c r="N360" s="11">
        <v>15.06</v>
      </c>
      <c r="O360" s="11">
        <v>7.46</v>
      </c>
      <c r="P360" s="11">
        <v>0.03</v>
      </c>
      <c r="Q360" s="11">
        <v>0</v>
      </c>
      <c r="R360" s="11">
        <v>3</v>
      </c>
      <c r="S360" s="11">
        <f t="shared" si="40"/>
        <v>145.05000000000001</v>
      </c>
      <c r="T360" s="11">
        <f t="shared" si="41"/>
        <v>45.18</v>
      </c>
      <c r="U360" s="11">
        <f t="shared" si="42"/>
        <v>22.38</v>
      </c>
      <c r="V360" s="11">
        <f t="shared" si="43"/>
        <v>4.3499999999999996</v>
      </c>
      <c r="W360" s="11" t="s">
        <v>66</v>
      </c>
      <c r="X360" s="11">
        <v>0</v>
      </c>
      <c r="Y360" s="11">
        <f t="shared" si="44"/>
        <v>71.91</v>
      </c>
      <c r="Z360" s="11">
        <f t="shared" si="45"/>
        <v>73.140000000000015</v>
      </c>
      <c r="AA360" s="12">
        <f t="shared" si="46"/>
        <v>0.50423991726990702</v>
      </c>
      <c r="AB360" s="13">
        <f t="shared" si="47"/>
        <v>0</v>
      </c>
      <c r="AC360" t="s">
        <v>67</v>
      </c>
    </row>
    <row r="361" spans="1:29" ht="14.25" customHeight="1" x14ac:dyDescent="0.45">
      <c r="A361" t="s">
        <v>484</v>
      </c>
      <c r="B361" s="10">
        <v>46011</v>
      </c>
      <c r="C361">
        <v>2025</v>
      </c>
      <c r="D361">
        <v>12</v>
      </c>
      <c r="E361" t="s">
        <v>95</v>
      </c>
      <c r="F361" t="s">
        <v>96</v>
      </c>
      <c r="G361" t="s">
        <v>126</v>
      </c>
      <c r="H361" t="s">
        <v>80</v>
      </c>
      <c r="I361" t="s">
        <v>72</v>
      </c>
      <c r="J361" t="s">
        <v>73</v>
      </c>
      <c r="K361" t="s">
        <v>74</v>
      </c>
      <c r="L361" t="s">
        <v>75</v>
      </c>
      <c r="M361" s="11">
        <v>42.68</v>
      </c>
      <c r="N361" s="11">
        <v>13.9</v>
      </c>
      <c r="O361" s="11">
        <v>6.11</v>
      </c>
      <c r="P361" s="11">
        <v>0.03</v>
      </c>
      <c r="Q361" s="11">
        <v>18.77</v>
      </c>
      <c r="R361" s="11">
        <v>2</v>
      </c>
      <c r="S361" s="11">
        <f t="shared" si="40"/>
        <v>85.36</v>
      </c>
      <c r="T361" s="11">
        <f t="shared" si="41"/>
        <v>27.8</v>
      </c>
      <c r="U361" s="11">
        <f t="shared" si="42"/>
        <v>12.22</v>
      </c>
      <c r="V361" s="11">
        <f t="shared" si="43"/>
        <v>2.56</v>
      </c>
      <c r="W361" s="11" t="s">
        <v>66</v>
      </c>
      <c r="X361" s="11">
        <v>0</v>
      </c>
      <c r="Y361" s="11">
        <f t="shared" si="44"/>
        <v>61.350000000000009</v>
      </c>
      <c r="Z361" s="11">
        <f t="shared" si="45"/>
        <v>24.009999999999991</v>
      </c>
      <c r="AA361" s="12">
        <f t="shared" si="46"/>
        <v>0.28127928772258659</v>
      </c>
      <c r="AB361" s="13">
        <f t="shared" si="47"/>
        <v>4.5476824720298348</v>
      </c>
      <c r="AC361" t="s">
        <v>67</v>
      </c>
    </row>
    <row r="362" spans="1:29" ht="14.25" customHeight="1" x14ac:dyDescent="0.45">
      <c r="A362" t="s">
        <v>485</v>
      </c>
      <c r="B362" s="10">
        <v>46013</v>
      </c>
      <c r="C362">
        <v>2025</v>
      </c>
      <c r="D362">
        <v>12</v>
      </c>
      <c r="E362" t="s">
        <v>69</v>
      </c>
      <c r="F362" t="s">
        <v>70</v>
      </c>
      <c r="G362" t="s">
        <v>71</v>
      </c>
      <c r="H362" t="s">
        <v>127</v>
      </c>
      <c r="I362" t="s">
        <v>62</v>
      </c>
      <c r="J362" t="s">
        <v>63</v>
      </c>
      <c r="K362" t="s">
        <v>64</v>
      </c>
      <c r="L362" t="s">
        <v>65</v>
      </c>
      <c r="M362" s="11">
        <v>33.950000000000003</v>
      </c>
      <c r="N362" s="11">
        <v>10.23</v>
      </c>
      <c r="O362" s="11">
        <v>4.47</v>
      </c>
      <c r="P362" s="11">
        <v>0.03</v>
      </c>
      <c r="Q362" s="11">
        <v>0</v>
      </c>
      <c r="R362" s="11">
        <v>1</v>
      </c>
      <c r="S362" s="11">
        <f t="shared" si="40"/>
        <v>33.950000000000003</v>
      </c>
      <c r="T362" s="11">
        <f t="shared" si="41"/>
        <v>10.23</v>
      </c>
      <c r="U362" s="11">
        <f t="shared" si="42"/>
        <v>4.47</v>
      </c>
      <c r="V362" s="11">
        <f t="shared" si="43"/>
        <v>1.02</v>
      </c>
      <c r="W362" s="11" t="s">
        <v>66</v>
      </c>
      <c r="X362" s="11">
        <v>0</v>
      </c>
      <c r="Y362" s="11">
        <f t="shared" si="44"/>
        <v>15.719999999999999</v>
      </c>
      <c r="Z362" s="11">
        <f t="shared" si="45"/>
        <v>18.230000000000004</v>
      </c>
      <c r="AA362" s="12">
        <f t="shared" si="46"/>
        <v>0.5369661266568484</v>
      </c>
      <c r="AB362" s="13">
        <f t="shared" si="47"/>
        <v>0</v>
      </c>
      <c r="AC362" t="s">
        <v>67</v>
      </c>
    </row>
    <row r="363" spans="1:29" ht="14.25" customHeight="1" x14ac:dyDescent="0.45">
      <c r="A363" t="s">
        <v>486</v>
      </c>
      <c r="B363" s="10">
        <v>46013</v>
      </c>
      <c r="C363">
        <v>2025</v>
      </c>
      <c r="D363">
        <v>12</v>
      </c>
      <c r="E363" t="s">
        <v>122</v>
      </c>
      <c r="F363" t="s">
        <v>123</v>
      </c>
      <c r="G363" t="s">
        <v>93</v>
      </c>
      <c r="H363" t="s">
        <v>127</v>
      </c>
      <c r="I363" t="s">
        <v>81</v>
      </c>
      <c r="J363" t="s">
        <v>82</v>
      </c>
      <c r="K363" t="s">
        <v>83</v>
      </c>
      <c r="L363" t="s">
        <v>84</v>
      </c>
      <c r="M363" s="11">
        <v>27.65</v>
      </c>
      <c r="N363" s="11">
        <v>6.42</v>
      </c>
      <c r="O363" s="11">
        <v>3.74</v>
      </c>
      <c r="P363" s="11">
        <v>0.03</v>
      </c>
      <c r="Q363" s="11">
        <v>4.2699999999999996</v>
      </c>
      <c r="R363" s="11">
        <v>1</v>
      </c>
      <c r="S363" s="11">
        <f t="shared" si="40"/>
        <v>27.65</v>
      </c>
      <c r="T363" s="11">
        <f t="shared" si="41"/>
        <v>6.42</v>
      </c>
      <c r="U363" s="11">
        <f t="shared" si="42"/>
        <v>3.74</v>
      </c>
      <c r="V363" s="11">
        <f t="shared" si="43"/>
        <v>0.83</v>
      </c>
      <c r="W363" s="11" t="s">
        <v>66</v>
      </c>
      <c r="X363" s="11">
        <v>0</v>
      </c>
      <c r="Y363" s="11">
        <f t="shared" si="44"/>
        <v>15.26</v>
      </c>
      <c r="Z363" s="11">
        <f t="shared" si="45"/>
        <v>12.389999999999999</v>
      </c>
      <c r="AA363" s="12">
        <f t="shared" si="46"/>
        <v>0.44810126582278481</v>
      </c>
      <c r="AB363" s="13">
        <f t="shared" si="47"/>
        <v>6.4754098360655741</v>
      </c>
      <c r="AC363" t="s">
        <v>67</v>
      </c>
    </row>
    <row r="364" spans="1:29" ht="14.25" customHeight="1" x14ac:dyDescent="0.45">
      <c r="A364" t="s">
        <v>487</v>
      </c>
      <c r="B364" s="10">
        <v>46014</v>
      </c>
      <c r="C364">
        <v>2025</v>
      </c>
      <c r="D364">
        <v>12</v>
      </c>
      <c r="E364" t="s">
        <v>77</v>
      </c>
      <c r="F364" t="s">
        <v>104</v>
      </c>
      <c r="G364" t="s">
        <v>105</v>
      </c>
      <c r="H364" t="s">
        <v>112</v>
      </c>
      <c r="I364" t="s">
        <v>133</v>
      </c>
      <c r="J364" t="s">
        <v>134</v>
      </c>
      <c r="K364" t="s">
        <v>135</v>
      </c>
      <c r="L364" t="s">
        <v>136</v>
      </c>
      <c r="M364" s="11">
        <v>15.71</v>
      </c>
      <c r="N364" s="11">
        <v>1.98</v>
      </c>
      <c r="O364" s="11">
        <v>2.09</v>
      </c>
      <c r="P364" s="11">
        <v>0.03</v>
      </c>
      <c r="Q364" s="11">
        <v>10.3</v>
      </c>
      <c r="R364" s="11">
        <v>2</v>
      </c>
      <c r="S364" s="11">
        <f t="shared" si="40"/>
        <v>31.42</v>
      </c>
      <c r="T364" s="11">
        <f t="shared" si="41"/>
        <v>3.96</v>
      </c>
      <c r="U364" s="11">
        <f t="shared" si="42"/>
        <v>4.18</v>
      </c>
      <c r="V364" s="11">
        <f t="shared" si="43"/>
        <v>0.94</v>
      </c>
      <c r="W364" s="11" t="s">
        <v>66</v>
      </c>
      <c r="X364" s="11">
        <v>0</v>
      </c>
      <c r="Y364" s="11">
        <f t="shared" si="44"/>
        <v>19.380000000000003</v>
      </c>
      <c r="Z364" s="11">
        <f t="shared" si="45"/>
        <v>12.04</v>
      </c>
      <c r="AA364" s="12">
        <f t="shared" si="46"/>
        <v>0.38319541693189046</v>
      </c>
      <c r="AB364" s="13">
        <f t="shared" si="47"/>
        <v>3.0504854368932039</v>
      </c>
      <c r="AC364" t="s">
        <v>67</v>
      </c>
    </row>
    <row r="365" spans="1:29" ht="14.25" customHeight="1" x14ac:dyDescent="0.45">
      <c r="A365" t="s">
        <v>488</v>
      </c>
      <c r="B365" s="10">
        <v>46016</v>
      </c>
      <c r="C365">
        <v>2025</v>
      </c>
      <c r="D365">
        <v>12</v>
      </c>
      <c r="E365" t="s">
        <v>122</v>
      </c>
      <c r="F365" t="s">
        <v>123</v>
      </c>
      <c r="G365" t="s">
        <v>105</v>
      </c>
      <c r="H365" t="s">
        <v>80</v>
      </c>
      <c r="I365" t="s">
        <v>147</v>
      </c>
      <c r="J365" t="s">
        <v>148</v>
      </c>
      <c r="K365" t="s">
        <v>149</v>
      </c>
      <c r="L365" t="s">
        <v>150</v>
      </c>
      <c r="M365" s="11">
        <v>32.61</v>
      </c>
      <c r="N365" s="11">
        <v>6.98</v>
      </c>
      <c r="O365" s="11">
        <v>4.99</v>
      </c>
      <c r="P365" s="11">
        <v>0.03</v>
      </c>
      <c r="Q365" s="11">
        <v>4.4800000000000004</v>
      </c>
      <c r="R365" s="11">
        <v>2</v>
      </c>
      <c r="S365" s="11">
        <f t="shared" si="40"/>
        <v>65.22</v>
      </c>
      <c r="T365" s="11">
        <f t="shared" si="41"/>
        <v>13.96</v>
      </c>
      <c r="U365" s="11">
        <f t="shared" si="42"/>
        <v>9.98</v>
      </c>
      <c r="V365" s="11">
        <f t="shared" si="43"/>
        <v>1.96</v>
      </c>
      <c r="W365" s="11" t="s">
        <v>66</v>
      </c>
      <c r="X365" s="11">
        <v>0</v>
      </c>
      <c r="Y365" s="11">
        <f t="shared" si="44"/>
        <v>30.380000000000003</v>
      </c>
      <c r="Z365" s="11">
        <f t="shared" si="45"/>
        <v>34.839999999999996</v>
      </c>
      <c r="AA365" s="12">
        <f t="shared" si="46"/>
        <v>0.53419196565470706</v>
      </c>
      <c r="AB365" s="13">
        <f t="shared" si="47"/>
        <v>14.558035714285714</v>
      </c>
      <c r="AC365" t="s">
        <v>67</v>
      </c>
    </row>
    <row r="366" spans="1:29" ht="14.25" customHeight="1" x14ac:dyDescent="0.45">
      <c r="A366" t="s">
        <v>489</v>
      </c>
      <c r="B366" s="10">
        <v>46017</v>
      </c>
      <c r="C366">
        <v>2025</v>
      </c>
      <c r="D366">
        <v>12</v>
      </c>
      <c r="E366" t="s">
        <v>95</v>
      </c>
      <c r="F366" t="s">
        <v>96</v>
      </c>
      <c r="G366" t="s">
        <v>126</v>
      </c>
      <c r="H366" t="s">
        <v>86</v>
      </c>
      <c r="I366" t="s">
        <v>133</v>
      </c>
      <c r="J366" t="s">
        <v>134</v>
      </c>
      <c r="K366" t="s">
        <v>135</v>
      </c>
      <c r="L366" t="s">
        <v>136</v>
      </c>
      <c r="M366" s="11">
        <v>14.32</v>
      </c>
      <c r="N366" s="11">
        <v>1.94</v>
      </c>
      <c r="O366" s="11">
        <v>1.97</v>
      </c>
      <c r="P366" s="11">
        <v>0.03</v>
      </c>
      <c r="Q366" s="11">
        <v>10.06</v>
      </c>
      <c r="R366" s="11">
        <v>2</v>
      </c>
      <c r="S366" s="11">
        <f t="shared" si="40"/>
        <v>28.64</v>
      </c>
      <c r="T366" s="11">
        <f t="shared" si="41"/>
        <v>3.88</v>
      </c>
      <c r="U366" s="11">
        <f t="shared" si="42"/>
        <v>3.94</v>
      </c>
      <c r="V366" s="11">
        <f t="shared" si="43"/>
        <v>0.86</v>
      </c>
      <c r="W366" s="11" t="s">
        <v>66</v>
      </c>
      <c r="X366" s="11">
        <v>0</v>
      </c>
      <c r="Y366" s="11">
        <f t="shared" si="44"/>
        <v>18.740000000000002</v>
      </c>
      <c r="Z366" s="11">
        <f t="shared" si="45"/>
        <v>9.8999999999999986</v>
      </c>
      <c r="AA366" s="12">
        <f t="shared" si="46"/>
        <v>0.34567039106145248</v>
      </c>
      <c r="AB366" s="13">
        <f t="shared" si="47"/>
        <v>2.8469184890656063</v>
      </c>
      <c r="AC366" t="s">
        <v>67</v>
      </c>
    </row>
    <row r="367" spans="1:29" ht="14.25" customHeight="1" x14ac:dyDescent="0.45">
      <c r="A367" t="s">
        <v>490</v>
      </c>
      <c r="B367" s="10">
        <v>46017</v>
      </c>
      <c r="C367">
        <v>2025</v>
      </c>
      <c r="D367">
        <v>12</v>
      </c>
      <c r="E367" t="s">
        <v>77</v>
      </c>
      <c r="F367" t="s">
        <v>104</v>
      </c>
      <c r="G367" t="s">
        <v>126</v>
      </c>
      <c r="H367" t="s">
        <v>86</v>
      </c>
      <c r="I367" t="s">
        <v>81</v>
      </c>
      <c r="J367" t="s">
        <v>82</v>
      </c>
      <c r="K367" t="s">
        <v>83</v>
      </c>
      <c r="L367" t="s">
        <v>84</v>
      </c>
      <c r="M367" s="11">
        <v>24.19</v>
      </c>
      <c r="N367" s="11">
        <v>6.39</v>
      </c>
      <c r="O367" s="11">
        <v>4</v>
      </c>
      <c r="P367" s="11">
        <v>0.03</v>
      </c>
      <c r="Q367" s="11">
        <v>17.36</v>
      </c>
      <c r="R367" s="11">
        <v>2</v>
      </c>
      <c r="S367" s="11">
        <f t="shared" si="40"/>
        <v>48.38</v>
      </c>
      <c r="T367" s="11">
        <f t="shared" si="41"/>
        <v>12.78</v>
      </c>
      <c r="U367" s="11">
        <f t="shared" si="42"/>
        <v>8</v>
      </c>
      <c r="V367" s="11">
        <f t="shared" si="43"/>
        <v>1.45</v>
      </c>
      <c r="W367" s="11" t="s">
        <v>154</v>
      </c>
      <c r="X367" s="11">
        <v>25.25</v>
      </c>
      <c r="Y367" s="11">
        <f t="shared" si="44"/>
        <v>64.84</v>
      </c>
      <c r="Z367" s="11">
        <f t="shared" si="45"/>
        <v>-16.46</v>
      </c>
      <c r="AA367" s="12">
        <f t="shared" si="46"/>
        <v>-0.34022323274080196</v>
      </c>
      <c r="AB367" s="13">
        <f t="shared" si="47"/>
        <v>2.7868663594470049</v>
      </c>
      <c r="AC367" t="s">
        <v>155</v>
      </c>
    </row>
    <row r="368" spans="1:29" ht="14.25" customHeight="1" x14ac:dyDescent="0.45">
      <c r="A368" t="s">
        <v>491</v>
      </c>
      <c r="B368" s="10">
        <v>46017</v>
      </c>
      <c r="C368">
        <v>2025</v>
      </c>
      <c r="D368">
        <v>12</v>
      </c>
      <c r="E368" t="s">
        <v>69</v>
      </c>
      <c r="F368" t="s">
        <v>70</v>
      </c>
      <c r="G368" t="s">
        <v>126</v>
      </c>
      <c r="H368" t="s">
        <v>80</v>
      </c>
      <c r="I368" t="s">
        <v>87</v>
      </c>
      <c r="J368" t="s">
        <v>88</v>
      </c>
      <c r="K368" t="s">
        <v>89</v>
      </c>
      <c r="L368" t="s">
        <v>90</v>
      </c>
      <c r="M368" s="11">
        <v>65.36</v>
      </c>
      <c r="N368" s="11">
        <v>21.03</v>
      </c>
      <c r="O368" s="11">
        <v>7.1</v>
      </c>
      <c r="P368" s="11">
        <v>0.03</v>
      </c>
      <c r="Q368" s="11">
        <v>16.170000000000002</v>
      </c>
      <c r="R368" s="11">
        <v>2</v>
      </c>
      <c r="S368" s="11">
        <f t="shared" si="40"/>
        <v>130.72</v>
      </c>
      <c r="T368" s="11">
        <f t="shared" si="41"/>
        <v>42.06</v>
      </c>
      <c r="U368" s="11">
        <f t="shared" si="42"/>
        <v>14.2</v>
      </c>
      <c r="V368" s="11">
        <f t="shared" si="43"/>
        <v>3.92</v>
      </c>
      <c r="W368" s="11" t="s">
        <v>66</v>
      </c>
      <c r="X368" s="11">
        <v>0</v>
      </c>
      <c r="Y368" s="11">
        <f t="shared" si="44"/>
        <v>76.350000000000009</v>
      </c>
      <c r="Z368" s="11">
        <f t="shared" si="45"/>
        <v>54.36999999999999</v>
      </c>
      <c r="AA368" s="12">
        <f t="shared" si="46"/>
        <v>0.41592717258261924</v>
      </c>
      <c r="AB368" s="13">
        <f t="shared" si="47"/>
        <v>8.0841063698206543</v>
      </c>
      <c r="AC368" t="s">
        <v>67</v>
      </c>
    </row>
    <row r="369" spans="1:29" ht="14.25" customHeight="1" x14ac:dyDescent="0.45">
      <c r="A369" t="s">
        <v>492</v>
      </c>
      <c r="B369" s="10">
        <v>46017</v>
      </c>
      <c r="C369">
        <v>2025</v>
      </c>
      <c r="D369">
        <v>12</v>
      </c>
      <c r="E369" t="s">
        <v>58</v>
      </c>
      <c r="F369" t="s">
        <v>92</v>
      </c>
      <c r="G369" t="s">
        <v>79</v>
      </c>
      <c r="H369" t="s">
        <v>80</v>
      </c>
      <c r="I369" t="s">
        <v>87</v>
      </c>
      <c r="J369" t="s">
        <v>88</v>
      </c>
      <c r="K369" t="s">
        <v>89</v>
      </c>
      <c r="L369" t="s">
        <v>90</v>
      </c>
      <c r="M369" s="11">
        <v>55.57</v>
      </c>
      <c r="N369" s="11">
        <v>22.16</v>
      </c>
      <c r="O369" s="11">
        <v>7.63</v>
      </c>
      <c r="P369" s="11">
        <v>0.03</v>
      </c>
      <c r="Q369" s="11">
        <v>7.65</v>
      </c>
      <c r="R369" s="11">
        <v>2</v>
      </c>
      <c r="S369" s="11">
        <f t="shared" si="40"/>
        <v>111.14</v>
      </c>
      <c r="T369" s="11">
        <f t="shared" si="41"/>
        <v>44.32</v>
      </c>
      <c r="U369" s="11">
        <f t="shared" si="42"/>
        <v>15.26</v>
      </c>
      <c r="V369" s="11">
        <f t="shared" si="43"/>
        <v>3.33</v>
      </c>
      <c r="W369" s="11" t="s">
        <v>66</v>
      </c>
      <c r="X369" s="11">
        <v>0</v>
      </c>
      <c r="Y369" s="11">
        <f t="shared" si="44"/>
        <v>70.56</v>
      </c>
      <c r="Z369" s="11">
        <f t="shared" si="45"/>
        <v>40.58</v>
      </c>
      <c r="AA369" s="12">
        <f t="shared" si="46"/>
        <v>0.36512506748245455</v>
      </c>
      <c r="AB369" s="13">
        <f t="shared" si="47"/>
        <v>14.528104575163399</v>
      </c>
      <c r="AC369" t="s">
        <v>67</v>
      </c>
    </row>
    <row r="370" spans="1:29" ht="14.25" customHeight="1" x14ac:dyDescent="0.45">
      <c r="A370" t="s">
        <v>493</v>
      </c>
      <c r="B370" s="10">
        <v>46019</v>
      </c>
      <c r="C370">
        <v>2025</v>
      </c>
      <c r="D370">
        <v>12</v>
      </c>
      <c r="E370" t="s">
        <v>69</v>
      </c>
      <c r="F370" t="s">
        <v>70</v>
      </c>
      <c r="G370" t="s">
        <v>126</v>
      </c>
      <c r="H370" t="s">
        <v>80</v>
      </c>
      <c r="I370" t="s">
        <v>113</v>
      </c>
      <c r="J370" t="s">
        <v>114</v>
      </c>
      <c r="K370" t="s">
        <v>115</v>
      </c>
      <c r="L370" t="s">
        <v>116</v>
      </c>
      <c r="M370" s="11">
        <v>46.68</v>
      </c>
      <c r="N370" s="11">
        <v>17.260000000000002</v>
      </c>
      <c r="O370" s="11">
        <v>6.21</v>
      </c>
      <c r="P370" s="11">
        <v>0.03</v>
      </c>
      <c r="Q370" s="11">
        <v>19.11</v>
      </c>
      <c r="R370" s="11">
        <v>2</v>
      </c>
      <c r="S370" s="11">
        <f t="shared" si="40"/>
        <v>93.36</v>
      </c>
      <c r="T370" s="11">
        <f t="shared" si="41"/>
        <v>34.520000000000003</v>
      </c>
      <c r="U370" s="11">
        <f t="shared" si="42"/>
        <v>12.42</v>
      </c>
      <c r="V370" s="11">
        <f t="shared" si="43"/>
        <v>2.8</v>
      </c>
      <c r="W370" s="11" t="s">
        <v>66</v>
      </c>
      <c r="X370" s="11">
        <v>0</v>
      </c>
      <c r="Y370" s="11">
        <f t="shared" si="44"/>
        <v>68.849999999999994</v>
      </c>
      <c r="Z370" s="11">
        <f t="shared" si="45"/>
        <v>24.510000000000005</v>
      </c>
      <c r="AA370" s="12">
        <f t="shared" si="46"/>
        <v>0.26253213367609263</v>
      </c>
      <c r="AB370" s="13">
        <f t="shared" si="47"/>
        <v>4.8854003139717426</v>
      </c>
      <c r="AC370" t="s">
        <v>67</v>
      </c>
    </row>
    <row r="371" spans="1:29" ht="14.25" customHeight="1" x14ac:dyDescent="0.45">
      <c r="A371" t="s">
        <v>494</v>
      </c>
      <c r="B371" s="10">
        <v>46021</v>
      </c>
      <c r="C371">
        <v>2025</v>
      </c>
      <c r="D371">
        <v>12</v>
      </c>
      <c r="E371" t="s">
        <v>95</v>
      </c>
      <c r="F371" t="s">
        <v>96</v>
      </c>
      <c r="G371" t="s">
        <v>105</v>
      </c>
      <c r="H371" t="s">
        <v>112</v>
      </c>
      <c r="I371" t="s">
        <v>72</v>
      </c>
      <c r="J371" t="s">
        <v>73</v>
      </c>
      <c r="K371" t="s">
        <v>74</v>
      </c>
      <c r="L371" t="s">
        <v>75</v>
      </c>
      <c r="M371" s="11">
        <v>42.67</v>
      </c>
      <c r="N371" s="11">
        <v>13.96</v>
      </c>
      <c r="O371" s="11">
        <v>6.05</v>
      </c>
      <c r="P371" s="11">
        <v>0.03</v>
      </c>
      <c r="Q371" s="11">
        <v>3.95</v>
      </c>
      <c r="R371" s="11">
        <v>1</v>
      </c>
      <c r="S371" s="11">
        <f t="shared" si="40"/>
        <v>42.67</v>
      </c>
      <c r="T371" s="11">
        <f t="shared" si="41"/>
        <v>13.96</v>
      </c>
      <c r="U371" s="11">
        <f t="shared" si="42"/>
        <v>6.05</v>
      </c>
      <c r="V371" s="11">
        <f t="shared" si="43"/>
        <v>1.28</v>
      </c>
      <c r="W371" s="11" t="s">
        <v>66</v>
      </c>
      <c r="X371" s="11">
        <v>0</v>
      </c>
      <c r="Y371" s="11">
        <f t="shared" si="44"/>
        <v>25.240000000000002</v>
      </c>
      <c r="Z371" s="11">
        <f t="shared" si="45"/>
        <v>17.43</v>
      </c>
      <c r="AA371" s="12">
        <f t="shared" si="46"/>
        <v>0.40848371220998358</v>
      </c>
      <c r="AB371" s="13">
        <f t="shared" si="47"/>
        <v>10.802531645569621</v>
      </c>
      <c r="AC371" t="s">
        <v>67</v>
      </c>
    </row>
    <row r="372" spans="1:29" ht="14.25" customHeight="1" x14ac:dyDescent="0.45">
      <c r="A372" t="s">
        <v>495</v>
      </c>
      <c r="B372" s="10">
        <v>46022</v>
      </c>
      <c r="C372">
        <v>2025</v>
      </c>
      <c r="D372">
        <v>12</v>
      </c>
      <c r="E372" t="s">
        <v>77</v>
      </c>
      <c r="F372" t="s">
        <v>78</v>
      </c>
      <c r="G372" t="s">
        <v>93</v>
      </c>
      <c r="H372" t="s">
        <v>80</v>
      </c>
      <c r="I372" t="s">
        <v>97</v>
      </c>
      <c r="J372" t="s">
        <v>98</v>
      </c>
      <c r="K372" t="s">
        <v>99</v>
      </c>
      <c r="L372" t="s">
        <v>100</v>
      </c>
      <c r="M372" s="11">
        <v>37.81</v>
      </c>
      <c r="N372" s="11">
        <v>9.49</v>
      </c>
      <c r="O372" s="11">
        <v>3.87</v>
      </c>
      <c r="P372" s="11">
        <v>0.03</v>
      </c>
      <c r="Q372" s="11">
        <v>13.56</v>
      </c>
      <c r="R372" s="11">
        <v>2</v>
      </c>
      <c r="S372" s="11">
        <f t="shared" si="40"/>
        <v>75.62</v>
      </c>
      <c r="T372" s="11">
        <f t="shared" si="41"/>
        <v>18.98</v>
      </c>
      <c r="U372" s="11">
        <f t="shared" si="42"/>
        <v>7.74</v>
      </c>
      <c r="V372" s="11">
        <f t="shared" si="43"/>
        <v>2.27</v>
      </c>
      <c r="W372" s="11" t="s">
        <v>66</v>
      </c>
      <c r="X372" s="11">
        <v>0</v>
      </c>
      <c r="Y372" s="11">
        <f t="shared" si="44"/>
        <v>42.55</v>
      </c>
      <c r="Z372" s="11">
        <f t="shared" si="45"/>
        <v>33.070000000000007</v>
      </c>
      <c r="AA372" s="12">
        <f t="shared" si="46"/>
        <v>0.43731816979635024</v>
      </c>
      <c r="AB372" s="13">
        <f t="shared" si="47"/>
        <v>5.5766961651917404</v>
      </c>
      <c r="AC372" t="s">
        <v>67</v>
      </c>
    </row>
    <row r="373" spans="1:29" ht="14.25" customHeight="1" x14ac:dyDescent="0.45">
      <c r="A373" t="s">
        <v>496</v>
      </c>
      <c r="B373" s="10">
        <v>46022</v>
      </c>
      <c r="C373">
        <v>2025</v>
      </c>
      <c r="D373">
        <v>12</v>
      </c>
      <c r="E373" t="s">
        <v>58</v>
      </c>
      <c r="F373" t="s">
        <v>59</v>
      </c>
      <c r="G373" t="s">
        <v>126</v>
      </c>
      <c r="H373" t="s">
        <v>112</v>
      </c>
      <c r="I373" t="s">
        <v>138</v>
      </c>
      <c r="J373" t="s">
        <v>139</v>
      </c>
      <c r="K373" t="s">
        <v>89</v>
      </c>
      <c r="L373" t="s">
        <v>140</v>
      </c>
      <c r="M373" s="11">
        <v>43.69</v>
      </c>
      <c r="N373" s="11">
        <v>9.0500000000000007</v>
      </c>
      <c r="O373" s="11">
        <v>4.04</v>
      </c>
      <c r="P373" s="11">
        <v>0.03</v>
      </c>
      <c r="Q373" s="11">
        <v>6.67</v>
      </c>
      <c r="R373" s="11">
        <v>1</v>
      </c>
      <c r="S373" s="11">
        <f t="shared" si="40"/>
        <v>43.69</v>
      </c>
      <c r="T373" s="11">
        <f t="shared" si="41"/>
        <v>9.0500000000000007</v>
      </c>
      <c r="U373" s="11">
        <f t="shared" si="42"/>
        <v>4.04</v>
      </c>
      <c r="V373" s="11">
        <f t="shared" si="43"/>
        <v>1.31</v>
      </c>
      <c r="W373" s="11" t="s">
        <v>66</v>
      </c>
      <c r="X373" s="11">
        <v>0</v>
      </c>
      <c r="Y373" s="11">
        <f t="shared" si="44"/>
        <v>21.07</v>
      </c>
      <c r="Z373" s="11">
        <f t="shared" si="45"/>
        <v>22.619999999999997</v>
      </c>
      <c r="AA373" s="12">
        <f t="shared" si="46"/>
        <v>0.51773861295490953</v>
      </c>
      <c r="AB373" s="13">
        <f t="shared" si="47"/>
        <v>6.5502248875562215</v>
      </c>
      <c r="AC373" t="s">
        <v>67</v>
      </c>
    </row>
    <row r="374" spans="1:29" ht="14.25" customHeight="1" x14ac:dyDescent="0.45">
      <c r="A374" t="s">
        <v>497</v>
      </c>
      <c r="B374" s="10">
        <v>46023</v>
      </c>
      <c r="C374">
        <v>2026</v>
      </c>
      <c r="D374">
        <v>1</v>
      </c>
      <c r="E374" t="s">
        <v>77</v>
      </c>
      <c r="F374" t="s">
        <v>78</v>
      </c>
      <c r="G374" t="s">
        <v>93</v>
      </c>
      <c r="H374" t="s">
        <v>61</v>
      </c>
      <c r="I374" t="s">
        <v>87</v>
      </c>
      <c r="J374" t="s">
        <v>88</v>
      </c>
      <c r="K374" t="s">
        <v>89</v>
      </c>
      <c r="L374" t="s">
        <v>90</v>
      </c>
      <c r="M374" s="11">
        <v>57.55</v>
      </c>
      <c r="N374" s="11">
        <v>20.93</v>
      </c>
      <c r="O374" s="11">
        <v>6.74</v>
      </c>
      <c r="P374" s="11">
        <v>0.03</v>
      </c>
      <c r="Q374" s="11">
        <v>12.35</v>
      </c>
      <c r="R374" s="11">
        <v>3</v>
      </c>
      <c r="S374" s="11">
        <f t="shared" si="40"/>
        <v>172.64999999999998</v>
      </c>
      <c r="T374" s="11">
        <f t="shared" si="41"/>
        <v>62.79</v>
      </c>
      <c r="U374" s="11">
        <f t="shared" si="42"/>
        <v>20.22</v>
      </c>
      <c r="V374" s="11">
        <f t="shared" si="43"/>
        <v>5.18</v>
      </c>
      <c r="W374" s="11" t="s">
        <v>66</v>
      </c>
      <c r="X374" s="11">
        <v>0</v>
      </c>
      <c r="Y374" s="11">
        <f t="shared" si="44"/>
        <v>100.53999999999999</v>
      </c>
      <c r="Z374" s="11">
        <f t="shared" si="45"/>
        <v>72.109999999999985</v>
      </c>
      <c r="AA374" s="12">
        <f t="shared" si="46"/>
        <v>0.41766579785693597</v>
      </c>
      <c r="AB374" s="13">
        <f t="shared" si="47"/>
        <v>13.979757085020241</v>
      </c>
      <c r="AC374" t="s">
        <v>67</v>
      </c>
    </row>
    <row r="375" spans="1:29" ht="14.25" customHeight="1" x14ac:dyDescent="0.45">
      <c r="A375" t="s">
        <v>498</v>
      </c>
      <c r="B375" s="10">
        <v>46024</v>
      </c>
      <c r="C375">
        <v>2026</v>
      </c>
      <c r="D375">
        <v>1</v>
      </c>
      <c r="E375" t="s">
        <v>77</v>
      </c>
      <c r="F375" t="s">
        <v>102</v>
      </c>
      <c r="G375" t="s">
        <v>93</v>
      </c>
      <c r="H375" t="s">
        <v>61</v>
      </c>
      <c r="I375" t="s">
        <v>107</v>
      </c>
      <c r="J375" t="s">
        <v>108</v>
      </c>
      <c r="K375" t="s">
        <v>109</v>
      </c>
      <c r="L375" t="s">
        <v>110</v>
      </c>
      <c r="M375" s="11">
        <v>20.66</v>
      </c>
      <c r="N375" s="11">
        <v>3.42</v>
      </c>
      <c r="O375" s="11">
        <v>2.63</v>
      </c>
      <c r="P375" s="11">
        <v>0.03</v>
      </c>
      <c r="Q375" s="11">
        <v>10.65</v>
      </c>
      <c r="R375" s="11">
        <v>2</v>
      </c>
      <c r="S375" s="11">
        <f t="shared" si="40"/>
        <v>41.32</v>
      </c>
      <c r="T375" s="11">
        <f t="shared" si="41"/>
        <v>6.84</v>
      </c>
      <c r="U375" s="11">
        <f t="shared" si="42"/>
        <v>5.26</v>
      </c>
      <c r="V375" s="11">
        <f t="shared" si="43"/>
        <v>1.24</v>
      </c>
      <c r="W375" s="11" t="s">
        <v>66</v>
      </c>
      <c r="X375" s="11">
        <v>0</v>
      </c>
      <c r="Y375" s="11">
        <f t="shared" si="44"/>
        <v>23.990000000000002</v>
      </c>
      <c r="Z375" s="11">
        <f t="shared" si="45"/>
        <v>17.329999999999998</v>
      </c>
      <c r="AA375" s="12">
        <f t="shared" si="46"/>
        <v>0.41940948693126812</v>
      </c>
      <c r="AB375" s="13">
        <f t="shared" si="47"/>
        <v>3.8798122065727698</v>
      </c>
      <c r="AC375" t="s">
        <v>67</v>
      </c>
    </row>
    <row r="376" spans="1:29" ht="14.25" customHeight="1" x14ac:dyDescent="0.45">
      <c r="A376" t="s">
        <v>499</v>
      </c>
      <c r="B376" s="10">
        <v>46025</v>
      </c>
      <c r="C376">
        <v>2026</v>
      </c>
      <c r="D376">
        <v>1</v>
      </c>
      <c r="E376" t="s">
        <v>77</v>
      </c>
      <c r="F376" t="s">
        <v>78</v>
      </c>
      <c r="G376" t="s">
        <v>71</v>
      </c>
      <c r="H376" t="s">
        <v>61</v>
      </c>
      <c r="I376" t="s">
        <v>133</v>
      </c>
      <c r="J376" t="s">
        <v>134</v>
      </c>
      <c r="K376" t="s">
        <v>135</v>
      </c>
      <c r="L376" t="s">
        <v>136</v>
      </c>
      <c r="M376" s="11">
        <v>15.9</v>
      </c>
      <c r="N376" s="11">
        <v>1.97</v>
      </c>
      <c r="O376" s="11">
        <v>1.98</v>
      </c>
      <c r="P376" s="11">
        <v>0.03</v>
      </c>
      <c r="Q376" s="11">
        <v>0</v>
      </c>
      <c r="R376" s="11">
        <v>3</v>
      </c>
      <c r="S376" s="11">
        <f t="shared" si="40"/>
        <v>47.7</v>
      </c>
      <c r="T376" s="11">
        <f t="shared" si="41"/>
        <v>5.91</v>
      </c>
      <c r="U376" s="11">
        <f t="shared" si="42"/>
        <v>5.9399999999999995</v>
      </c>
      <c r="V376" s="11">
        <f t="shared" si="43"/>
        <v>1.43</v>
      </c>
      <c r="W376" s="11" t="s">
        <v>66</v>
      </c>
      <c r="X376" s="11">
        <v>0</v>
      </c>
      <c r="Y376" s="11">
        <f t="shared" si="44"/>
        <v>13.28</v>
      </c>
      <c r="Z376" s="11">
        <f t="shared" si="45"/>
        <v>34.42</v>
      </c>
      <c r="AA376" s="12">
        <f t="shared" si="46"/>
        <v>0.72159329140461215</v>
      </c>
      <c r="AB376" s="13">
        <f t="shared" si="47"/>
        <v>0</v>
      </c>
      <c r="AC376" t="s">
        <v>67</v>
      </c>
    </row>
    <row r="377" spans="1:29" ht="14.25" customHeight="1" x14ac:dyDescent="0.45">
      <c r="A377" t="s">
        <v>500</v>
      </c>
      <c r="B377" s="10">
        <v>46025</v>
      </c>
      <c r="C377">
        <v>2026</v>
      </c>
      <c r="D377">
        <v>1</v>
      </c>
      <c r="E377" t="s">
        <v>77</v>
      </c>
      <c r="F377" t="s">
        <v>102</v>
      </c>
      <c r="G377" t="s">
        <v>60</v>
      </c>
      <c r="H377" t="s">
        <v>127</v>
      </c>
      <c r="I377" t="s">
        <v>72</v>
      </c>
      <c r="J377" t="s">
        <v>73</v>
      </c>
      <c r="K377" t="s">
        <v>74</v>
      </c>
      <c r="L377" t="s">
        <v>75</v>
      </c>
      <c r="M377" s="11">
        <v>48.73</v>
      </c>
      <c r="N377" s="11">
        <v>13.96</v>
      </c>
      <c r="O377" s="11">
        <v>6.11</v>
      </c>
      <c r="P377" s="11">
        <v>0.03</v>
      </c>
      <c r="Q377" s="11">
        <v>3.24</v>
      </c>
      <c r="R377" s="11">
        <v>1</v>
      </c>
      <c r="S377" s="11">
        <f t="shared" si="40"/>
        <v>48.73</v>
      </c>
      <c r="T377" s="11">
        <f t="shared" si="41"/>
        <v>13.96</v>
      </c>
      <c r="U377" s="11">
        <f t="shared" si="42"/>
        <v>6.11</v>
      </c>
      <c r="V377" s="11">
        <f t="shared" si="43"/>
        <v>1.46</v>
      </c>
      <c r="W377" s="11" t="s">
        <v>66</v>
      </c>
      <c r="X377" s="11">
        <v>0</v>
      </c>
      <c r="Y377" s="11">
        <f t="shared" si="44"/>
        <v>24.770000000000003</v>
      </c>
      <c r="Z377" s="11">
        <f t="shared" si="45"/>
        <v>23.959999999999994</v>
      </c>
      <c r="AA377" s="12">
        <f t="shared" si="46"/>
        <v>0.49168889800943966</v>
      </c>
      <c r="AB377" s="13">
        <f t="shared" si="47"/>
        <v>15.040123456790122</v>
      </c>
      <c r="AC377" t="s">
        <v>67</v>
      </c>
    </row>
    <row r="378" spans="1:29" ht="14.25" customHeight="1" x14ac:dyDescent="0.45">
      <c r="A378" t="s">
        <v>501</v>
      </c>
      <c r="B378" s="10">
        <v>46025</v>
      </c>
      <c r="C378">
        <v>2026</v>
      </c>
      <c r="D378">
        <v>1</v>
      </c>
      <c r="E378" t="s">
        <v>69</v>
      </c>
      <c r="F378" t="s">
        <v>70</v>
      </c>
      <c r="G378" t="s">
        <v>126</v>
      </c>
      <c r="H378" t="s">
        <v>86</v>
      </c>
      <c r="I378" t="s">
        <v>87</v>
      </c>
      <c r="J378" t="s">
        <v>88</v>
      </c>
      <c r="K378" t="s">
        <v>89</v>
      </c>
      <c r="L378" t="s">
        <v>90</v>
      </c>
      <c r="M378" s="11">
        <v>58.78</v>
      </c>
      <c r="N378" s="11">
        <v>22.54</v>
      </c>
      <c r="O378" s="11">
        <v>7.08</v>
      </c>
      <c r="P378" s="11">
        <v>0.03</v>
      </c>
      <c r="Q378" s="11">
        <v>11.28</v>
      </c>
      <c r="R378" s="11">
        <v>2</v>
      </c>
      <c r="S378" s="11">
        <f t="shared" si="40"/>
        <v>117.56</v>
      </c>
      <c r="T378" s="11">
        <f t="shared" si="41"/>
        <v>45.08</v>
      </c>
      <c r="U378" s="11">
        <f t="shared" si="42"/>
        <v>14.16</v>
      </c>
      <c r="V378" s="11">
        <f t="shared" si="43"/>
        <v>3.53</v>
      </c>
      <c r="W378" s="11" t="s">
        <v>66</v>
      </c>
      <c r="X378" s="11">
        <v>0</v>
      </c>
      <c r="Y378" s="11">
        <f t="shared" si="44"/>
        <v>74.05</v>
      </c>
      <c r="Z378" s="11">
        <f t="shared" si="45"/>
        <v>43.510000000000005</v>
      </c>
      <c r="AA378" s="12">
        <f t="shared" si="46"/>
        <v>0.37010888057162306</v>
      </c>
      <c r="AB378" s="13">
        <f t="shared" si="47"/>
        <v>10.421985815602838</v>
      </c>
      <c r="AC378" t="s">
        <v>67</v>
      </c>
    </row>
    <row r="379" spans="1:29" ht="14.25" customHeight="1" x14ac:dyDescent="0.45">
      <c r="A379" t="s">
        <v>502</v>
      </c>
      <c r="B379" s="10">
        <v>46025</v>
      </c>
      <c r="C379">
        <v>2026</v>
      </c>
      <c r="D379">
        <v>1</v>
      </c>
      <c r="E379" t="s">
        <v>58</v>
      </c>
      <c r="F379" t="s">
        <v>92</v>
      </c>
      <c r="G379" t="s">
        <v>71</v>
      </c>
      <c r="H379" t="s">
        <v>127</v>
      </c>
      <c r="I379" t="s">
        <v>62</v>
      </c>
      <c r="J379" t="s">
        <v>63</v>
      </c>
      <c r="K379" t="s">
        <v>64</v>
      </c>
      <c r="L379" t="s">
        <v>65</v>
      </c>
      <c r="M379" s="11">
        <v>33.28</v>
      </c>
      <c r="N379" s="11">
        <v>9.5299999999999994</v>
      </c>
      <c r="O379" s="11">
        <v>3.81</v>
      </c>
      <c r="P379" s="11">
        <v>0.03</v>
      </c>
      <c r="Q379" s="11">
        <v>0</v>
      </c>
      <c r="R379" s="11">
        <v>2</v>
      </c>
      <c r="S379" s="11">
        <f t="shared" si="40"/>
        <v>66.56</v>
      </c>
      <c r="T379" s="11">
        <f t="shared" si="41"/>
        <v>19.059999999999999</v>
      </c>
      <c r="U379" s="11">
        <f t="shared" si="42"/>
        <v>7.62</v>
      </c>
      <c r="V379" s="11">
        <f t="shared" si="43"/>
        <v>2</v>
      </c>
      <c r="W379" s="11" t="s">
        <v>66</v>
      </c>
      <c r="X379" s="11">
        <v>0</v>
      </c>
      <c r="Y379" s="11">
        <f t="shared" si="44"/>
        <v>28.68</v>
      </c>
      <c r="Z379" s="11">
        <f t="shared" si="45"/>
        <v>37.880000000000003</v>
      </c>
      <c r="AA379" s="12">
        <f t="shared" si="46"/>
        <v>0.56911057692307698</v>
      </c>
      <c r="AB379" s="13">
        <f t="shared" si="47"/>
        <v>0</v>
      </c>
      <c r="AC379" t="s">
        <v>67</v>
      </c>
    </row>
    <row r="380" spans="1:29" ht="14.25" customHeight="1" x14ac:dyDescent="0.45">
      <c r="A380" t="s">
        <v>503</v>
      </c>
      <c r="B380" s="10">
        <v>46026</v>
      </c>
      <c r="C380">
        <v>2026</v>
      </c>
      <c r="D380">
        <v>1</v>
      </c>
      <c r="E380" t="s">
        <v>58</v>
      </c>
      <c r="F380" t="s">
        <v>59</v>
      </c>
      <c r="G380" t="s">
        <v>71</v>
      </c>
      <c r="H380" t="s">
        <v>80</v>
      </c>
      <c r="I380" t="s">
        <v>81</v>
      </c>
      <c r="J380" t="s">
        <v>82</v>
      </c>
      <c r="K380" t="s">
        <v>83</v>
      </c>
      <c r="L380" t="s">
        <v>84</v>
      </c>
      <c r="M380" s="11">
        <v>26.26</v>
      </c>
      <c r="N380" s="11">
        <v>6.34</v>
      </c>
      <c r="O380" s="11">
        <v>3.49</v>
      </c>
      <c r="P380" s="11">
        <v>0.03</v>
      </c>
      <c r="Q380" s="11">
        <v>0</v>
      </c>
      <c r="R380" s="11">
        <v>2</v>
      </c>
      <c r="S380" s="11">
        <f t="shared" si="40"/>
        <v>52.52</v>
      </c>
      <c r="T380" s="11">
        <f t="shared" si="41"/>
        <v>12.68</v>
      </c>
      <c r="U380" s="11">
        <f t="shared" si="42"/>
        <v>6.98</v>
      </c>
      <c r="V380" s="11">
        <f t="shared" si="43"/>
        <v>1.58</v>
      </c>
      <c r="W380" s="11" t="s">
        <v>66</v>
      </c>
      <c r="X380" s="11">
        <v>0</v>
      </c>
      <c r="Y380" s="11">
        <f t="shared" si="44"/>
        <v>21.240000000000002</v>
      </c>
      <c r="Z380" s="11">
        <f t="shared" si="45"/>
        <v>31.28</v>
      </c>
      <c r="AA380" s="12">
        <f t="shared" si="46"/>
        <v>0.5955826351865956</v>
      </c>
      <c r="AB380" s="13">
        <f t="shared" si="47"/>
        <v>0</v>
      </c>
      <c r="AC380" t="s">
        <v>67</v>
      </c>
    </row>
    <row r="381" spans="1:29" ht="14.25" customHeight="1" x14ac:dyDescent="0.45">
      <c r="A381" t="s">
        <v>504</v>
      </c>
      <c r="B381" s="10">
        <v>46026</v>
      </c>
      <c r="C381">
        <v>2026</v>
      </c>
      <c r="D381">
        <v>1</v>
      </c>
      <c r="E381" t="s">
        <v>69</v>
      </c>
      <c r="F381" t="s">
        <v>70</v>
      </c>
      <c r="G381" t="s">
        <v>126</v>
      </c>
      <c r="H381" t="s">
        <v>127</v>
      </c>
      <c r="I381" t="s">
        <v>62</v>
      </c>
      <c r="J381" t="s">
        <v>63</v>
      </c>
      <c r="K381" t="s">
        <v>64</v>
      </c>
      <c r="L381" t="s">
        <v>65</v>
      </c>
      <c r="M381" s="11">
        <v>31.74</v>
      </c>
      <c r="N381" s="11">
        <v>10.6</v>
      </c>
      <c r="O381" s="11">
        <v>4.45</v>
      </c>
      <c r="P381" s="11">
        <v>0.03</v>
      </c>
      <c r="Q381" s="11">
        <v>8.84</v>
      </c>
      <c r="R381" s="11">
        <v>1</v>
      </c>
      <c r="S381" s="11">
        <f t="shared" si="40"/>
        <v>31.74</v>
      </c>
      <c r="T381" s="11">
        <f t="shared" si="41"/>
        <v>10.6</v>
      </c>
      <c r="U381" s="11">
        <f t="shared" si="42"/>
        <v>4.45</v>
      </c>
      <c r="V381" s="11">
        <f t="shared" si="43"/>
        <v>0.95</v>
      </c>
      <c r="W381" s="11" t="s">
        <v>66</v>
      </c>
      <c r="X381" s="11">
        <v>0</v>
      </c>
      <c r="Y381" s="11">
        <f t="shared" si="44"/>
        <v>24.84</v>
      </c>
      <c r="Z381" s="11">
        <f t="shared" si="45"/>
        <v>6.8999999999999986</v>
      </c>
      <c r="AA381" s="12">
        <f t="shared" si="46"/>
        <v>0.21739130434782605</v>
      </c>
      <c r="AB381" s="13">
        <f t="shared" si="47"/>
        <v>3.5904977375565608</v>
      </c>
      <c r="AC381" t="s">
        <v>67</v>
      </c>
    </row>
    <row r="382" spans="1:29" ht="14.25" customHeight="1" x14ac:dyDescent="0.45">
      <c r="A382" t="s">
        <v>505</v>
      </c>
      <c r="B382" s="10">
        <v>46027</v>
      </c>
      <c r="C382">
        <v>2026</v>
      </c>
      <c r="D382">
        <v>1</v>
      </c>
      <c r="E382" t="s">
        <v>122</v>
      </c>
      <c r="F382" t="s">
        <v>123</v>
      </c>
      <c r="G382" t="s">
        <v>105</v>
      </c>
      <c r="H382" t="s">
        <v>112</v>
      </c>
      <c r="I382" t="s">
        <v>138</v>
      </c>
      <c r="J382" t="s">
        <v>139</v>
      </c>
      <c r="K382" t="s">
        <v>89</v>
      </c>
      <c r="L382" t="s">
        <v>140</v>
      </c>
      <c r="M382" s="11">
        <v>36.4</v>
      </c>
      <c r="N382" s="11">
        <v>9.15</v>
      </c>
      <c r="O382" s="11">
        <v>4.45</v>
      </c>
      <c r="P382" s="11">
        <v>0.03</v>
      </c>
      <c r="Q382" s="11">
        <v>8.1199999999999992</v>
      </c>
      <c r="R382" s="11">
        <v>1</v>
      </c>
      <c r="S382" s="11">
        <f t="shared" si="40"/>
        <v>36.4</v>
      </c>
      <c r="T382" s="11">
        <f t="shared" si="41"/>
        <v>9.15</v>
      </c>
      <c r="U382" s="11">
        <f t="shared" si="42"/>
        <v>4.45</v>
      </c>
      <c r="V382" s="11">
        <f t="shared" si="43"/>
        <v>1.0900000000000001</v>
      </c>
      <c r="W382" s="11" t="s">
        <v>66</v>
      </c>
      <c r="X382" s="11">
        <v>0</v>
      </c>
      <c r="Y382" s="11">
        <f t="shared" si="44"/>
        <v>22.810000000000002</v>
      </c>
      <c r="Z382" s="11">
        <f t="shared" si="45"/>
        <v>13.589999999999996</v>
      </c>
      <c r="AA382" s="12">
        <f t="shared" si="46"/>
        <v>0.37335164835164825</v>
      </c>
      <c r="AB382" s="13">
        <f t="shared" si="47"/>
        <v>4.4827586206896557</v>
      </c>
      <c r="AC382" t="s">
        <v>67</v>
      </c>
    </row>
    <row r="383" spans="1:29" ht="14.25" customHeight="1" x14ac:dyDescent="0.45">
      <c r="A383" t="s">
        <v>506</v>
      </c>
      <c r="B383" s="10">
        <v>46027</v>
      </c>
      <c r="C383">
        <v>2026</v>
      </c>
      <c r="D383">
        <v>1</v>
      </c>
      <c r="E383" t="s">
        <v>77</v>
      </c>
      <c r="F383" t="s">
        <v>78</v>
      </c>
      <c r="G383" t="s">
        <v>60</v>
      </c>
      <c r="H383" t="s">
        <v>80</v>
      </c>
      <c r="I383" t="s">
        <v>87</v>
      </c>
      <c r="J383" t="s">
        <v>88</v>
      </c>
      <c r="K383" t="s">
        <v>89</v>
      </c>
      <c r="L383" t="s">
        <v>90</v>
      </c>
      <c r="M383" s="11">
        <v>66.87</v>
      </c>
      <c r="N383" s="11">
        <v>23.66</v>
      </c>
      <c r="O383" s="11">
        <v>6.52</v>
      </c>
      <c r="P383" s="11">
        <v>0.03</v>
      </c>
      <c r="Q383" s="11">
        <v>9.9700000000000006</v>
      </c>
      <c r="R383" s="11">
        <v>1</v>
      </c>
      <c r="S383" s="11">
        <f t="shared" si="40"/>
        <v>66.87</v>
      </c>
      <c r="T383" s="11">
        <f t="shared" si="41"/>
        <v>23.66</v>
      </c>
      <c r="U383" s="11">
        <f t="shared" si="42"/>
        <v>6.52</v>
      </c>
      <c r="V383" s="11">
        <f t="shared" si="43"/>
        <v>2.0099999999999998</v>
      </c>
      <c r="W383" s="11" t="s">
        <v>154</v>
      </c>
      <c r="X383" s="11">
        <v>46.83</v>
      </c>
      <c r="Y383" s="11">
        <f t="shared" si="44"/>
        <v>88.99</v>
      </c>
      <c r="Z383" s="11">
        <f t="shared" si="45"/>
        <v>-22.11999999999999</v>
      </c>
      <c r="AA383" s="12">
        <f t="shared" si="46"/>
        <v>-0.33079108718408834</v>
      </c>
      <c r="AB383" s="13">
        <f t="shared" si="47"/>
        <v>6.7071213640922771</v>
      </c>
      <c r="AC383" t="s">
        <v>155</v>
      </c>
    </row>
    <row r="384" spans="1:29" ht="14.25" customHeight="1" x14ac:dyDescent="0.45">
      <c r="A384" t="s">
        <v>507</v>
      </c>
      <c r="B384" s="10">
        <v>46028</v>
      </c>
      <c r="C384">
        <v>2026</v>
      </c>
      <c r="D384">
        <v>1</v>
      </c>
      <c r="E384" t="s">
        <v>58</v>
      </c>
      <c r="F384" t="s">
        <v>59</v>
      </c>
      <c r="G384" t="s">
        <v>105</v>
      </c>
      <c r="H384" t="s">
        <v>61</v>
      </c>
      <c r="I384" t="s">
        <v>133</v>
      </c>
      <c r="J384" t="s">
        <v>134</v>
      </c>
      <c r="K384" t="s">
        <v>135</v>
      </c>
      <c r="L384" t="s">
        <v>136</v>
      </c>
      <c r="M384" s="11">
        <v>15.99</v>
      </c>
      <c r="N384" s="11">
        <v>2.04</v>
      </c>
      <c r="O384" s="11">
        <v>2.21</v>
      </c>
      <c r="P384" s="11">
        <v>0.03</v>
      </c>
      <c r="Q384" s="11">
        <v>4.33</v>
      </c>
      <c r="R384" s="11">
        <v>1</v>
      </c>
      <c r="S384" s="11">
        <f t="shared" si="40"/>
        <v>15.99</v>
      </c>
      <c r="T384" s="11">
        <f t="shared" si="41"/>
        <v>2.04</v>
      </c>
      <c r="U384" s="11">
        <f t="shared" si="42"/>
        <v>2.21</v>
      </c>
      <c r="V384" s="11">
        <f t="shared" si="43"/>
        <v>0.48</v>
      </c>
      <c r="W384" s="11" t="s">
        <v>66</v>
      </c>
      <c r="X384" s="11">
        <v>0</v>
      </c>
      <c r="Y384" s="11">
        <f t="shared" si="44"/>
        <v>9.06</v>
      </c>
      <c r="Z384" s="11">
        <f t="shared" si="45"/>
        <v>6.93</v>
      </c>
      <c r="AA384" s="12">
        <f t="shared" si="46"/>
        <v>0.43339587242026262</v>
      </c>
      <c r="AB384" s="13">
        <f t="shared" si="47"/>
        <v>3.6928406466512702</v>
      </c>
      <c r="AC384" t="s">
        <v>67</v>
      </c>
    </row>
    <row r="385" spans="1:29" ht="14.25" customHeight="1" x14ac:dyDescent="0.45">
      <c r="A385" t="s">
        <v>508</v>
      </c>
      <c r="B385" s="10">
        <v>46028</v>
      </c>
      <c r="C385">
        <v>2026</v>
      </c>
      <c r="D385">
        <v>1</v>
      </c>
      <c r="E385" t="s">
        <v>77</v>
      </c>
      <c r="F385" t="s">
        <v>104</v>
      </c>
      <c r="G385" t="s">
        <v>126</v>
      </c>
      <c r="H385" t="s">
        <v>127</v>
      </c>
      <c r="I385" t="s">
        <v>138</v>
      </c>
      <c r="J385" t="s">
        <v>139</v>
      </c>
      <c r="K385" t="s">
        <v>89</v>
      </c>
      <c r="L385" t="s">
        <v>140</v>
      </c>
      <c r="M385" s="11">
        <v>39.090000000000003</v>
      </c>
      <c r="N385" s="11">
        <v>8.4600000000000009</v>
      </c>
      <c r="O385" s="11">
        <v>4.2300000000000004</v>
      </c>
      <c r="P385" s="11">
        <v>0.03</v>
      </c>
      <c r="Q385" s="11">
        <v>17.260000000000002</v>
      </c>
      <c r="R385" s="11">
        <v>3</v>
      </c>
      <c r="S385" s="11">
        <f t="shared" si="40"/>
        <v>117.27000000000001</v>
      </c>
      <c r="T385" s="11">
        <f t="shared" si="41"/>
        <v>25.380000000000003</v>
      </c>
      <c r="U385" s="11">
        <f t="shared" si="42"/>
        <v>12.690000000000001</v>
      </c>
      <c r="V385" s="11">
        <f t="shared" si="43"/>
        <v>3.52</v>
      </c>
      <c r="W385" s="11" t="s">
        <v>154</v>
      </c>
      <c r="X385" s="11">
        <v>105.35</v>
      </c>
      <c r="Y385" s="11">
        <f t="shared" si="44"/>
        <v>164.2</v>
      </c>
      <c r="Z385" s="11">
        <f t="shared" si="45"/>
        <v>-46.929999999999978</v>
      </c>
      <c r="AA385" s="12">
        <f t="shared" si="46"/>
        <v>-0.40018760126204461</v>
      </c>
      <c r="AB385" s="13">
        <f t="shared" si="47"/>
        <v>6.794322132097335</v>
      </c>
      <c r="AC385" t="s">
        <v>155</v>
      </c>
    </row>
    <row r="386" spans="1:29" ht="14.25" customHeight="1" x14ac:dyDescent="0.45">
      <c r="A386" t="s">
        <v>509</v>
      </c>
      <c r="B386" s="10">
        <v>46028</v>
      </c>
      <c r="C386">
        <v>2026</v>
      </c>
      <c r="D386">
        <v>1</v>
      </c>
      <c r="E386" t="s">
        <v>95</v>
      </c>
      <c r="F386" t="s">
        <v>96</v>
      </c>
      <c r="G386" t="s">
        <v>105</v>
      </c>
      <c r="H386" t="s">
        <v>127</v>
      </c>
      <c r="I386" t="s">
        <v>87</v>
      </c>
      <c r="J386" t="s">
        <v>88</v>
      </c>
      <c r="K386" t="s">
        <v>89</v>
      </c>
      <c r="L386" t="s">
        <v>90</v>
      </c>
      <c r="M386" s="11">
        <v>65.69</v>
      </c>
      <c r="N386" s="11">
        <v>23.16</v>
      </c>
      <c r="O386" s="11">
        <v>7.57</v>
      </c>
      <c r="P386" s="11">
        <v>0.03</v>
      </c>
      <c r="Q386" s="11">
        <v>10.75</v>
      </c>
      <c r="R386" s="11">
        <v>2</v>
      </c>
      <c r="S386" s="11">
        <f t="shared" ref="S386:S449" si="48">IF(AC386="Cancelled",0,M386*R386)</f>
        <v>131.38</v>
      </c>
      <c r="T386" s="11">
        <f t="shared" ref="T386:T449" si="49">IF(AC386="Cancelled",0,N386*R386)</f>
        <v>46.32</v>
      </c>
      <c r="U386" s="11">
        <f t="shared" ref="U386:U449" si="50">IF(AC386="Cancelled",0,O386*R386)</f>
        <v>15.14</v>
      </c>
      <c r="V386" s="11">
        <f t="shared" ref="V386:V449" si="51">IF(AC386="Cancelled",0,ROUND(P386*S386,2))</f>
        <v>3.94</v>
      </c>
      <c r="W386" s="11" t="s">
        <v>66</v>
      </c>
      <c r="X386" s="11">
        <v>0</v>
      </c>
      <c r="Y386" s="11">
        <f t="shared" ref="Y386:Y449" si="52">IF(AC386="Cancelled",0,T386+U386+V386+Q386+X386)</f>
        <v>76.150000000000006</v>
      </c>
      <c r="Z386" s="11">
        <f t="shared" ref="Z386:Z449" si="53">IF(AC386="Cancelled",-Q386,S386-Y386)</f>
        <v>55.22999999999999</v>
      </c>
      <c r="AA386" s="12">
        <f t="shared" ref="AA386:AA449" si="54">IF(OR(AC386="Cancelled",S386=0),0,Z386/S386)</f>
        <v>0.42038362003349056</v>
      </c>
      <c r="AB386" s="13">
        <f t="shared" ref="AB386:AB449" si="55">IFERROR(S386/Q386,0)</f>
        <v>12.221395348837209</v>
      </c>
      <c r="AC386" t="s">
        <v>67</v>
      </c>
    </row>
    <row r="387" spans="1:29" ht="14.25" customHeight="1" x14ac:dyDescent="0.45">
      <c r="A387" t="s">
        <v>510</v>
      </c>
      <c r="B387" s="10">
        <v>46030</v>
      </c>
      <c r="C387">
        <v>2026</v>
      </c>
      <c r="D387">
        <v>1</v>
      </c>
      <c r="E387" t="s">
        <v>77</v>
      </c>
      <c r="F387" t="s">
        <v>78</v>
      </c>
      <c r="G387" t="s">
        <v>126</v>
      </c>
      <c r="H387" t="s">
        <v>127</v>
      </c>
      <c r="I387" t="s">
        <v>97</v>
      </c>
      <c r="J387" t="s">
        <v>98</v>
      </c>
      <c r="K387" t="s">
        <v>99</v>
      </c>
      <c r="L387" t="s">
        <v>100</v>
      </c>
      <c r="M387" s="11">
        <v>34.840000000000003</v>
      </c>
      <c r="N387" s="11">
        <v>9.2200000000000006</v>
      </c>
      <c r="O387" s="11">
        <v>3.65</v>
      </c>
      <c r="P387" s="11">
        <v>0.03</v>
      </c>
      <c r="Q387" s="11">
        <v>5.16</v>
      </c>
      <c r="R387" s="11">
        <v>1</v>
      </c>
      <c r="S387" s="11">
        <f t="shared" si="48"/>
        <v>34.840000000000003</v>
      </c>
      <c r="T387" s="11">
        <f t="shared" si="49"/>
        <v>9.2200000000000006</v>
      </c>
      <c r="U387" s="11">
        <f t="shared" si="50"/>
        <v>3.65</v>
      </c>
      <c r="V387" s="11">
        <f t="shared" si="51"/>
        <v>1.05</v>
      </c>
      <c r="W387" s="11" t="s">
        <v>66</v>
      </c>
      <c r="X387" s="11">
        <v>0</v>
      </c>
      <c r="Y387" s="11">
        <f t="shared" si="52"/>
        <v>19.080000000000002</v>
      </c>
      <c r="Z387" s="11">
        <f t="shared" si="53"/>
        <v>15.760000000000002</v>
      </c>
      <c r="AA387" s="12">
        <f t="shared" si="54"/>
        <v>0.45235361653272099</v>
      </c>
      <c r="AB387" s="13">
        <f t="shared" si="55"/>
        <v>6.7519379844961245</v>
      </c>
      <c r="AC387" t="s">
        <v>67</v>
      </c>
    </row>
    <row r="388" spans="1:29" ht="14.25" customHeight="1" x14ac:dyDescent="0.45">
      <c r="A388" t="s">
        <v>511</v>
      </c>
      <c r="B388" s="10">
        <v>46031</v>
      </c>
      <c r="C388">
        <v>2026</v>
      </c>
      <c r="D388">
        <v>1</v>
      </c>
      <c r="E388" t="s">
        <v>95</v>
      </c>
      <c r="F388" t="s">
        <v>96</v>
      </c>
      <c r="G388" t="s">
        <v>93</v>
      </c>
      <c r="H388" t="s">
        <v>86</v>
      </c>
      <c r="I388" t="s">
        <v>138</v>
      </c>
      <c r="J388" t="s">
        <v>139</v>
      </c>
      <c r="K388" t="s">
        <v>89</v>
      </c>
      <c r="L388" t="s">
        <v>140</v>
      </c>
      <c r="M388" s="11">
        <v>37.549999999999997</v>
      </c>
      <c r="N388" s="11">
        <v>9.15</v>
      </c>
      <c r="O388" s="11">
        <v>4.41</v>
      </c>
      <c r="P388" s="11">
        <v>0.03</v>
      </c>
      <c r="Q388" s="11">
        <v>15.14</v>
      </c>
      <c r="R388" s="11">
        <v>2</v>
      </c>
      <c r="S388" s="11">
        <f t="shared" si="48"/>
        <v>75.099999999999994</v>
      </c>
      <c r="T388" s="11">
        <f t="shared" si="49"/>
        <v>18.3</v>
      </c>
      <c r="U388" s="11">
        <f t="shared" si="50"/>
        <v>8.82</v>
      </c>
      <c r="V388" s="11">
        <f t="shared" si="51"/>
        <v>2.25</v>
      </c>
      <c r="W388" s="11" t="s">
        <v>66</v>
      </c>
      <c r="X388" s="11">
        <v>0</v>
      </c>
      <c r="Y388" s="11">
        <f t="shared" si="52"/>
        <v>44.510000000000005</v>
      </c>
      <c r="Z388" s="11">
        <f t="shared" si="53"/>
        <v>30.589999999999989</v>
      </c>
      <c r="AA388" s="12">
        <f t="shared" si="54"/>
        <v>0.40732356857523289</v>
      </c>
      <c r="AB388" s="13">
        <f t="shared" si="55"/>
        <v>4.9603698811096431</v>
      </c>
      <c r="AC388" t="s">
        <v>67</v>
      </c>
    </row>
    <row r="389" spans="1:29" ht="14.25" customHeight="1" x14ac:dyDescent="0.45">
      <c r="A389" t="s">
        <v>512</v>
      </c>
      <c r="B389" s="10">
        <v>46033</v>
      </c>
      <c r="C389">
        <v>2026</v>
      </c>
      <c r="D389">
        <v>1</v>
      </c>
      <c r="E389" t="s">
        <v>77</v>
      </c>
      <c r="F389" t="s">
        <v>102</v>
      </c>
      <c r="G389" t="s">
        <v>105</v>
      </c>
      <c r="H389" t="s">
        <v>112</v>
      </c>
      <c r="I389" t="s">
        <v>147</v>
      </c>
      <c r="J389" t="s">
        <v>148</v>
      </c>
      <c r="K389" t="s">
        <v>149</v>
      </c>
      <c r="L389" t="s">
        <v>150</v>
      </c>
      <c r="M389" s="11">
        <v>32.24</v>
      </c>
      <c r="N389" s="11">
        <v>7.36</v>
      </c>
      <c r="O389" s="11">
        <v>4.95</v>
      </c>
      <c r="P389" s="11">
        <v>0.03</v>
      </c>
      <c r="Q389" s="11">
        <v>15.24</v>
      </c>
      <c r="R389" s="11">
        <v>3</v>
      </c>
      <c r="S389" s="11">
        <f t="shared" si="48"/>
        <v>96.72</v>
      </c>
      <c r="T389" s="11">
        <f t="shared" si="49"/>
        <v>22.080000000000002</v>
      </c>
      <c r="U389" s="11">
        <f t="shared" si="50"/>
        <v>14.850000000000001</v>
      </c>
      <c r="V389" s="11">
        <f t="shared" si="51"/>
        <v>2.9</v>
      </c>
      <c r="W389" s="11" t="s">
        <v>66</v>
      </c>
      <c r="X389" s="11">
        <v>0</v>
      </c>
      <c r="Y389" s="11">
        <f t="shared" si="52"/>
        <v>55.070000000000007</v>
      </c>
      <c r="Z389" s="11">
        <f t="shared" si="53"/>
        <v>41.649999999999991</v>
      </c>
      <c r="AA389" s="12">
        <f t="shared" si="54"/>
        <v>0.43062448304383782</v>
      </c>
      <c r="AB389" s="13">
        <f t="shared" si="55"/>
        <v>6.3464566929133861</v>
      </c>
      <c r="AC389" t="s">
        <v>67</v>
      </c>
    </row>
    <row r="390" spans="1:29" ht="14.25" customHeight="1" x14ac:dyDescent="0.45">
      <c r="A390" t="s">
        <v>513</v>
      </c>
      <c r="B390" s="10">
        <v>46034</v>
      </c>
      <c r="C390">
        <v>2026</v>
      </c>
      <c r="D390">
        <v>1</v>
      </c>
      <c r="E390" t="s">
        <v>77</v>
      </c>
      <c r="F390" t="s">
        <v>104</v>
      </c>
      <c r="G390" t="s">
        <v>126</v>
      </c>
      <c r="H390" t="s">
        <v>61</v>
      </c>
      <c r="I390" t="s">
        <v>87</v>
      </c>
      <c r="J390" t="s">
        <v>88</v>
      </c>
      <c r="K390" t="s">
        <v>89</v>
      </c>
      <c r="L390" t="s">
        <v>90</v>
      </c>
      <c r="M390" s="11">
        <v>64.38</v>
      </c>
      <c r="N390" s="11">
        <v>23.32</v>
      </c>
      <c r="O390" s="11">
        <v>6.94</v>
      </c>
      <c r="P390" s="11">
        <v>0.03</v>
      </c>
      <c r="Q390" s="11">
        <v>8.89</v>
      </c>
      <c r="R390" s="11">
        <v>1</v>
      </c>
      <c r="S390" s="11">
        <f t="shared" si="48"/>
        <v>64.38</v>
      </c>
      <c r="T390" s="11">
        <f t="shared" si="49"/>
        <v>23.32</v>
      </c>
      <c r="U390" s="11">
        <f t="shared" si="50"/>
        <v>6.94</v>
      </c>
      <c r="V390" s="11">
        <f t="shared" si="51"/>
        <v>1.93</v>
      </c>
      <c r="W390" s="11" t="s">
        <v>154</v>
      </c>
      <c r="X390" s="11">
        <v>45.55</v>
      </c>
      <c r="Y390" s="11">
        <f t="shared" si="52"/>
        <v>86.63</v>
      </c>
      <c r="Z390" s="11">
        <f t="shared" si="53"/>
        <v>-22.25</v>
      </c>
      <c r="AA390" s="12">
        <f t="shared" si="54"/>
        <v>-0.34560422491456977</v>
      </c>
      <c r="AB390" s="13">
        <f t="shared" si="55"/>
        <v>7.2418447694038237</v>
      </c>
      <c r="AC390" t="s">
        <v>155</v>
      </c>
    </row>
    <row r="391" spans="1:29" ht="14.25" customHeight="1" x14ac:dyDescent="0.45">
      <c r="A391" t="s">
        <v>514</v>
      </c>
      <c r="B391" s="10">
        <v>46034</v>
      </c>
      <c r="C391">
        <v>2026</v>
      </c>
      <c r="D391">
        <v>1</v>
      </c>
      <c r="E391" t="s">
        <v>77</v>
      </c>
      <c r="F391" t="s">
        <v>104</v>
      </c>
      <c r="G391" t="s">
        <v>105</v>
      </c>
      <c r="H391" t="s">
        <v>112</v>
      </c>
      <c r="I391" t="s">
        <v>107</v>
      </c>
      <c r="J391" t="s">
        <v>108</v>
      </c>
      <c r="K391" t="s">
        <v>109</v>
      </c>
      <c r="L391" t="s">
        <v>110</v>
      </c>
      <c r="M391" s="11">
        <v>20.239999999999998</v>
      </c>
      <c r="N391" s="11">
        <v>3.57</v>
      </c>
      <c r="O391" s="11">
        <v>2.27</v>
      </c>
      <c r="P391" s="11">
        <v>0.03</v>
      </c>
      <c r="Q391" s="11">
        <v>10.039999999999999</v>
      </c>
      <c r="R391" s="11">
        <v>1</v>
      </c>
      <c r="S391" s="11">
        <f t="shared" si="48"/>
        <v>0</v>
      </c>
      <c r="T391" s="11">
        <f t="shared" si="49"/>
        <v>0</v>
      </c>
      <c r="U391" s="11">
        <f t="shared" si="50"/>
        <v>0</v>
      </c>
      <c r="V391" s="11">
        <f t="shared" si="51"/>
        <v>0</v>
      </c>
      <c r="W391" s="11" t="s">
        <v>66</v>
      </c>
      <c r="X391" s="11">
        <v>0</v>
      </c>
      <c r="Y391" s="11">
        <f t="shared" si="52"/>
        <v>0</v>
      </c>
      <c r="Z391" s="11">
        <f t="shared" si="53"/>
        <v>-10.039999999999999</v>
      </c>
      <c r="AA391" s="12">
        <f t="shared" si="54"/>
        <v>0</v>
      </c>
      <c r="AB391" s="13">
        <f t="shared" si="55"/>
        <v>0</v>
      </c>
      <c r="AC391" t="s">
        <v>166</v>
      </c>
    </row>
    <row r="392" spans="1:29" ht="14.25" customHeight="1" x14ac:dyDescent="0.45">
      <c r="A392" t="s">
        <v>515</v>
      </c>
      <c r="B392" s="10">
        <v>46034</v>
      </c>
      <c r="C392">
        <v>2026</v>
      </c>
      <c r="D392">
        <v>1</v>
      </c>
      <c r="E392" t="s">
        <v>95</v>
      </c>
      <c r="F392" t="s">
        <v>96</v>
      </c>
      <c r="G392" t="s">
        <v>105</v>
      </c>
      <c r="H392" t="s">
        <v>86</v>
      </c>
      <c r="I392" t="s">
        <v>87</v>
      </c>
      <c r="J392" t="s">
        <v>88</v>
      </c>
      <c r="K392" t="s">
        <v>89</v>
      </c>
      <c r="L392" t="s">
        <v>90</v>
      </c>
      <c r="M392" s="11">
        <v>56.66</v>
      </c>
      <c r="N392" s="11">
        <v>22.76</v>
      </c>
      <c r="O392" s="11">
        <v>7.79</v>
      </c>
      <c r="P392" s="11">
        <v>0.03</v>
      </c>
      <c r="Q392" s="11">
        <v>10.41</v>
      </c>
      <c r="R392" s="11">
        <v>1</v>
      </c>
      <c r="S392" s="11">
        <f t="shared" si="48"/>
        <v>56.66</v>
      </c>
      <c r="T392" s="11">
        <f t="shared" si="49"/>
        <v>22.76</v>
      </c>
      <c r="U392" s="11">
        <f t="shared" si="50"/>
        <v>7.79</v>
      </c>
      <c r="V392" s="11">
        <f t="shared" si="51"/>
        <v>1.7</v>
      </c>
      <c r="W392" s="11" t="s">
        <v>66</v>
      </c>
      <c r="X392" s="11">
        <v>0</v>
      </c>
      <c r="Y392" s="11">
        <f t="shared" si="52"/>
        <v>42.66</v>
      </c>
      <c r="Z392" s="11">
        <f t="shared" si="53"/>
        <v>14</v>
      </c>
      <c r="AA392" s="12">
        <f t="shared" si="54"/>
        <v>0.24708789269325804</v>
      </c>
      <c r="AB392" s="13">
        <f t="shared" si="55"/>
        <v>5.4428434197886641</v>
      </c>
      <c r="AC392" t="s">
        <v>67</v>
      </c>
    </row>
    <row r="393" spans="1:29" ht="14.25" customHeight="1" x14ac:dyDescent="0.45">
      <c r="A393" t="s">
        <v>516</v>
      </c>
      <c r="B393" s="10">
        <v>46037</v>
      </c>
      <c r="C393">
        <v>2026</v>
      </c>
      <c r="D393">
        <v>1</v>
      </c>
      <c r="E393" t="s">
        <v>58</v>
      </c>
      <c r="F393" t="s">
        <v>92</v>
      </c>
      <c r="G393" t="s">
        <v>60</v>
      </c>
      <c r="H393" t="s">
        <v>86</v>
      </c>
      <c r="I393" t="s">
        <v>72</v>
      </c>
      <c r="J393" t="s">
        <v>73</v>
      </c>
      <c r="K393" t="s">
        <v>74</v>
      </c>
      <c r="L393" t="s">
        <v>75</v>
      </c>
      <c r="M393" s="11">
        <v>41.87</v>
      </c>
      <c r="N393" s="11">
        <v>13.5</v>
      </c>
      <c r="O393" s="11">
        <v>6.47</v>
      </c>
      <c r="P393" s="11">
        <v>0.03</v>
      </c>
      <c r="Q393" s="11">
        <v>8.25</v>
      </c>
      <c r="R393" s="11">
        <v>1</v>
      </c>
      <c r="S393" s="11">
        <f t="shared" si="48"/>
        <v>41.87</v>
      </c>
      <c r="T393" s="11">
        <f t="shared" si="49"/>
        <v>13.5</v>
      </c>
      <c r="U393" s="11">
        <f t="shared" si="50"/>
        <v>6.47</v>
      </c>
      <c r="V393" s="11">
        <f t="shared" si="51"/>
        <v>1.26</v>
      </c>
      <c r="W393" s="11" t="s">
        <v>66</v>
      </c>
      <c r="X393" s="11">
        <v>0</v>
      </c>
      <c r="Y393" s="11">
        <f t="shared" si="52"/>
        <v>29.48</v>
      </c>
      <c r="Z393" s="11">
        <f t="shared" si="53"/>
        <v>12.389999999999997</v>
      </c>
      <c r="AA393" s="12">
        <f t="shared" si="54"/>
        <v>0.29591593026032953</v>
      </c>
      <c r="AB393" s="13">
        <f t="shared" si="55"/>
        <v>5.0751515151515152</v>
      </c>
      <c r="AC393" t="s">
        <v>67</v>
      </c>
    </row>
    <row r="394" spans="1:29" ht="14.25" customHeight="1" x14ac:dyDescent="0.45">
      <c r="A394" t="s">
        <v>517</v>
      </c>
      <c r="B394" s="10">
        <v>46037</v>
      </c>
      <c r="C394">
        <v>2026</v>
      </c>
      <c r="D394">
        <v>1</v>
      </c>
      <c r="E394" t="s">
        <v>122</v>
      </c>
      <c r="F394" t="s">
        <v>123</v>
      </c>
      <c r="G394" t="s">
        <v>71</v>
      </c>
      <c r="H394" t="s">
        <v>80</v>
      </c>
      <c r="I394" t="s">
        <v>107</v>
      </c>
      <c r="J394" t="s">
        <v>108</v>
      </c>
      <c r="K394" t="s">
        <v>109</v>
      </c>
      <c r="L394" t="s">
        <v>110</v>
      </c>
      <c r="M394" s="11">
        <v>18.03</v>
      </c>
      <c r="N394" s="11">
        <v>3.72</v>
      </c>
      <c r="O394" s="11">
        <v>2.57</v>
      </c>
      <c r="P394" s="11">
        <v>0.03</v>
      </c>
      <c r="Q394" s="11">
        <v>0</v>
      </c>
      <c r="R394" s="11">
        <v>2</v>
      </c>
      <c r="S394" s="11">
        <f t="shared" si="48"/>
        <v>36.06</v>
      </c>
      <c r="T394" s="11">
        <f t="shared" si="49"/>
        <v>7.44</v>
      </c>
      <c r="U394" s="11">
        <f t="shared" si="50"/>
        <v>5.14</v>
      </c>
      <c r="V394" s="11">
        <f t="shared" si="51"/>
        <v>1.08</v>
      </c>
      <c r="W394" s="11" t="s">
        <v>66</v>
      </c>
      <c r="X394" s="11">
        <v>0</v>
      </c>
      <c r="Y394" s="11">
        <f t="shared" si="52"/>
        <v>13.66</v>
      </c>
      <c r="Z394" s="11">
        <f t="shared" si="53"/>
        <v>22.400000000000002</v>
      </c>
      <c r="AA394" s="12">
        <f t="shared" si="54"/>
        <v>0.62118691070438159</v>
      </c>
      <c r="AB394" s="13">
        <f t="shared" si="55"/>
        <v>0</v>
      </c>
      <c r="AC394" t="s">
        <v>67</v>
      </c>
    </row>
    <row r="395" spans="1:29" ht="14.25" customHeight="1" x14ac:dyDescent="0.45">
      <c r="A395" t="s">
        <v>518</v>
      </c>
      <c r="B395" s="10">
        <v>46039</v>
      </c>
      <c r="C395">
        <v>2026</v>
      </c>
      <c r="D395">
        <v>1</v>
      </c>
      <c r="E395" t="s">
        <v>69</v>
      </c>
      <c r="F395" t="s">
        <v>70</v>
      </c>
      <c r="G395" t="s">
        <v>105</v>
      </c>
      <c r="H395" t="s">
        <v>61</v>
      </c>
      <c r="I395" t="s">
        <v>72</v>
      </c>
      <c r="J395" t="s">
        <v>73</v>
      </c>
      <c r="K395" t="s">
        <v>74</v>
      </c>
      <c r="L395" t="s">
        <v>75</v>
      </c>
      <c r="M395" s="11">
        <v>43.33</v>
      </c>
      <c r="N395" s="11">
        <v>13.45</v>
      </c>
      <c r="O395" s="11">
        <v>7.03</v>
      </c>
      <c r="P395" s="11">
        <v>0.03</v>
      </c>
      <c r="Q395" s="11">
        <v>3.05</v>
      </c>
      <c r="R395" s="11">
        <v>1</v>
      </c>
      <c r="S395" s="11">
        <f t="shared" si="48"/>
        <v>43.33</v>
      </c>
      <c r="T395" s="11">
        <f t="shared" si="49"/>
        <v>13.45</v>
      </c>
      <c r="U395" s="11">
        <f t="shared" si="50"/>
        <v>7.03</v>
      </c>
      <c r="V395" s="11">
        <f t="shared" si="51"/>
        <v>1.3</v>
      </c>
      <c r="W395" s="11" t="s">
        <v>66</v>
      </c>
      <c r="X395" s="11">
        <v>0</v>
      </c>
      <c r="Y395" s="11">
        <f t="shared" si="52"/>
        <v>24.830000000000002</v>
      </c>
      <c r="Z395" s="11">
        <f t="shared" si="53"/>
        <v>18.499999999999996</v>
      </c>
      <c r="AA395" s="12">
        <f t="shared" si="54"/>
        <v>0.42695591968612961</v>
      </c>
      <c r="AB395" s="13">
        <f t="shared" si="55"/>
        <v>14.206557377049181</v>
      </c>
      <c r="AC395" t="s">
        <v>67</v>
      </c>
    </row>
    <row r="396" spans="1:29" ht="14.25" customHeight="1" x14ac:dyDescent="0.45">
      <c r="A396" t="s">
        <v>519</v>
      </c>
      <c r="B396" s="10">
        <v>46039</v>
      </c>
      <c r="C396">
        <v>2026</v>
      </c>
      <c r="D396">
        <v>1</v>
      </c>
      <c r="E396" t="s">
        <v>58</v>
      </c>
      <c r="F396" t="s">
        <v>92</v>
      </c>
      <c r="G396" t="s">
        <v>105</v>
      </c>
      <c r="H396" t="s">
        <v>61</v>
      </c>
      <c r="I396" t="s">
        <v>97</v>
      </c>
      <c r="J396" t="s">
        <v>98</v>
      </c>
      <c r="K396" t="s">
        <v>99</v>
      </c>
      <c r="L396" t="s">
        <v>100</v>
      </c>
      <c r="M396" s="11">
        <v>37.71</v>
      </c>
      <c r="N396" s="11">
        <v>9</v>
      </c>
      <c r="O396" s="11">
        <v>4.34</v>
      </c>
      <c r="P396" s="11">
        <v>0.03</v>
      </c>
      <c r="Q396" s="11">
        <v>11.61</v>
      </c>
      <c r="R396" s="11">
        <v>2</v>
      </c>
      <c r="S396" s="11">
        <f t="shared" si="48"/>
        <v>75.42</v>
      </c>
      <c r="T396" s="11">
        <f t="shared" si="49"/>
        <v>18</v>
      </c>
      <c r="U396" s="11">
        <f t="shared" si="50"/>
        <v>8.68</v>
      </c>
      <c r="V396" s="11">
        <f t="shared" si="51"/>
        <v>2.2599999999999998</v>
      </c>
      <c r="W396" s="11" t="s">
        <v>66</v>
      </c>
      <c r="X396" s="11">
        <v>0</v>
      </c>
      <c r="Y396" s="11">
        <f t="shared" si="52"/>
        <v>40.549999999999997</v>
      </c>
      <c r="Z396" s="11">
        <f t="shared" si="53"/>
        <v>34.870000000000005</v>
      </c>
      <c r="AA396" s="12">
        <f t="shared" si="54"/>
        <v>0.46234420578096003</v>
      </c>
      <c r="AB396" s="13">
        <f t="shared" si="55"/>
        <v>6.4961240310077528</v>
      </c>
      <c r="AC396" t="s">
        <v>67</v>
      </c>
    </row>
    <row r="397" spans="1:29" ht="14.25" customHeight="1" x14ac:dyDescent="0.45">
      <c r="A397" t="s">
        <v>520</v>
      </c>
      <c r="B397" s="10">
        <v>46040</v>
      </c>
      <c r="C397">
        <v>2026</v>
      </c>
      <c r="D397">
        <v>1</v>
      </c>
      <c r="E397" t="s">
        <v>58</v>
      </c>
      <c r="F397" t="s">
        <v>59</v>
      </c>
      <c r="G397" t="s">
        <v>60</v>
      </c>
      <c r="H397" t="s">
        <v>61</v>
      </c>
      <c r="I397" t="s">
        <v>138</v>
      </c>
      <c r="J397" t="s">
        <v>139</v>
      </c>
      <c r="K397" t="s">
        <v>89</v>
      </c>
      <c r="L397" t="s">
        <v>140</v>
      </c>
      <c r="M397" s="11">
        <v>39.619999999999997</v>
      </c>
      <c r="N397" s="11">
        <v>8.52</v>
      </c>
      <c r="O397" s="11">
        <v>4.5599999999999996</v>
      </c>
      <c r="P397" s="11">
        <v>0.03</v>
      </c>
      <c r="Q397" s="11">
        <v>16.47</v>
      </c>
      <c r="R397" s="11">
        <v>3</v>
      </c>
      <c r="S397" s="11">
        <f t="shared" si="48"/>
        <v>118.85999999999999</v>
      </c>
      <c r="T397" s="11">
        <f t="shared" si="49"/>
        <v>25.56</v>
      </c>
      <c r="U397" s="11">
        <f t="shared" si="50"/>
        <v>13.68</v>
      </c>
      <c r="V397" s="11">
        <f t="shared" si="51"/>
        <v>3.57</v>
      </c>
      <c r="W397" s="11" t="s">
        <v>66</v>
      </c>
      <c r="X397" s="11">
        <v>0</v>
      </c>
      <c r="Y397" s="11">
        <f t="shared" si="52"/>
        <v>59.279999999999994</v>
      </c>
      <c r="Z397" s="11">
        <f t="shared" si="53"/>
        <v>59.579999999999991</v>
      </c>
      <c r="AA397" s="12">
        <f t="shared" si="54"/>
        <v>0.50126198889449769</v>
      </c>
      <c r="AB397" s="13">
        <f t="shared" si="55"/>
        <v>7.2167577413479052</v>
      </c>
      <c r="AC397" t="s">
        <v>67</v>
      </c>
    </row>
    <row r="398" spans="1:29" ht="14.25" customHeight="1" x14ac:dyDescent="0.45">
      <c r="A398" t="s">
        <v>521</v>
      </c>
      <c r="B398" s="10">
        <v>46042</v>
      </c>
      <c r="C398">
        <v>2026</v>
      </c>
      <c r="D398">
        <v>1</v>
      </c>
      <c r="E398" t="s">
        <v>95</v>
      </c>
      <c r="F398" t="s">
        <v>96</v>
      </c>
      <c r="G398" t="s">
        <v>71</v>
      </c>
      <c r="H398" t="s">
        <v>86</v>
      </c>
      <c r="I398" t="s">
        <v>81</v>
      </c>
      <c r="J398" t="s">
        <v>82</v>
      </c>
      <c r="K398" t="s">
        <v>83</v>
      </c>
      <c r="L398" t="s">
        <v>84</v>
      </c>
      <c r="M398" s="11">
        <v>26.13</v>
      </c>
      <c r="N398" s="11">
        <v>6.19</v>
      </c>
      <c r="O398" s="11">
        <v>3.7</v>
      </c>
      <c r="P398" s="11">
        <v>0.03</v>
      </c>
      <c r="Q398" s="11">
        <v>0</v>
      </c>
      <c r="R398" s="11">
        <v>1</v>
      </c>
      <c r="S398" s="11">
        <f t="shared" si="48"/>
        <v>26.13</v>
      </c>
      <c r="T398" s="11">
        <f t="shared" si="49"/>
        <v>6.19</v>
      </c>
      <c r="U398" s="11">
        <f t="shared" si="50"/>
        <v>3.7</v>
      </c>
      <c r="V398" s="11">
        <f t="shared" si="51"/>
        <v>0.78</v>
      </c>
      <c r="W398" s="11" t="s">
        <v>66</v>
      </c>
      <c r="X398" s="11">
        <v>0</v>
      </c>
      <c r="Y398" s="11">
        <f t="shared" si="52"/>
        <v>10.67</v>
      </c>
      <c r="Z398" s="11">
        <f t="shared" si="53"/>
        <v>15.459999999999999</v>
      </c>
      <c r="AA398" s="12">
        <f t="shared" si="54"/>
        <v>0.5916570991197857</v>
      </c>
      <c r="AB398" s="13">
        <f t="shared" si="55"/>
        <v>0</v>
      </c>
      <c r="AC398" t="s">
        <v>67</v>
      </c>
    </row>
    <row r="399" spans="1:29" ht="14.25" customHeight="1" x14ac:dyDescent="0.45">
      <c r="A399" t="s">
        <v>522</v>
      </c>
      <c r="B399" s="10">
        <v>46043</v>
      </c>
      <c r="C399">
        <v>2026</v>
      </c>
      <c r="D399">
        <v>1</v>
      </c>
      <c r="E399" t="s">
        <v>95</v>
      </c>
      <c r="F399" t="s">
        <v>96</v>
      </c>
      <c r="G399" t="s">
        <v>93</v>
      </c>
      <c r="H399" t="s">
        <v>127</v>
      </c>
      <c r="I399" t="s">
        <v>97</v>
      </c>
      <c r="J399" t="s">
        <v>98</v>
      </c>
      <c r="K399" t="s">
        <v>99</v>
      </c>
      <c r="L399" t="s">
        <v>100</v>
      </c>
      <c r="M399" s="11">
        <v>37.35</v>
      </c>
      <c r="N399" s="11">
        <v>8.7100000000000009</v>
      </c>
      <c r="O399" s="11">
        <v>4.18</v>
      </c>
      <c r="P399" s="11">
        <v>0.03</v>
      </c>
      <c r="Q399" s="11">
        <v>4.75</v>
      </c>
      <c r="R399" s="11">
        <v>1</v>
      </c>
      <c r="S399" s="11">
        <f t="shared" si="48"/>
        <v>37.35</v>
      </c>
      <c r="T399" s="11">
        <f t="shared" si="49"/>
        <v>8.7100000000000009</v>
      </c>
      <c r="U399" s="11">
        <f t="shared" si="50"/>
        <v>4.18</v>
      </c>
      <c r="V399" s="11">
        <f t="shared" si="51"/>
        <v>1.1200000000000001</v>
      </c>
      <c r="W399" s="11" t="s">
        <v>66</v>
      </c>
      <c r="X399" s="11">
        <v>0</v>
      </c>
      <c r="Y399" s="11">
        <f t="shared" si="52"/>
        <v>18.760000000000002</v>
      </c>
      <c r="Z399" s="11">
        <f t="shared" si="53"/>
        <v>18.59</v>
      </c>
      <c r="AA399" s="12">
        <f t="shared" si="54"/>
        <v>0.4977242302543507</v>
      </c>
      <c r="AB399" s="13">
        <f t="shared" si="55"/>
        <v>7.8631578947368421</v>
      </c>
      <c r="AC399" t="s">
        <v>67</v>
      </c>
    </row>
    <row r="400" spans="1:29" ht="14.25" customHeight="1" x14ac:dyDescent="0.45">
      <c r="A400" t="s">
        <v>523</v>
      </c>
      <c r="B400" s="10">
        <v>46044</v>
      </c>
      <c r="C400">
        <v>2026</v>
      </c>
      <c r="D400">
        <v>1</v>
      </c>
      <c r="E400" t="s">
        <v>95</v>
      </c>
      <c r="F400" t="s">
        <v>96</v>
      </c>
      <c r="G400" t="s">
        <v>126</v>
      </c>
      <c r="H400" t="s">
        <v>86</v>
      </c>
      <c r="I400" t="s">
        <v>72</v>
      </c>
      <c r="J400" t="s">
        <v>73</v>
      </c>
      <c r="K400" t="s">
        <v>74</v>
      </c>
      <c r="L400" t="s">
        <v>75</v>
      </c>
      <c r="M400" s="11">
        <v>44.96</v>
      </c>
      <c r="N400" s="11">
        <v>14.01</v>
      </c>
      <c r="O400" s="11">
        <v>6.57</v>
      </c>
      <c r="P400" s="11">
        <v>0.03</v>
      </c>
      <c r="Q400" s="11">
        <v>8.68</v>
      </c>
      <c r="R400" s="11">
        <v>1</v>
      </c>
      <c r="S400" s="11">
        <f t="shared" si="48"/>
        <v>44.96</v>
      </c>
      <c r="T400" s="11">
        <f t="shared" si="49"/>
        <v>14.01</v>
      </c>
      <c r="U400" s="11">
        <f t="shared" si="50"/>
        <v>6.57</v>
      </c>
      <c r="V400" s="11">
        <f t="shared" si="51"/>
        <v>1.35</v>
      </c>
      <c r="W400" s="11" t="s">
        <v>66</v>
      </c>
      <c r="X400" s="11">
        <v>0</v>
      </c>
      <c r="Y400" s="11">
        <f t="shared" si="52"/>
        <v>30.61</v>
      </c>
      <c r="Z400" s="11">
        <f t="shared" si="53"/>
        <v>14.350000000000001</v>
      </c>
      <c r="AA400" s="12">
        <f t="shared" si="54"/>
        <v>0.3191725978647687</v>
      </c>
      <c r="AB400" s="13">
        <f t="shared" si="55"/>
        <v>5.1797235023041477</v>
      </c>
      <c r="AC400" t="s">
        <v>67</v>
      </c>
    </row>
    <row r="401" spans="1:29" ht="14.25" customHeight="1" x14ac:dyDescent="0.45">
      <c r="A401" t="s">
        <v>524</v>
      </c>
      <c r="B401" s="10">
        <v>46046</v>
      </c>
      <c r="C401">
        <v>2026</v>
      </c>
      <c r="D401">
        <v>1</v>
      </c>
      <c r="E401" t="s">
        <v>69</v>
      </c>
      <c r="F401" t="s">
        <v>70</v>
      </c>
      <c r="G401" t="s">
        <v>79</v>
      </c>
      <c r="H401" t="s">
        <v>80</v>
      </c>
      <c r="I401" t="s">
        <v>133</v>
      </c>
      <c r="J401" t="s">
        <v>134</v>
      </c>
      <c r="K401" t="s">
        <v>135</v>
      </c>
      <c r="L401" t="s">
        <v>136</v>
      </c>
      <c r="M401" s="11">
        <v>14.63</v>
      </c>
      <c r="N401" s="11">
        <v>2.14</v>
      </c>
      <c r="O401" s="11">
        <v>2</v>
      </c>
      <c r="P401" s="11">
        <v>0.03</v>
      </c>
      <c r="Q401" s="11">
        <v>20.73</v>
      </c>
      <c r="R401" s="11">
        <v>3</v>
      </c>
      <c r="S401" s="11">
        <f t="shared" si="48"/>
        <v>43.89</v>
      </c>
      <c r="T401" s="11">
        <f t="shared" si="49"/>
        <v>6.42</v>
      </c>
      <c r="U401" s="11">
        <f t="shared" si="50"/>
        <v>6</v>
      </c>
      <c r="V401" s="11">
        <f t="shared" si="51"/>
        <v>1.32</v>
      </c>
      <c r="W401" s="11" t="s">
        <v>66</v>
      </c>
      <c r="X401" s="11">
        <v>0</v>
      </c>
      <c r="Y401" s="11">
        <f t="shared" si="52"/>
        <v>34.47</v>
      </c>
      <c r="Z401" s="11">
        <f t="shared" si="53"/>
        <v>9.4200000000000017</v>
      </c>
      <c r="AA401" s="12">
        <f t="shared" si="54"/>
        <v>0.21462747778537256</v>
      </c>
      <c r="AB401" s="13">
        <f t="shared" si="55"/>
        <v>2.1172214182344429</v>
      </c>
      <c r="AC401" t="s">
        <v>67</v>
      </c>
    </row>
    <row r="402" spans="1:29" ht="14.25" customHeight="1" x14ac:dyDescent="0.45">
      <c r="A402" t="s">
        <v>525</v>
      </c>
      <c r="B402" s="10">
        <v>46047</v>
      </c>
      <c r="C402">
        <v>2026</v>
      </c>
      <c r="D402">
        <v>1</v>
      </c>
      <c r="E402" t="s">
        <v>77</v>
      </c>
      <c r="F402" t="s">
        <v>78</v>
      </c>
      <c r="G402" t="s">
        <v>105</v>
      </c>
      <c r="H402" t="s">
        <v>112</v>
      </c>
      <c r="I402" t="s">
        <v>138</v>
      </c>
      <c r="J402" t="s">
        <v>139</v>
      </c>
      <c r="K402" t="s">
        <v>89</v>
      </c>
      <c r="L402" t="s">
        <v>140</v>
      </c>
      <c r="M402" s="11">
        <v>42.02</v>
      </c>
      <c r="N402" s="11">
        <v>8.92</v>
      </c>
      <c r="O402" s="11">
        <v>3.78</v>
      </c>
      <c r="P402" s="11">
        <v>0.03</v>
      </c>
      <c r="Q402" s="11">
        <v>7.58</v>
      </c>
      <c r="R402" s="11">
        <v>1</v>
      </c>
      <c r="S402" s="11">
        <f t="shared" si="48"/>
        <v>42.02</v>
      </c>
      <c r="T402" s="11">
        <f t="shared" si="49"/>
        <v>8.92</v>
      </c>
      <c r="U402" s="11">
        <f t="shared" si="50"/>
        <v>3.78</v>
      </c>
      <c r="V402" s="11">
        <f t="shared" si="51"/>
        <v>1.26</v>
      </c>
      <c r="W402" s="11" t="s">
        <v>66</v>
      </c>
      <c r="X402" s="11">
        <v>0</v>
      </c>
      <c r="Y402" s="11">
        <f t="shared" si="52"/>
        <v>21.54</v>
      </c>
      <c r="Z402" s="11">
        <f t="shared" si="53"/>
        <v>20.480000000000004</v>
      </c>
      <c r="AA402" s="12">
        <f t="shared" si="54"/>
        <v>0.48738695859114711</v>
      </c>
      <c r="AB402" s="13">
        <f t="shared" si="55"/>
        <v>5.5435356200527712</v>
      </c>
      <c r="AC402" t="s">
        <v>67</v>
      </c>
    </row>
    <row r="403" spans="1:29" ht="14.25" customHeight="1" x14ac:dyDescent="0.45">
      <c r="A403" t="s">
        <v>526</v>
      </c>
      <c r="B403" s="10">
        <v>46048</v>
      </c>
      <c r="C403">
        <v>2026</v>
      </c>
      <c r="D403">
        <v>1</v>
      </c>
      <c r="E403" t="s">
        <v>122</v>
      </c>
      <c r="F403" t="s">
        <v>123</v>
      </c>
      <c r="G403" t="s">
        <v>105</v>
      </c>
      <c r="H403" t="s">
        <v>80</v>
      </c>
      <c r="I403" t="s">
        <v>147</v>
      </c>
      <c r="J403" t="s">
        <v>148</v>
      </c>
      <c r="K403" t="s">
        <v>149</v>
      </c>
      <c r="L403" t="s">
        <v>150</v>
      </c>
      <c r="M403" s="11">
        <v>31.24</v>
      </c>
      <c r="N403" s="11">
        <v>7.33</v>
      </c>
      <c r="O403" s="11">
        <v>5.0999999999999996</v>
      </c>
      <c r="P403" s="11">
        <v>0.03</v>
      </c>
      <c r="Q403" s="11">
        <v>7.39</v>
      </c>
      <c r="R403" s="11">
        <v>1</v>
      </c>
      <c r="S403" s="11">
        <f t="shared" si="48"/>
        <v>31.24</v>
      </c>
      <c r="T403" s="11">
        <f t="shared" si="49"/>
        <v>7.33</v>
      </c>
      <c r="U403" s="11">
        <f t="shared" si="50"/>
        <v>5.0999999999999996</v>
      </c>
      <c r="V403" s="11">
        <f t="shared" si="51"/>
        <v>0.94</v>
      </c>
      <c r="W403" s="11" t="s">
        <v>66</v>
      </c>
      <c r="X403" s="11">
        <v>0</v>
      </c>
      <c r="Y403" s="11">
        <f t="shared" si="52"/>
        <v>20.759999999999998</v>
      </c>
      <c r="Z403" s="11">
        <f t="shared" si="53"/>
        <v>10.48</v>
      </c>
      <c r="AA403" s="12">
        <f t="shared" si="54"/>
        <v>0.33546734955185664</v>
      </c>
      <c r="AB403" s="13">
        <f t="shared" si="55"/>
        <v>4.2273342354533154</v>
      </c>
      <c r="AC403" t="s">
        <v>67</v>
      </c>
    </row>
    <row r="404" spans="1:29" ht="14.25" customHeight="1" x14ac:dyDescent="0.45">
      <c r="A404" t="s">
        <v>527</v>
      </c>
      <c r="B404" s="10">
        <v>46050</v>
      </c>
      <c r="C404">
        <v>2026</v>
      </c>
      <c r="D404">
        <v>1</v>
      </c>
      <c r="E404" t="s">
        <v>122</v>
      </c>
      <c r="F404" t="s">
        <v>123</v>
      </c>
      <c r="G404" t="s">
        <v>126</v>
      </c>
      <c r="H404" t="s">
        <v>127</v>
      </c>
      <c r="I404" t="s">
        <v>133</v>
      </c>
      <c r="J404" t="s">
        <v>134</v>
      </c>
      <c r="K404" t="s">
        <v>135</v>
      </c>
      <c r="L404" t="s">
        <v>136</v>
      </c>
      <c r="M404" s="11">
        <v>16.440000000000001</v>
      </c>
      <c r="N404" s="11">
        <v>2.0099999999999998</v>
      </c>
      <c r="O404" s="11">
        <v>1.94</v>
      </c>
      <c r="P404" s="11">
        <v>0.03</v>
      </c>
      <c r="Q404" s="11">
        <v>6.84</v>
      </c>
      <c r="R404" s="11">
        <v>1</v>
      </c>
      <c r="S404" s="11">
        <f t="shared" si="48"/>
        <v>16.440000000000001</v>
      </c>
      <c r="T404" s="11">
        <f t="shared" si="49"/>
        <v>2.0099999999999998</v>
      </c>
      <c r="U404" s="11">
        <f t="shared" si="50"/>
        <v>1.94</v>
      </c>
      <c r="V404" s="11">
        <f t="shared" si="51"/>
        <v>0.49</v>
      </c>
      <c r="W404" s="11" t="s">
        <v>66</v>
      </c>
      <c r="X404" s="11">
        <v>0</v>
      </c>
      <c r="Y404" s="11">
        <f t="shared" si="52"/>
        <v>11.28</v>
      </c>
      <c r="Z404" s="11">
        <f t="shared" si="53"/>
        <v>5.1600000000000019</v>
      </c>
      <c r="AA404" s="12">
        <f t="shared" si="54"/>
        <v>0.31386861313868625</v>
      </c>
      <c r="AB404" s="13">
        <f t="shared" si="55"/>
        <v>2.4035087719298249</v>
      </c>
      <c r="AC404" t="s">
        <v>67</v>
      </c>
    </row>
    <row r="405" spans="1:29" ht="14.25" customHeight="1" x14ac:dyDescent="0.45">
      <c r="A405" t="s">
        <v>528</v>
      </c>
      <c r="B405" s="10">
        <v>46051</v>
      </c>
      <c r="C405">
        <v>2026</v>
      </c>
      <c r="D405">
        <v>1</v>
      </c>
      <c r="E405" t="s">
        <v>58</v>
      </c>
      <c r="F405" t="s">
        <v>92</v>
      </c>
      <c r="G405" t="s">
        <v>93</v>
      </c>
      <c r="H405" t="s">
        <v>80</v>
      </c>
      <c r="I405" t="s">
        <v>138</v>
      </c>
      <c r="J405" t="s">
        <v>139</v>
      </c>
      <c r="K405" t="s">
        <v>89</v>
      </c>
      <c r="L405" t="s">
        <v>140</v>
      </c>
      <c r="M405" s="11">
        <v>37.69</v>
      </c>
      <c r="N405" s="11">
        <v>9.07</v>
      </c>
      <c r="O405" s="11">
        <v>4.1900000000000004</v>
      </c>
      <c r="P405" s="11">
        <v>0.03</v>
      </c>
      <c r="Q405" s="11">
        <v>15.21</v>
      </c>
      <c r="R405" s="11">
        <v>2</v>
      </c>
      <c r="S405" s="11">
        <f t="shared" si="48"/>
        <v>75.38</v>
      </c>
      <c r="T405" s="11">
        <f t="shared" si="49"/>
        <v>18.14</v>
      </c>
      <c r="U405" s="11">
        <f t="shared" si="50"/>
        <v>8.3800000000000008</v>
      </c>
      <c r="V405" s="11">
        <f t="shared" si="51"/>
        <v>2.2599999999999998</v>
      </c>
      <c r="W405" s="11" t="s">
        <v>66</v>
      </c>
      <c r="X405" s="11">
        <v>0</v>
      </c>
      <c r="Y405" s="11">
        <f t="shared" si="52"/>
        <v>43.99</v>
      </c>
      <c r="Z405" s="11">
        <f t="shared" si="53"/>
        <v>31.389999999999993</v>
      </c>
      <c r="AA405" s="12">
        <f t="shared" si="54"/>
        <v>0.41642345449721407</v>
      </c>
      <c r="AB405" s="13">
        <f t="shared" si="55"/>
        <v>4.9559500328731092</v>
      </c>
      <c r="AC405" t="s">
        <v>67</v>
      </c>
    </row>
    <row r="406" spans="1:29" ht="14.25" customHeight="1" x14ac:dyDescent="0.45">
      <c r="A406" t="s">
        <v>529</v>
      </c>
      <c r="B406" s="10">
        <v>46051</v>
      </c>
      <c r="C406">
        <v>2026</v>
      </c>
      <c r="D406">
        <v>1</v>
      </c>
      <c r="E406" t="s">
        <v>77</v>
      </c>
      <c r="F406" t="s">
        <v>102</v>
      </c>
      <c r="G406" t="s">
        <v>71</v>
      </c>
      <c r="H406" t="s">
        <v>61</v>
      </c>
      <c r="I406" t="s">
        <v>107</v>
      </c>
      <c r="J406" t="s">
        <v>108</v>
      </c>
      <c r="K406" t="s">
        <v>109</v>
      </c>
      <c r="L406" t="s">
        <v>110</v>
      </c>
      <c r="M406" s="11">
        <v>20.83</v>
      </c>
      <c r="N406" s="11">
        <v>3.47</v>
      </c>
      <c r="O406" s="11">
        <v>2.4500000000000002</v>
      </c>
      <c r="P406" s="11">
        <v>0.03</v>
      </c>
      <c r="Q406" s="11">
        <v>0</v>
      </c>
      <c r="R406" s="11">
        <v>1</v>
      </c>
      <c r="S406" s="11">
        <f t="shared" si="48"/>
        <v>20.83</v>
      </c>
      <c r="T406" s="11">
        <f t="shared" si="49"/>
        <v>3.47</v>
      </c>
      <c r="U406" s="11">
        <f t="shared" si="50"/>
        <v>2.4500000000000002</v>
      </c>
      <c r="V406" s="11">
        <f t="shared" si="51"/>
        <v>0.62</v>
      </c>
      <c r="W406" s="11" t="s">
        <v>66</v>
      </c>
      <c r="X406" s="11">
        <v>0</v>
      </c>
      <c r="Y406" s="11">
        <f t="shared" si="52"/>
        <v>6.54</v>
      </c>
      <c r="Z406" s="11">
        <f t="shared" si="53"/>
        <v>14.29</v>
      </c>
      <c r="AA406" s="12">
        <f t="shared" si="54"/>
        <v>0.68602976476236199</v>
      </c>
      <c r="AB406" s="13">
        <f t="shared" si="55"/>
        <v>0</v>
      </c>
      <c r="AC406" t="s">
        <v>67</v>
      </c>
    </row>
    <row r="407" spans="1:29" ht="14.25" customHeight="1" x14ac:dyDescent="0.45">
      <c r="A407" t="s">
        <v>530</v>
      </c>
      <c r="B407" s="10">
        <v>46051</v>
      </c>
      <c r="C407">
        <v>2026</v>
      </c>
      <c r="D407">
        <v>1</v>
      </c>
      <c r="E407" t="s">
        <v>77</v>
      </c>
      <c r="F407" t="s">
        <v>104</v>
      </c>
      <c r="G407" t="s">
        <v>60</v>
      </c>
      <c r="H407" t="s">
        <v>80</v>
      </c>
      <c r="I407" t="s">
        <v>133</v>
      </c>
      <c r="J407" t="s">
        <v>134</v>
      </c>
      <c r="K407" t="s">
        <v>135</v>
      </c>
      <c r="L407" t="s">
        <v>136</v>
      </c>
      <c r="M407" s="11">
        <v>14.9</v>
      </c>
      <c r="N407" s="11">
        <v>2.06</v>
      </c>
      <c r="O407" s="11">
        <v>2.2599999999999998</v>
      </c>
      <c r="P407" s="11">
        <v>0.03</v>
      </c>
      <c r="Q407" s="11">
        <v>7.78</v>
      </c>
      <c r="R407" s="11">
        <v>1</v>
      </c>
      <c r="S407" s="11">
        <f t="shared" si="48"/>
        <v>14.9</v>
      </c>
      <c r="T407" s="11">
        <f t="shared" si="49"/>
        <v>2.06</v>
      </c>
      <c r="U407" s="11">
        <f t="shared" si="50"/>
        <v>2.2599999999999998</v>
      </c>
      <c r="V407" s="11">
        <f t="shared" si="51"/>
        <v>0.45</v>
      </c>
      <c r="W407" s="11" t="s">
        <v>66</v>
      </c>
      <c r="X407" s="11">
        <v>0</v>
      </c>
      <c r="Y407" s="11">
        <f t="shared" si="52"/>
        <v>12.55</v>
      </c>
      <c r="Z407" s="11">
        <f t="shared" si="53"/>
        <v>2.3499999999999996</v>
      </c>
      <c r="AA407" s="12">
        <f t="shared" si="54"/>
        <v>0.15771812080536909</v>
      </c>
      <c r="AB407" s="13">
        <f t="shared" si="55"/>
        <v>1.9151670951156812</v>
      </c>
      <c r="AC407" t="s">
        <v>67</v>
      </c>
    </row>
    <row r="408" spans="1:29" ht="14.25" customHeight="1" x14ac:dyDescent="0.45">
      <c r="A408" t="s">
        <v>531</v>
      </c>
      <c r="B408" s="10">
        <v>46052</v>
      </c>
      <c r="C408">
        <v>2026</v>
      </c>
      <c r="D408">
        <v>1</v>
      </c>
      <c r="E408" t="s">
        <v>77</v>
      </c>
      <c r="F408" t="s">
        <v>104</v>
      </c>
      <c r="G408" t="s">
        <v>105</v>
      </c>
      <c r="H408" t="s">
        <v>112</v>
      </c>
      <c r="I408" t="s">
        <v>72</v>
      </c>
      <c r="J408" t="s">
        <v>73</v>
      </c>
      <c r="K408" t="s">
        <v>74</v>
      </c>
      <c r="L408" t="s">
        <v>75</v>
      </c>
      <c r="M408" s="11">
        <v>43.2</v>
      </c>
      <c r="N408" s="11">
        <v>13.97</v>
      </c>
      <c r="O408" s="11">
        <v>6.67</v>
      </c>
      <c r="P408" s="11">
        <v>0.03</v>
      </c>
      <c r="Q408" s="11">
        <v>26.99</v>
      </c>
      <c r="R408" s="11">
        <v>3</v>
      </c>
      <c r="S408" s="11">
        <f t="shared" si="48"/>
        <v>0</v>
      </c>
      <c r="T408" s="11">
        <f t="shared" si="49"/>
        <v>0</v>
      </c>
      <c r="U408" s="11">
        <f t="shared" si="50"/>
        <v>0</v>
      </c>
      <c r="V408" s="11">
        <f t="shared" si="51"/>
        <v>0</v>
      </c>
      <c r="W408" s="11" t="s">
        <v>66</v>
      </c>
      <c r="X408" s="11">
        <v>0</v>
      </c>
      <c r="Y408" s="11">
        <f t="shared" si="52"/>
        <v>0</v>
      </c>
      <c r="Z408" s="11">
        <f t="shared" si="53"/>
        <v>-26.99</v>
      </c>
      <c r="AA408" s="12">
        <f t="shared" si="54"/>
        <v>0</v>
      </c>
      <c r="AB408" s="13">
        <f t="shared" si="55"/>
        <v>0</v>
      </c>
      <c r="AC408" t="s">
        <v>166</v>
      </c>
    </row>
    <row r="409" spans="1:29" ht="14.25" customHeight="1" x14ac:dyDescent="0.45">
      <c r="A409" t="s">
        <v>532</v>
      </c>
      <c r="B409" s="10">
        <v>46054</v>
      </c>
      <c r="C409">
        <v>2026</v>
      </c>
      <c r="D409">
        <v>2</v>
      </c>
      <c r="E409" t="s">
        <v>69</v>
      </c>
      <c r="F409" t="s">
        <v>70</v>
      </c>
      <c r="G409" t="s">
        <v>79</v>
      </c>
      <c r="H409" t="s">
        <v>80</v>
      </c>
      <c r="I409" t="s">
        <v>97</v>
      </c>
      <c r="J409" t="s">
        <v>98</v>
      </c>
      <c r="K409" t="s">
        <v>99</v>
      </c>
      <c r="L409" t="s">
        <v>100</v>
      </c>
      <c r="M409" s="11">
        <v>36.36</v>
      </c>
      <c r="N409" s="11">
        <v>9.56</v>
      </c>
      <c r="O409" s="11">
        <v>4.03</v>
      </c>
      <c r="P409" s="11">
        <v>0.03</v>
      </c>
      <c r="Q409" s="11">
        <v>6.21</v>
      </c>
      <c r="R409" s="11">
        <v>1</v>
      </c>
      <c r="S409" s="11">
        <f t="shared" si="48"/>
        <v>36.36</v>
      </c>
      <c r="T409" s="11">
        <f t="shared" si="49"/>
        <v>9.56</v>
      </c>
      <c r="U409" s="11">
        <f t="shared" si="50"/>
        <v>4.03</v>
      </c>
      <c r="V409" s="11">
        <f t="shared" si="51"/>
        <v>1.0900000000000001</v>
      </c>
      <c r="W409" s="11" t="s">
        <v>66</v>
      </c>
      <c r="X409" s="11">
        <v>0</v>
      </c>
      <c r="Y409" s="11">
        <f t="shared" si="52"/>
        <v>20.89</v>
      </c>
      <c r="Z409" s="11">
        <f t="shared" si="53"/>
        <v>15.469999999999999</v>
      </c>
      <c r="AA409" s="12">
        <f t="shared" si="54"/>
        <v>0.42546754675467546</v>
      </c>
      <c r="AB409" s="13">
        <f t="shared" si="55"/>
        <v>5.8550724637681162</v>
      </c>
      <c r="AC409" t="s">
        <v>67</v>
      </c>
    </row>
    <row r="410" spans="1:29" ht="14.25" customHeight="1" x14ac:dyDescent="0.45">
      <c r="A410" t="s">
        <v>533</v>
      </c>
      <c r="B410" s="10">
        <v>46055</v>
      </c>
      <c r="C410">
        <v>2026</v>
      </c>
      <c r="D410">
        <v>2</v>
      </c>
      <c r="E410" t="s">
        <v>77</v>
      </c>
      <c r="F410" t="s">
        <v>104</v>
      </c>
      <c r="G410" t="s">
        <v>79</v>
      </c>
      <c r="H410" t="s">
        <v>80</v>
      </c>
      <c r="I410" t="s">
        <v>133</v>
      </c>
      <c r="J410" t="s">
        <v>134</v>
      </c>
      <c r="K410" t="s">
        <v>135</v>
      </c>
      <c r="L410" t="s">
        <v>136</v>
      </c>
      <c r="M410" s="11">
        <v>14.64</v>
      </c>
      <c r="N410" s="11">
        <v>2.15</v>
      </c>
      <c r="O410" s="11">
        <v>2.02</v>
      </c>
      <c r="P410" s="11">
        <v>0.03</v>
      </c>
      <c r="Q410" s="11">
        <v>14.94</v>
      </c>
      <c r="R410" s="11">
        <v>2</v>
      </c>
      <c r="S410" s="11">
        <f t="shared" si="48"/>
        <v>29.28</v>
      </c>
      <c r="T410" s="11">
        <f t="shared" si="49"/>
        <v>4.3</v>
      </c>
      <c r="U410" s="11">
        <f t="shared" si="50"/>
        <v>4.04</v>
      </c>
      <c r="V410" s="11">
        <f t="shared" si="51"/>
        <v>0.88</v>
      </c>
      <c r="W410" s="11" t="s">
        <v>66</v>
      </c>
      <c r="X410" s="11">
        <v>0</v>
      </c>
      <c r="Y410" s="11">
        <f t="shared" si="52"/>
        <v>24.16</v>
      </c>
      <c r="Z410" s="11">
        <f t="shared" si="53"/>
        <v>5.120000000000001</v>
      </c>
      <c r="AA410" s="12">
        <f t="shared" si="54"/>
        <v>0.1748633879781421</v>
      </c>
      <c r="AB410" s="13">
        <f t="shared" si="55"/>
        <v>1.959839357429719</v>
      </c>
      <c r="AC410" t="s">
        <v>67</v>
      </c>
    </row>
    <row r="411" spans="1:29" ht="14.25" customHeight="1" x14ac:dyDescent="0.45">
      <c r="A411" t="s">
        <v>534</v>
      </c>
      <c r="B411" s="10">
        <v>46056</v>
      </c>
      <c r="C411">
        <v>2026</v>
      </c>
      <c r="D411">
        <v>2</v>
      </c>
      <c r="E411" t="s">
        <v>77</v>
      </c>
      <c r="F411" t="s">
        <v>78</v>
      </c>
      <c r="G411" t="s">
        <v>105</v>
      </c>
      <c r="H411" t="s">
        <v>86</v>
      </c>
      <c r="I411" t="s">
        <v>133</v>
      </c>
      <c r="J411" t="s">
        <v>134</v>
      </c>
      <c r="K411" t="s">
        <v>135</v>
      </c>
      <c r="L411" t="s">
        <v>136</v>
      </c>
      <c r="M411" s="11">
        <v>16.510000000000002</v>
      </c>
      <c r="N411" s="11">
        <v>2.04</v>
      </c>
      <c r="O411" s="11">
        <v>1.91</v>
      </c>
      <c r="P411" s="11">
        <v>0.03</v>
      </c>
      <c r="Q411" s="11">
        <v>15.86</v>
      </c>
      <c r="R411" s="11">
        <v>2</v>
      </c>
      <c r="S411" s="11">
        <f t="shared" si="48"/>
        <v>33.020000000000003</v>
      </c>
      <c r="T411" s="11">
        <f t="shared" si="49"/>
        <v>4.08</v>
      </c>
      <c r="U411" s="11">
        <f t="shared" si="50"/>
        <v>3.82</v>
      </c>
      <c r="V411" s="11">
        <f t="shared" si="51"/>
        <v>0.99</v>
      </c>
      <c r="W411" s="11" t="s">
        <v>66</v>
      </c>
      <c r="X411" s="11">
        <v>0</v>
      </c>
      <c r="Y411" s="11">
        <f t="shared" si="52"/>
        <v>24.75</v>
      </c>
      <c r="Z411" s="11">
        <f t="shared" si="53"/>
        <v>8.2700000000000031</v>
      </c>
      <c r="AA411" s="12">
        <f t="shared" si="54"/>
        <v>0.2504542701393096</v>
      </c>
      <c r="AB411" s="13">
        <f t="shared" si="55"/>
        <v>2.0819672131147544</v>
      </c>
      <c r="AC411" t="s">
        <v>67</v>
      </c>
    </row>
    <row r="412" spans="1:29" ht="14.25" customHeight="1" x14ac:dyDescent="0.45">
      <c r="A412" t="s">
        <v>535</v>
      </c>
      <c r="B412" s="10">
        <v>46056</v>
      </c>
      <c r="C412">
        <v>2026</v>
      </c>
      <c r="D412">
        <v>2</v>
      </c>
      <c r="E412" t="s">
        <v>58</v>
      </c>
      <c r="F412" t="s">
        <v>59</v>
      </c>
      <c r="G412" t="s">
        <v>126</v>
      </c>
      <c r="H412" t="s">
        <v>80</v>
      </c>
      <c r="I412" t="s">
        <v>62</v>
      </c>
      <c r="J412" t="s">
        <v>63</v>
      </c>
      <c r="K412" t="s">
        <v>64</v>
      </c>
      <c r="L412" t="s">
        <v>65</v>
      </c>
      <c r="M412" s="11">
        <v>34.51</v>
      </c>
      <c r="N412" s="11">
        <v>9.61</v>
      </c>
      <c r="O412" s="11">
        <v>3.96</v>
      </c>
      <c r="P412" s="11">
        <v>0.03</v>
      </c>
      <c r="Q412" s="11">
        <v>5.66</v>
      </c>
      <c r="R412" s="11">
        <v>3</v>
      </c>
      <c r="S412" s="11">
        <f t="shared" si="48"/>
        <v>103.53</v>
      </c>
      <c r="T412" s="11">
        <f t="shared" si="49"/>
        <v>28.83</v>
      </c>
      <c r="U412" s="11">
        <f t="shared" si="50"/>
        <v>11.879999999999999</v>
      </c>
      <c r="V412" s="11">
        <f t="shared" si="51"/>
        <v>3.11</v>
      </c>
      <c r="W412" s="11" t="s">
        <v>66</v>
      </c>
      <c r="X412" s="11">
        <v>0</v>
      </c>
      <c r="Y412" s="11">
        <f t="shared" si="52"/>
        <v>49.47999999999999</v>
      </c>
      <c r="Z412" s="11">
        <f t="shared" si="53"/>
        <v>54.050000000000011</v>
      </c>
      <c r="AA412" s="12">
        <f t="shared" si="54"/>
        <v>0.52207089732444711</v>
      </c>
      <c r="AB412" s="13">
        <f t="shared" si="55"/>
        <v>18.291519434628974</v>
      </c>
      <c r="AC412" t="s">
        <v>67</v>
      </c>
    </row>
    <row r="413" spans="1:29" ht="14.25" customHeight="1" x14ac:dyDescent="0.45">
      <c r="A413" t="s">
        <v>536</v>
      </c>
      <c r="B413" s="10">
        <v>46058</v>
      </c>
      <c r="C413">
        <v>2026</v>
      </c>
      <c r="D413">
        <v>2</v>
      </c>
      <c r="E413" t="s">
        <v>77</v>
      </c>
      <c r="F413" t="s">
        <v>102</v>
      </c>
      <c r="G413" t="s">
        <v>105</v>
      </c>
      <c r="H413" t="s">
        <v>80</v>
      </c>
      <c r="I413" t="s">
        <v>72</v>
      </c>
      <c r="J413" t="s">
        <v>73</v>
      </c>
      <c r="K413" t="s">
        <v>74</v>
      </c>
      <c r="L413" t="s">
        <v>75</v>
      </c>
      <c r="M413" s="11">
        <v>47.42</v>
      </c>
      <c r="N413" s="11">
        <v>14.72</v>
      </c>
      <c r="O413" s="11">
        <v>7.05</v>
      </c>
      <c r="P413" s="11">
        <v>0.03</v>
      </c>
      <c r="Q413" s="11">
        <v>14.5</v>
      </c>
      <c r="R413" s="11">
        <v>2</v>
      </c>
      <c r="S413" s="11">
        <f t="shared" si="48"/>
        <v>94.84</v>
      </c>
      <c r="T413" s="11">
        <f t="shared" si="49"/>
        <v>29.44</v>
      </c>
      <c r="U413" s="11">
        <f t="shared" si="50"/>
        <v>14.1</v>
      </c>
      <c r="V413" s="11">
        <f t="shared" si="51"/>
        <v>2.85</v>
      </c>
      <c r="W413" s="11" t="s">
        <v>66</v>
      </c>
      <c r="X413" s="11">
        <v>0</v>
      </c>
      <c r="Y413" s="11">
        <f t="shared" si="52"/>
        <v>60.89</v>
      </c>
      <c r="Z413" s="11">
        <f t="shared" si="53"/>
        <v>33.950000000000003</v>
      </c>
      <c r="AA413" s="12">
        <f t="shared" si="54"/>
        <v>0.35797132011809363</v>
      </c>
      <c r="AB413" s="13">
        <f t="shared" si="55"/>
        <v>6.5406896551724136</v>
      </c>
      <c r="AC413" t="s">
        <v>67</v>
      </c>
    </row>
    <row r="414" spans="1:29" ht="14.25" customHeight="1" x14ac:dyDescent="0.45">
      <c r="A414" t="s">
        <v>537</v>
      </c>
      <c r="B414" s="10">
        <v>46060</v>
      </c>
      <c r="C414">
        <v>2026</v>
      </c>
      <c r="D414">
        <v>2</v>
      </c>
      <c r="E414" t="s">
        <v>95</v>
      </c>
      <c r="F414" t="s">
        <v>96</v>
      </c>
      <c r="G414" t="s">
        <v>60</v>
      </c>
      <c r="H414" t="s">
        <v>80</v>
      </c>
      <c r="I414" t="s">
        <v>62</v>
      </c>
      <c r="J414" t="s">
        <v>63</v>
      </c>
      <c r="K414" t="s">
        <v>64</v>
      </c>
      <c r="L414" t="s">
        <v>65</v>
      </c>
      <c r="M414" s="11">
        <v>35.11</v>
      </c>
      <c r="N414" s="11">
        <v>9.6</v>
      </c>
      <c r="O414" s="11">
        <v>4.55</v>
      </c>
      <c r="P414" s="11">
        <v>0.03</v>
      </c>
      <c r="Q414" s="11">
        <v>13.93</v>
      </c>
      <c r="R414" s="11">
        <v>3</v>
      </c>
      <c r="S414" s="11">
        <f t="shared" si="48"/>
        <v>105.33</v>
      </c>
      <c r="T414" s="11">
        <f t="shared" si="49"/>
        <v>28.799999999999997</v>
      </c>
      <c r="U414" s="11">
        <f t="shared" si="50"/>
        <v>13.649999999999999</v>
      </c>
      <c r="V414" s="11">
        <f t="shared" si="51"/>
        <v>3.16</v>
      </c>
      <c r="W414" s="11" t="s">
        <v>66</v>
      </c>
      <c r="X414" s="11">
        <v>0</v>
      </c>
      <c r="Y414" s="11">
        <f t="shared" si="52"/>
        <v>59.54</v>
      </c>
      <c r="Z414" s="11">
        <f t="shared" si="53"/>
        <v>45.79</v>
      </c>
      <c r="AA414" s="12">
        <f t="shared" si="54"/>
        <v>0.43472894711857968</v>
      </c>
      <c r="AB414" s="13">
        <f t="shared" si="55"/>
        <v>7.5613783201722899</v>
      </c>
      <c r="AC414" t="s">
        <v>67</v>
      </c>
    </row>
    <row r="415" spans="1:29" ht="14.25" customHeight="1" x14ac:dyDescent="0.45">
      <c r="A415" t="s">
        <v>538</v>
      </c>
      <c r="B415" s="10">
        <v>46060</v>
      </c>
      <c r="C415">
        <v>2026</v>
      </c>
      <c r="D415">
        <v>2</v>
      </c>
      <c r="E415" t="s">
        <v>58</v>
      </c>
      <c r="F415" t="s">
        <v>59</v>
      </c>
      <c r="G415" t="s">
        <v>60</v>
      </c>
      <c r="H415" t="s">
        <v>61</v>
      </c>
      <c r="I415" t="s">
        <v>113</v>
      </c>
      <c r="J415" t="s">
        <v>114</v>
      </c>
      <c r="K415" t="s">
        <v>115</v>
      </c>
      <c r="L415" t="s">
        <v>116</v>
      </c>
      <c r="M415" s="11">
        <v>48.91</v>
      </c>
      <c r="N415" s="11">
        <v>16.86</v>
      </c>
      <c r="O415" s="11">
        <v>6.54</v>
      </c>
      <c r="P415" s="11">
        <v>0.03</v>
      </c>
      <c r="Q415" s="11">
        <v>3.53</v>
      </c>
      <c r="R415" s="11">
        <v>1</v>
      </c>
      <c r="S415" s="11">
        <f t="shared" si="48"/>
        <v>48.91</v>
      </c>
      <c r="T415" s="11">
        <f t="shared" si="49"/>
        <v>16.86</v>
      </c>
      <c r="U415" s="11">
        <f t="shared" si="50"/>
        <v>6.54</v>
      </c>
      <c r="V415" s="11">
        <f t="shared" si="51"/>
        <v>1.47</v>
      </c>
      <c r="W415" s="11" t="s">
        <v>66</v>
      </c>
      <c r="X415" s="11">
        <v>0</v>
      </c>
      <c r="Y415" s="11">
        <f t="shared" si="52"/>
        <v>28.4</v>
      </c>
      <c r="Z415" s="11">
        <f t="shared" si="53"/>
        <v>20.509999999999998</v>
      </c>
      <c r="AA415" s="12">
        <f t="shared" si="54"/>
        <v>0.41934164792475975</v>
      </c>
      <c r="AB415" s="13">
        <f t="shared" si="55"/>
        <v>13.855524079320114</v>
      </c>
      <c r="AC415" t="s">
        <v>67</v>
      </c>
    </row>
    <row r="416" spans="1:29" ht="14.25" customHeight="1" x14ac:dyDescent="0.45">
      <c r="A416" t="s">
        <v>539</v>
      </c>
      <c r="B416" s="10">
        <v>46061</v>
      </c>
      <c r="C416">
        <v>2026</v>
      </c>
      <c r="D416">
        <v>2</v>
      </c>
      <c r="E416" t="s">
        <v>58</v>
      </c>
      <c r="F416" t="s">
        <v>59</v>
      </c>
      <c r="G416" t="s">
        <v>105</v>
      </c>
      <c r="H416" t="s">
        <v>61</v>
      </c>
      <c r="I416" t="s">
        <v>81</v>
      </c>
      <c r="J416" t="s">
        <v>82</v>
      </c>
      <c r="K416" t="s">
        <v>83</v>
      </c>
      <c r="L416" t="s">
        <v>84</v>
      </c>
      <c r="M416" s="11">
        <v>23.6</v>
      </c>
      <c r="N416" s="11">
        <v>6.41</v>
      </c>
      <c r="O416" s="11">
        <v>3.49</v>
      </c>
      <c r="P416" s="11">
        <v>0.03</v>
      </c>
      <c r="Q416" s="11">
        <v>6.18</v>
      </c>
      <c r="R416" s="11">
        <v>1</v>
      </c>
      <c r="S416" s="11">
        <f t="shared" si="48"/>
        <v>23.6</v>
      </c>
      <c r="T416" s="11">
        <f t="shared" si="49"/>
        <v>6.41</v>
      </c>
      <c r="U416" s="11">
        <f t="shared" si="50"/>
        <v>3.49</v>
      </c>
      <c r="V416" s="11">
        <f t="shared" si="51"/>
        <v>0.71</v>
      </c>
      <c r="W416" s="11" t="s">
        <v>154</v>
      </c>
      <c r="X416" s="11">
        <v>16.940000000000001</v>
      </c>
      <c r="Y416" s="11">
        <f t="shared" si="52"/>
        <v>33.730000000000004</v>
      </c>
      <c r="Z416" s="11">
        <f t="shared" si="53"/>
        <v>-10.130000000000003</v>
      </c>
      <c r="AA416" s="12">
        <f t="shared" si="54"/>
        <v>-0.42923728813559331</v>
      </c>
      <c r="AB416" s="13">
        <f t="shared" si="55"/>
        <v>3.8187702265372172</v>
      </c>
      <c r="AC416" t="s">
        <v>155</v>
      </c>
    </row>
    <row r="417" spans="1:29" ht="14.25" customHeight="1" x14ac:dyDescent="0.45">
      <c r="A417" t="s">
        <v>540</v>
      </c>
      <c r="B417" s="10">
        <v>46066</v>
      </c>
      <c r="C417">
        <v>2026</v>
      </c>
      <c r="D417">
        <v>2</v>
      </c>
      <c r="E417" t="s">
        <v>77</v>
      </c>
      <c r="F417" t="s">
        <v>104</v>
      </c>
      <c r="G417" t="s">
        <v>105</v>
      </c>
      <c r="H417" t="s">
        <v>112</v>
      </c>
      <c r="I417" t="s">
        <v>87</v>
      </c>
      <c r="J417" t="s">
        <v>88</v>
      </c>
      <c r="K417" t="s">
        <v>89</v>
      </c>
      <c r="L417" t="s">
        <v>90</v>
      </c>
      <c r="M417" s="11">
        <v>59.37</v>
      </c>
      <c r="N417" s="11">
        <v>22.55</v>
      </c>
      <c r="O417" s="11">
        <v>6.45</v>
      </c>
      <c r="P417" s="11">
        <v>0.03</v>
      </c>
      <c r="Q417" s="11">
        <v>5.25</v>
      </c>
      <c r="R417" s="11">
        <v>1</v>
      </c>
      <c r="S417" s="11">
        <f t="shared" si="48"/>
        <v>59.37</v>
      </c>
      <c r="T417" s="11">
        <f t="shared" si="49"/>
        <v>22.55</v>
      </c>
      <c r="U417" s="11">
        <f t="shared" si="50"/>
        <v>6.45</v>
      </c>
      <c r="V417" s="11">
        <f t="shared" si="51"/>
        <v>1.78</v>
      </c>
      <c r="W417" s="11" t="s">
        <v>66</v>
      </c>
      <c r="X417" s="11">
        <v>0</v>
      </c>
      <c r="Y417" s="11">
        <f t="shared" si="52"/>
        <v>36.03</v>
      </c>
      <c r="Z417" s="11">
        <f t="shared" si="53"/>
        <v>23.339999999999996</v>
      </c>
      <c r="AA417" s="12">
        <f t="shared" si="54"/>
        <v>0.39312784234461845</v>
      </c>
      <c r="AB417" s="13">
        <f t="shared" si="55"/>
        <v>11.308571428571428</v>
      </c>
      <c r="AC417" t="s">
        <v>67</v>
      </c>
    </row>
    <row r="418" spans="1:29" ht="14.25" customHeight="1" x14ac:dyDescent="0.45">
      <c r="A418" t="s">
        <v>541</v>
      </c>
      <c r="B418" s="10">
        <v>46066</v>
      </c>
      <c r="C418">
        <v>2026</v>
      </c>
      <c r="D418">
        <v>2</v>
      </c>
      <c r="E418" t="s">
        <v>58</v>
      </c>
      <c r="F418" t="s">
        <v>59</v>
      </c>
      <c r="G418" t="s">
        <v>126</v>
      </c>
      <c r="H418" t="s">
        <v>127</v>
      </c>
      <c r="I418" t="s">
        <v>107</v>
      </c>
      <c r="J418" t="s">
        <v>108</v>
      </c>
      <c r="K418" t="s">
        <v>109</v>
      </c>
      <c r="L418" t="s">
        <v>110</v>
      </c>
      <c r="M418" s="11">
        <v>21.89</v>
      </c>
      <c r="N418" s="11">
        <v>3.69</v>
      </c>
      <c r="O418" s="11">
        <v>2.74</v>
      </c>
      <c r="P418" s="11">
        <v>0.03</v>
      </c>
      <c r="Q418" s="11">
        <v>2.21</v>
      </c>
      <c r="R418" s="11">
        <v>1</v>
      </c>
      <c r="S418" s="11">
        <f t="shared" si="48"/>
        <v>21.89</v>
      </c>
      <c r="T418" s="11">
        <f t="shared" si="49"/>
        <v>3.69</v>
      </c>
      <c r="U418" s="11">
        <f t="shared" si="50"/>
        <v>2.74</v>
      </c>
      <c r="V418" s="11">
        <f t="shared" si="51"/>
        <v>0.66</v>
      </c>
      <c r="W418" s="11" t="s">
        <v>66</v>
      </c>
      <c r="X418" s="11">
        <v>0</v>
      </c>
      <c r="Y418" s="11">
        <f t="shared" si="52"/>
        <v>9.3000000000000007</v>
      </c>
      <c r="Z418" s="11">
        <f t="shared" si="53"/>
        <v>12.59</v>
      </c>
      <c r="AA418" s="12">
        <f t="shared" si="54"/>
        <v>0.57514846962083144</v>
      </c>
      <c r="AB418" s="13">
        <f t="shared" si="55"/>
        <v>9.9049773755656112</v>
      </c>
      <c r="AC418" t="s">
        <v>67</v>
      </c>
    </row>
    <row r="419" spans="1:29" ht="14.25" customHeight="1" x14ac:dyDescent="0.45">
      <c r="A419" t="s">
        <v>542</v>
      </c>
      <c r="B419" s="10">
        <v>46067</v>
      </c>
      <c r="C419">
        <v>2026</v>
      </c>
      <c r="D419">
        <v>2</v>
      </c>
      <c r="E419" t="s">
        <v>95</v>
      </c>
      <c r="F419" t="s">
        <v>96</v>
      </c>
      <c r="G419" t="s">
        <v>126</v>
      </c>
      <c r="H419" t="s">
        <v>80</v>
      </c>
      <c r="I419" t="s">
        <v>133</v>
      </c>
      <c r="J419" t="s">
        <v>134</v>
      </c>
      <c r="K419" t="s">
        <v>135</v>
      </c>
      <c r="L419" t="s">
        <v>136</v>
      </c>
      <c r="M419" s="11">
        <v>13.49</v>
      </c>
      <c r="N419" s="11">
        <v>2.02</v>
      </c>
      <c r="O419" s="11">
        <v>2.0099999999999998</v>
      </c>
      <c r="P419" s="11">
        <v>0.03</v>
      </c>
      <c r="Q419" s="11">
        <v>6.86</v>
      </c>
      <c r="R419" s="11">
        <v>2</v>
      </c>
      <c r="S419" s="11">
        <f t="shared" si="48"/>
        <v>26.98</v>
      </c>
      <c r="T419" s="11">
        <f t="shared" si="49"/>
        <v>4.04</v>
      </c>
      <c r="U419" s="11">
        <f t="shared" si="50"/>
        <v>4.0199999999999996</v>
      </c>
      <c r="V419" s="11">
        <f t="shared" si="51"/>
        <v>0.81</v>
      </c>
      <c r="W419" s="11" t="s">
        <v>66</v>
      </c>
      <c r="X419" s="11">
        <v>0</v>
      </c>
      <c r="Y419" s="11">
        <f t="shared" si="52"/>
        <v>15.73</v>
      </c>
      <c r="Z419" s="11">
        <f t="shared" si="53"/>
        <v>11.25</v>
      </c>
      <c r="AA419" s="12">
        <f t="shared" si="54"/>
        <v>0.41697553743513716</v>
      </c>
      <c r="AB419" s="13">
        <f t="shared" si="55"/>
        <v>3.9329446064139941</v>
      </c>
      <c r="AC419" t="s">
        <v>67</v>
      </c>
    </row>
    <row r="420" spans="1:29" ht="14.25" customHeight="1" x14ac:dyDescent="0.45">
      <c r="A420" t="s">
        <v>543</v>
      </c>
      <c r="B420" s="10">
        <v>46067</v>
      </c>
      <c r="C420">
        <v>2026</v>
      </c>
      <c r="D420">
        <v>2</v>
      </c>
      <c r="E420" t="s">
        <v>77</v>
      </c>
      <c r="F420" t="s">
        <v>104</v>
      </c>
      <c r="G420" t="s">
        <v>93</v>
      </c>
      <c r="H420" t="s">
        <v>86</v>
      </c>
      <c r="I420" t="s">
        <v>81</v>
      </c>
      <c r="J420" t="s">
        <v>82</v>
      </c>
      <c r="K420" t="s">
        <v>83</v>
      </c>
      <c r="L420" t="s">
        <v>84</v>
      </c>
      <c r="M420" s="11">
        <v>27.85</v>
      </c>
      <c r="N420" s="11">
        <v>5.8</v>
      </c>
      <c r="O420" s="11">
        <v>3.76</v>
      </c>
      <c r="P420" s="11">
        <v>0.03</v>
      </c>
      <c r="Q420" s="11">
        <v>6.25</v>
      </c>
      <c r="R420" s="11">
        <v>1</v>
      </c>
      <c r="S420" s="11">
        <f t="shared" si="48"/>
        <v>27.85</v>
      </c>
      <c r="T420" s="11">
        <f t="shared" si="49"/>
        <v>5.8</v>
      </c>
      <c r="U420" s="11">
        <f t="shared" si="50"/>
        <v>3.76</v>
      </c>
      <c r="V420" s="11">
        <f t="shared" si="51"/>
        <v>0.84</v>
      </c>
      <c r="W420" s="11" t="s">
        <v>66</v>
      </c>
      <c r="X420" s="11">
        <v>0</v>
      </c>
      <c r="Y420" s="11">
        <f t="shared" si="52"/>
        <v>16.649999999999999</v>
      </c>
      <c r="Z420" s="11">
        <f t="shared" si="53"/>
        <v>11.200000000000003</v>
      </c>
      <c r="AA420" s="12">
        <f t="shared" si="54"/>
        <v>0.40215439856373436</v>
      </c>
      <c r="AB420" s="13">
        <f t="shared" si="55"/>
        <v>4.4560000000000004</v>
      </c>
      <c r="AC420" t="s">
        <v>67</v>
      </c>
    </row>
    <row r="421" spans="1:29" ht="14.25" customHeight="1" x14ac:dyDescent="0.45">
      <c r="A421" t="s">
        <v>544</v>
      </c>
      <c r="B421" s="10">
        <v>46067</v>
      </c>
      <c r="C421">
        <v>2026</v>
      </c>
      <c r="D421">
        <v>2</v>
      </c>
      <c r="E421" t="s">
        <v>69</v>
      </c>
      <c r="F421" t="s">
        <v>70</v>
      </c>
      <c r="G421" t="s">
        <v>126</v>
      </c>
      <c r="H421" t="s">
        <v>127</v>
      </c>
      <c r="I421" t="s">
        <v>113</v>
      </c>
      <c r="J421" t="s">
        <v>114</v>
      </c>
      <c r="K421" t="s">
        <v>115</v>
      </c>
      <c r="L421" t="s">
        <v>116</v>
      </c>
      <c r="M421" s="11">
        <v>54.27</v>
      </c>
      <c r="N421" s="11">
        <v>16.37</v>
      </c>
      <c r="O421" s="11">
        <v>5.64</v>
      </c>
      <c r="P421" s="11">
        <v>0.03</v>
      </c>
      <c r="Q421" s="11">
        <v>6.77</v>
      </c>
      <c r="R421" s="11">
        <v>1</v>
      </c>
      <c r="S421" s="11">
        <f t="shared" si="48"/>
        <v>54.27</v>
      </c>
      <c r="T421" s="11">
        <f t="shared" si="49"/>
        <v>16.37</v>
      </c>
      <c r="U421" s="11">
        <f t="shared" si="50"/>
        <v>5.64</v>
      </c>
      <c r="V421" s="11">
        <f t="shared" si="51"/>
        <v>1.63</v>
      </c>
      <c r="W421" s="11" t="s">
        <v>66</v>
      </c>
      <c r="X421" s="11">
        <v>0</v>
      </c>
      <c r="Y421" s="11">
        <f t="shared" si="52"/>
        <v>30.41</v>
      </c>
      <c r="Z421" s="11">
        <f t="shared" si="53"/>
        <v>23.860000000000003</v>
      </c>
      <c r="AA421" s="12">
        <f t="shared" si="54"/>
        <v>0.43965358393219095</v>
      </c>
      <c r="AB421" s="13">
        <f t="shared" si="55"/>
        <v>8.0162481536189087</v>
      </c>
      <c r="AC421" t="s">
        <v>67</v>
      </c>
    </row>
    <row r="422" spans="1:29" ht="14.25" customHeight="1" x14ac:dyDescent="0.45">
      <c r="A422" t="s">
        <v>545</v>
      </c>
      <c r="B422" s="10">
        <v>46068</v>
      </c>
      <c r="C422">
        <v>2026</v>
      </c>
      <c r="D422">
        <v>2</v>
      </c>
      <c r="E422" t="s">
        <v>77</v>
      </c>
      <c r="F422" t="s">
        <v>78</v>
      </c>
      <c r="G422" t="s">
        <v>60</v>
      </c>
      <c r="H422" t="s">
        <v>61</v>
      </c>
      <c r="I422" t="s">
        <v>62</v>
      </c>
      <c r="J422" t="s">
        <v>63</v>
      </c>
      <c r="K422" t="s">
        <v>64</v>
      </c>
      <c r="L422" t="s">
        <v>65</v>
      </c>
      <c r="M422" s="11">
        <v>35.47</v>
      </c>
      <c r="N422" s="11">
        <v>9.75</v>
      </c>
      <c r="O422" s="11">
        <v>4.32</v>
      </c>
      <c r="P422" s="11">
        <v>0.03</v>
      </c>
      <c r="Q422" s="11">
        <v>21.19</v>
      </c>
      <c r="R422" s="11">
        <v>3</v>
      </c>
      <c r="S422" s="11">
        <f t="shared" si="48"/>
        <v>106.41</v>
      </c>
      <c r="T422" s="11">
        <f t="shared" si="49"/>
        <v>29.25</v>
      </c>
      <c r="U422" s="11">
        <f t="shared" si="50"/>
        <v>12.96</v>
      </c>
      <c r="V422" s="11">
        <f t="shared" si="51"/>
        <v>3.19</v>
      </c>
      <c r="W422" s="11" t="s">
        <v>66</v>
      </c>
      <c r="X422" s="11">
        <v>0</v>
      </c>
      <c r="Y422" s="11">
        <f t="shared" si="52"/>
        <v>66.59</v>
      </c>
      <c r="Z422" s="11">
        <f t="shared" si="53"/>
        <v>39.819999999999993</v>
      </c>
      <c r="AA422" s="12">
        <f t="shared" si="54"/>
        <v>0.37421294991072263</v>
      </c>
      <c r="AB422" s="13">
        <f t="shared" si="55"/>
        <v>5.0217083529966962</v>
      </c>
      <c r="AC422" t="s">
        <v>67</v>
      </c>
    </row>
    <row r="423" spans="1:29" ht="14.25" customHeight="1" x14ac:dyDescent="0.45">
      <c r="A423" t="s">
        <v>546</v>
      </c>
      <c r="B423" s="10">
        <v>46070</v>
      </c>
      <c r="C423">
        <v>2026</v>
      </c>
      <c r="D423">
        <v>2</v>
      </c>
      <c r="E423" t="s">
        <v>77</v>
      </c>
      <c r="F423" t="s">
        <v>78</v>
      </c>
      <c r="G423" t="s">
        <v>126</v>
      </c>
      <c r="H423" t="s">
        <v>127</v>
      </c>
      <c r="I423" t="s">
        <v>113</v>
      </c>
      <c r="J423" t="s">
        <v>114</v>
      </c>
      <c r="K423" t="s">
        <v>115</v>
      </c>
      <c r="L423" t="s">
        <v>116</v>
      </c>
      <c r="M423" s="11">
        <v>54.78</v>
      </c>
      <c r="N423" s="11">
        <v>15.4</v>
      </c>
      <c r="O423" s="11">
        <v>5.62</v>
      </c>
      <c r="P423" s="11">
        <v>0.03</v>
      </c>
      <c r="Q423" s="11">
        <v>6.27</v>
      </c>
      <c r="R423" s="11">
        <v>1</v>
      </c>
      <c r="S423" s="11">
        <f t="shared" si="48"/>
        <v>54.78</v>
      </c>
      <c r="T423" s="11">
        <f t="shared" si="49"/>
        <v>15.4</v>
      </c>
      <c r="U423" s="11">
        <f t="shared" si="50"/>
        <v>5.62</v>
      </c>
      <c r="V423" s="11">
        <f t="shared" si="51"/>
        <v>1.64</v>
      </c>
      <c r="W423" s="11" t="s">
        <v>66</v>
      </c>
      <c r="X423" s="11">
        <v>0</v>
      </c>
      <c r="Y423" s="11">
        <f t="shared" si="52"/>
        <v>28.93</v>
      </c>
      <c r="Z423" s="11">
        <f t="shared" si="53"/>
        <v>25.85</v>
      </c>
      <c r="AA423" s="12">
        <f t="shared" si="54"/>
        <v>0.47188755020080325</v>
      </c>
      <c r="AB423" s="13">
        <f t="shared" si="55"/>
        <v>8.7368421052631593</v>
      </c>
      <c r="AC423" t="s">
        <v>67</v>
      </c>
    </row>
    <row r="424" spans="1:29" ht="14.25" customHeight="1" x14ac:dyDescent="0.45">
      <c r="A424" t="s">
        <v>547</v>
      </c>
      <c r="B424" s="10">
        <v>46071</v>
      </c>
      <c r="C424">
        <v>2026</v>
      </c>
      <c r="D424">
        <v>2</v>
      </c>
      <c r="E424" t="s">
        <v>58</v>
      </c>
      <c r="F424" t="s">
        <v>92</v>
      </c>
      <c r="G424" t="s">
        <v>105</v>
      </c>
      <c r="H424" t="s">
        <v>80</v>
      </c>
      <c r="I424" t="s">
        <v>113</v>
      </c>
      <c r="J424" t="s">
        <v>114</v>
      </c>
      <c r="K424" t="s">
        <v>115</v>
      </c>
      <c r="L424" t="s">
        <v>116</v>
      </c>
      <c r="M424" s="11">
        <v>51.92</v>
      </c>
      <c r="N424" s="11">
        <v>16.329999999999998</v>
      </c>
      <c r="O424" s="11">
        <v>6.21</v>
      </c>
      <c r="P424" s="11">
        <v>0.03</v>
      </c>
      <c r="Q424" s="11">
        <v>14.94</v>
      </c>
      <c r="R424" s="11">
        <v>2</v>
      </c>
      <c r="S424" s="11">
        <f t="shared" si="48"/>
        <v>103.84</v>
      </c>
      <c r="T424" s="11">
        <f t="shared" si="49"/>
        <v>32.659999999999997</v>
      </c>
      <c r="U424" s="11">
        <f t="shared" si="50"/>
        <v>12.42</v>
      </c>
      <c r="V424" s="11">
        <f t="shared" si="51"/>
        <v>3.12</v>
      </c>
      <c r="W424" s="11" t="s">
        <v>66</v>
      </c>
      <c r="X424" s="11">
        <v>0</v>
      </c>
      <c r="Y424" s="11">
        <f t="shared" si="52"/>
        <v>63.139999999999993</v>
      </c>
      <c r="Z424" s="11">
        <f t="shared" si="53"/>
        <v>40.70000000000001</v>
      </c>
      <c r="AA424" s="12">
        <f t="shared" si="54"/>
        <v>0.39194915254237295</v>
      </c>
      <c r="AB424" s="13">
        <f t="shared" si="55"/>
        <v>6.9504685408299869</v>
      </c>
      <c r="AC424" t="s">
        <v>67</v>
      </c>
    </row>
    <row r="425" spans="1:29" ht="14.25" customHeight="1" x14ac:dyDescent="0.45">
      <c r="A425" t="s">
        <v>548</v>
      </c>
      <c r="B425" s="10">
        <v>46071</v>
      </c>
      <c r="C425">
        <v>2026</v>
      </c>
      <c r="D425">
        <v>2</v>
      </c>
      <c r="E425" t="s">
        <v>77</v>
      </c>
      <c r="F425" t="s">
        <v>102</v>
      </c>
      <c r="G425" t="s">
        <v>126</v>
      </c>
      <c r="H425" t="s">
        <v>61</v>
      </c>
      <c r="I425" t="s">
        <v>81</v>
      </c>
      <c r="J425" t="s">
        <v>82</v>
      </c>
      <c r="K425" t="s">
        <v>83</v>
      </c>
      <c r="L425" t="s">
        <v>84</v>
      </c>
      <c r="M425" s="11">
        <v>25.93</v>
      </c>
      <c r="N425" s="11">
        <v>5.75</v>
      </c>
      <c r="O425" s="11">
        <v>3.77</v>
      </c>
      <c r="P425" s="11">
        <v>0.03</v>
      </c>
      <c r="Q425" s="11">
        <v>5.08</v>
      </c>
      <c r="R425" s="11">
        <v>1</v>
      </c>
      <c r="S425" s="11">
        <f t="shared" si="48"/>
        <v>25.93</v>
      </c>
      <c r="T425" s="11">
        <f t="shared" si="49"/>
        <v>5.75</v>
      </c>
      <c r="U425" s="11">
        <f t="shared" si="50"/>
        <v>3.77</v>
      </c>
      <c r="V425" s="11">
        <f t="shared" si="51"/>
        <v>0.78</v>
      </c>
      <c r="W425" s="11" t="s">
        <v>66</v>
      </c>
      <c r="X425" s="11">
        <v>0</v>
      </c>
      <c r="Y425" s="11">
        <f t="shared" si="52"/>
        <v>15.379999999999999</v>
      </c>
      <c r="Z425" s="11">
        <f t="shared" si="53"/>
        <v>10.55</v>
      </c>
      <c r="AA425" s="12">
        <f t="shared" si="54"/>
        <v>0.40686463555726959</v>
      </c>
      <c r="AB425" s="13">
        <f t="shared" si="55"/>
        <v>5.1043307086614176</v>
      </c>
      <c r="AC425" t="s">
        <v>67</v>
      </c>
    </row>
    <row r="426" spans="1:29" ht="14.25" customHeight="1" x14ac:dyDescent="0.45">
      <c r="A426" t="s">
        <v>549</v>
      </c>
      <c r="B426" s="10">
        <v>46071</v>
      </c>
      <c r="C426">
        <v>2026</v>
      </c>
      <c r="D426">
        <v>2</v>
      </c>
      <c r="E426" t="s">
        <v>58</v>
      </c>
      <c r="F426" t="s">
        <v>92</v>
      </c>
      <c r="G426" t="s">
        <v>93</v>
      </c>
      <c r="H426" t="s">
        <v>112</v>
      </c>
      <c r="I426" t="s">
        <v>138</v>
      </c>
      <c r="J426" t="s">
        <v>139</v>
      </c>
      <c r="K426" t="s">
        <v>89</v>
      </c>
      <c r="L426" t="s">
        <v>140</v>
      </c>
      <c r="M426" s="11">
        <v>40.53</v>
      </c>
      <c r="N426" s="11">
        <v>8.36</v>
      </c>
      <c r="O426" s="11">
        <v>3.78</v>
      </c>
      <c r="P426" s="11">
        <v>0.03</v>
      </c>
      <c r="Q426" s="11">
        <v>4.6500000000000004</v>
      </c>
      <c r="R426" s="11">
        <v>1</v>
      </c>
      <c r="S426" s="11">
        <f t="shared" si="48"/>
        <v>40.53</v>
      </c>
      <c r="T426" s="11">
        <f t="shared" si="49"/>
        <v>8.36</v>
      </c>
      <c r="U426" s="11">
        <f t="shared" si="50"/>
        <v>3.78</v>
      </c>
      <c r="V426" s="11">
        <f t="shared" si="51"/>
        <v>1.22</v>
      </c>
      <c r="W426" s="11" t="s">
        <v>154</v>
      </c>
      <c r="X426" s="11">
        <v>32.78</v>
      </c>
      <c r="Y426" s="11">
        <f t="shared" si="52"/>
        <v>50.79</v>
      </c>
      <c r="Z426" s="11">
        <f t="shared" si="53"/>
        <v>-10.259999999999998</v>
      </c>
      <c r="AA426" s="12">
        <f t="shared" si="54"/>
        <v>-0.25314581791265722</v>
      </c>
      <c r="AB426" s="13">
        <f t="shared" si="55"/>
        <v>8.7161290322580633</v>
      </c>
      <c r="AC426" t="s">
        <v>155</v>
      </c>
    </row>
    <row r="427" spans="1:29" ht="14.25" customHeight="1" x14ac:dyDescent="0.45">
      <c r="A427" t="s">
        <v>550</v>
      </c>
      <c r="B427" s="10">
        <v>46072</v>
      </c>
      <c r="C427">
        <v>2026</v>
      </c>
      <c r="D427">
        <v>2</v>
      </c>
      <c r="E427" t="s">
        <v>58</v>
      </c>
      <c r="F427" t="s">
        <v>92</v>
      </c>
      <c r="G427" t="s">
        <v>93</v>
      </c>
      <c r="H427" t="s">
        <v>61</v>
      </c>
      <c r="I427" t="s">
        <v>138</v>
      </c>
      <c r="J427" t="s">
        <v>139</v>
      </c>
      <c r="K427" t="s">
        <v>89</v>
      </c>
      <c r="L427" t="s">
        <v>140</v>
      </c>
      <c r="M427" s="11">
        <v>39.75</v>
      </c>
      <c r="N427" s="11">
        <v>8.64</v>
      </c>
      <c r="O427" s="11">
        <v>4.3099999999999996</v>
      </c>
      <c r="P427" s="11">
        <v>0.03</v>
      </c>
      <c r="Q427" s="11">
        <v>14.04</v>
      </c>
      <c r="R427" s="11">
        <v>2</v>
      </c>
      <c r="S427" s="11">
        <f t="shared" si="48"/>
        <v>79.5</v>
      </c>
      <c r="T427" s="11">
        <f t="shared" si="49"/>
        <v>17.28</v>
      </c>
      <c r="U427" s="11">
        <f t="shared" si="50"/>
        <v>8.6199999999999992</v>
      </c>
      <c r="V427" s="11">
        <f t="shared" si="51"/>
        <v>2.39</v>
      </c>
      <c r="W427" s="11" t="s">
        <v>66</v>
      </c>
      <c r="X427" s="11">
        <v>0</v>
      </c>
      <c r="Y427" s="11">
        <f t="shared" si="52"/>
        <v>42.33</v>
      </c>
      <c r="Z427" s="11">
        <f t="shared" si="53"/>
        <v>37.17</v>
      </c>
      <c r="AA427" s="12">
        <f t="shared" si="54"/>
        <v>0.46754716981132077</v>
      </c>
      <c r="AB427" s="13">
        <f t="shared" si="55"/>
        <v>5.6623931623931627</v>
      </c>
      <c r="AC427" t="s">
        <v>67</v>
      </c>
    </row>
    <row r="428" spans="1:29" ht="14.25" customHeight="1" x14ac:dyDescent="0.45">
      <c r="A428" t="s">
        <v>551</v>
      </c>
      <c r="B428" s="10">
        <v>46072</v>
      </c>
      <c r="C428">
        <v>2026</v>
      </c>
      <c r="D428">
        <v>2</v>
      </c>
      <c r="E428" t="s">
        <v>122</v>
      </c>
      <c r="F428" t="s">
        <v>123</v>
      </c>
      <c r="G428" t="s">
        <v>93</v>
      </c>
      <c r="H428" t="s">
        <v>86</v>
      </c>
      <c r="I428" t="s">
        <v>87</v>
      </c>
      <c r="J428" t="s">
        <v>88</v>
      </c>
      <c r="K428" t="s">
        <v>89</v>
      </c>
      <c r="L428" t="s">
        <v>90</v>
      </c>
      <c r="M428" s="11">
        <v>63.64</v>
      </c>
      <c r="N428" s="11">
        <v>21.3</v>
      </c>
      <c r="O428" s="11">
        <v>7.99</v>
      </c>
      <c r="P428" s="11">
        <v>0.03</v>
      </c>
      <c r="Q428" s="11">
        <v>1.03</v>
      </c>
      <c r="R428" s="11">
        <v>1</v>
      </c>
      <c r="S428" s="11">
        <f t="shared" si="48"/>
        <v>63.64</v>
      </c>
      <c r="T428" s="11">
        <f t="shared" si="49"/>
        <v>21.3</v>
      </c>
      <c r="U428" s="11">
        <f t="shared" si="50"/>
        <v>7.99</v>
      </c>
      <c r="V428" s="11">
        <f t="shared" si="51"/>
        <v>1.91</v>
      </c>
      <c r="W428" s="11" t="s">
        <v>66</v>
      </c>
      <c r="X428" s="11">
        <v>0</v>
      </c>
      <c r="Y428" s="11">
        <f t="shared" si="52"/>
        <v>32.229999999999997</v>
      </c>
      <c r="Z428" s="11">
        <f t="shared" si="53"/>
        <v>31.410000000000004</v>
      </c>
      <c r="AA428" s="12">
        <f t="shared" si="54"/>
        <v>0.49355751099937151</v>
      </c>
      <c r="AB428" s="13">
        <f t="shared" si="55"/>
        <v>61.786407766990287</v>
      </c>
      <c r="AC428" t="s">
        <v>67</v>
      </c>
    </row>
    <row r="429" spans="1:29" ht="14.25" customHeight="1" x14ac:dyDescent="0.45">
      <c r="A429" t="s">
        <v>552</v>
      </c>
      <c r="B429" s="10">
        <v>46073</v>
      </c>
      <c r="C429">
        <v>2026</v>
      </c>
      <c r="D429">
        <v>2</v>
      </c>
      <c r="E429" t="s">
        <v>122</v>
      </c>
      <c r="F429" t="s">
        <v>123</v>
      </c>
      <c r="G429" t="s">
        <v>60</v>
      </c>
      <c r="H429" t="s">
        <v>61</v>
      </c>
      <c r="I429" t="s">
        <v>133</v>
      </c>
      <c r="J429" t="s">
        <v>134</v>
      </c>
      <c r="K429" t="s">
        <v>135</v>
      </c>
      <c r="L429" t="s">
        <v>136</v>
      </c>
      <c r="M429" s="11">
        <v>13.65</v>
      </c>
      <c r="N429" s="11">
        <v>1.92</v>
      </c>
      <c r="O429" s="11">
        <v>1.99</v>
      </c>
      <c r="P429" s="11">
        <v>0.03</v>
      </c>
      <c r="Q429" s="11">
        <v>7.38</v>
      </c>
      <c r="R429" s="11">
        <v>1</v>
      </c>
      <c r="S429" s="11">
        <f t="shared" si="48"/>
        <v>13.65</v>
      </c>
      <c r="T429" s="11">
        <f t="shared" si="49"/>
        <v>1.92</v>
      </c>
      <c r="U429" s="11">
        <f t="shared" si="50"/>
        <v>1.99</v>
      </c>
      <c r="V429" s="11">
        <f t="shared" si="51"/>
        <v>0.41</v>
      </c>
      <c r="W429" s="11" t="s">
        <v>66</v>
      </c>
      <c r="X429" s="11">
        <v>0</v>
      </c>
      <c r="Y429" s="11">
        <f t="shared" si="52"/>
        <v>11.7</v>
      </c>
      <c r="Z429" s="11">
        <f t="shared" si="53"/>
        <v>1.9500000000000011</v>
      </c>
      <c r="AA429" s="12">
        <f t="shared" si="54"/>
        <v>0.14285714285714293</v>
      </c>
      <c r="AB429" s="13">
        <f t="shared" si="55"/>
        <v>1.8495934959349594</v>
      </c>
      <c r="AC429" t="s">
        <v>67</v>
      </c>
    </row>
    <row r="430" spans="1:29" ht="14.25" customHeight="1" x14ac:dyDescent="0.45">
      <c r="A430" t="s">
        <v>553</v>
      </c>
      <c r="B430" s="10">
        <v>46073</v>
      </c>
      <c r="C430">
        <v>2026</v>
      </c>
      <c r="D430">
        <v>2</v>
      </c>
      <c r="E430" t="s">
        <v>58</v>
      </c>
      <c r="F430" t="s">
        <v>92</v>
      </c>
      <c r="G430" t="s">
        <v>105</v>
      </c>
      <c r="H430" t="s">
        <v>80</v>
      </c>
      <c r="I430" t="s">
        <v>107</v>
      </c>
      <c r="J430" t="s">
        <v>108</v>
      </c>
      <c r="K430" t="s">
        <v>109</v>
      </c>
      <c r="L430" t="s">
        <v>110</v>
      </c>
      <c r="M430" s="11">
        <v>19.09</v>
      </c>
      <c r="N430" s="11">
        <v>3.69</v>
      </c>
      <c r="O430" s="11">
        <v>2.44</v>
      </c>
      <c r="P430" s="11">
        <v>0.03</v>
      </c>
      <c r="Q430" s="11">
        <v>18.170000000000002</v>
      </c>
      <c r="R430" s="11">
        <v>2</v>
      </c>
      <c r="S430" s="11">
        <f t="shared" si="48"/>
        <v>38.18</v>
      </c>
      <c r="T430" s="11">
        <f t="shared" si="49"/>
        <v>7.38</v>
      </c>
      <c r="U430" s="11">
        <f t="shared" si="50"/>
        <v>4.88</v>
      </c>
      <c r="V430" s="11">
        <f t="shared" si="51"/>
        <v>1.1499999999999999</v>
      </c>
      <c r="W430" s="11" t="s">
        <v>66</v>
      </c>
      <c r="X430" s="11">
        <v>0</v>
      </c>
      <c r="Y430" s="11">
        <f t="shared" si="52"/>
        <v>31.580000000000002</v>
      </c>
      <c r="Z430" s="11">
        <f t="shared" si="53"/>
        <v>6.5999999999999979</v>
      </c>
      <c r="AA430" s="12">
        <f t="shared" si="54"/>
        <v>0.17286537454164477</v>
      </c>
      <c r="AB430" s="13">
        <f t="shared" si="55"/>
        <v>2.1012658227848098</v>
      </c>
      <c r="AC430" t="s">
        <v>67</v>
      </c>
    </row>
    <row r="431" spans="1:29" ht="14.25" customHeight="1" x14ac:dyDescent="0.45">
      <c r="A431" t="s">
        <v>554</v>
      </c>
      <c r="B431" s="10">
        <v>46074</v>
      </c>
      <c r="C431">
        <v>2026</v>
      </c>
      <c r="D431">
        <v>2</v>
      </c>
      <c r="E431" t="s">
        <v>58</v>
      </c>
      <c r="F431" t="s">
        <v>59</v>
      </c>
      <c r="G431" t="s">
        <v>71</v>
      </c>
      <c r="H431" t="s">
        <v>86</v>
      </c>
      <c r="I431" t="s">
        <v>62</v>
      </c>
      <c r="J431" t="s">
        <v>63</v>
      </c>
      <c r="K431" t="s">
        <v>64</v>
      </c>
      <c r="L431" t="s">
        <v>65</v>
      </c>
      <c r="M431" s="11">
        <v>36.67</v>
      </c>
      <c r="N431" s="11">
        <v>9.5399999999999991</v>
      </c>
      <c r="O431" s="11">
        <v>4.49</v>
      </c>
      <c r="P431" s="11">
        <v>0.03</v>
      </c>
      <c r="Q431" s="11">
        <v>0</v>
      </c>
      <c r="R431" s="11">
        <v>3</v>
      </c>
      <c r="S431" s="11">
        <f t="shared" si="48"/>
        <v>110.01</v>
      </c>
      <c r="T431" s="11">
        <f t="shared" si="49"/>
        <v>28.619999999999997</v>
      </c>
      <c r="U431" s="11">
        <f t="shared" si="50"/>
        <v>13.47</v>
      </c>
      <c r="V431" s="11">
        <f t="shared" si="51"/>
        <v>3.3</v>
      </c>
      <c r="W431" s="11" t="s">
        <v>66</v>
      </c>
      <c r="X431" s="11">
        <v>0</v>
      </c>
      <c r="Y431" s="11">
        <f t="shared" si="52"/>
        <v>45.389999999999993</v>
      </c>
      <c r="Z431" s="11">
        <f t="shared" si="53"/>
        <v>64.62</v>
      </c>
      <c r="AA431" s="12">
        <f t="shared" si="54"/>
        <v>0.58740114535042265</v>
      </c>
      <c r="AB431" s="13">
        <f t="shared" si="55"/>
        <v>0</v>
      </c>
      <c r="AC431" t="s">
        <v>67</v>
      </c>
    </row>
    <row r="432" spans="1:29" ht="14.25" customHeight="1" x14ac:dyDescent="0.45">
      <c r="A432" t="s">
        <v>555</v>
      </c>
      <c r="B432" s="10">
        <v>46075</v>
      </c>
      <c r="C432">
        <v>2026</v>
      </c>
      <c r="D432">
        <v>2</v>
      </c>
      <c r="E432" t="s">
        <v>77</v>
      </c>
      <c r="F432" t="s">
        <v>78</v>
      </c>
      <c r="G432" t="s">
        <v>93</v>
      </c>
      <c r="H432" t="s">
        <v>112</v>
      </c>
      <c r="I432" t="s">
        <v>147</v>
      </c>
      <c r="J432" t="s">
        <v>148</v>
      </c>
      <c r="K432" t="s">
        <v>149</v>
      </c>
      <c r="L432" t="s">
        <v>150</v>
      </c>
      <c r="M432" s="11">
        <v>28.35</v>
      </c>
      <c r="N432" s="11">
        <v>7.19</v>
      </c>
      <c r="O432" s="11">
        <v>4.5999999999999996</v>
      </c>
      <c r="P432" s="11">
        <v>0.03</v>
      </c>
      <c r="Q432" s="11">
        <v>18.079999999999998</v>
      </c>
      <c r="R432" s="11">
        <v>2</v>
      </c>
      <c r="S432" s="11">
        <f t="shared" si="48"/>
        <v>56.7</v>
      </c>
      <c r="T432" s="11">
        <f t="shared" si="49"/>
        <v>14.38</v>
      </c>
      <c r="U432" s="11">
        <f t="shared" si="50"/>
        <v>9.1999999999999993</v>
      </c>
      <c r="V432" s="11">
        <f t="shared" si="51"/>
        <v>1.7</v>
      </c>
      <c r="W432" s="11" t="s">
        <v>66</v>
      </c>
      <c r="X432" s="11">
        <v>0</v>
      </c>
      <c r="Y432" s="11">
        <f t="shared" si="52"/>
        <v>43.36</v>
      </c>
      <c r="Z432" s="11">
        <f t="shared" si="53"/>
        <v>13.340000000000003</v>
      </c>
      <c r="AA432" s="12">
        <f t="shared" si="54"/>
        <v>0.23527336860670198</v>
      </c>
      <c r="AB432" s="13">
        <f t="shared" si="55"/>
        <v>3.1360619469026552</v>
      </c>
      <c r="AC432" t="s">
        <v>67</v>
      </c>
    </row>
    <row r="433" spans="1:29" ht="14.25" customHeight="1" x14ac:dyDescent="0.45">
      <c r="A433" t="s">
        <v>556</v>
      </c>
      <c r="B433" s="10">
        <v>46075</v>
      </c>
      <c r="C433">
        <v>2026</v>
      </c>
      <c r="D433">
        <v>2</v>
      </c>
      <c r="E433" t="s">
        <v>122</v>
      </c>
      <c r="F433" t="s">
        <v>123</v>
      </c>
      <c r="G433" t="s">
        <v>126</v>
      </c>
      <c r="H433" t="s">
        <v>80</v>
      </c>
      <c r="I433" t="s">
        <v>87</v>
      </c>
      <c r="J433" t="s">
        <v>88</v>
      </c>
      <c r="K433" t="s">
        <v>89</v>
      </c>
      <c r="L433" t="s">
        <v>90</v>
      </c>
      <c r="M433" s="11">
        <v>66.400000000000006</v>
      </c>
      <c r="N433" s="11">
        <v>22.96</v>
      </c>
      <c r="O433" s="11">
        <v>7.46</v>
      </c>
      <c r="P433" s="11">
        <v>0.03</v>
      </c>
      <c r="Q433" s="11">
        <v>9</v>
      </c>
      <c r="R433" s="11">
        <v>1</v>
      </c>
      <c r="S433" s="11">
        <f t="shared" si="48"/>
        <v>66.400000000000006</v>
      </c>
      <c r="T433" s="11">
        <f t="shared" si="49"/>
        <v>22.96</v>
      </c>
      <c r="U433" s="11">
        <f t="shared" si="50"/>
        <v>7.46</v>
      </c>
      <c r="V433" s="11">
        <f t="shared" si="51"/>
        <v>1.99</v>
      </c>
      <c r="W433" s="11" t="s">
        <v>66</v>
      </c>
      <c r="X433" s="11">
        <v>0</v>
      </c>
      <c r="Y433" s="11">
        <f t="shared" si="52"/>
        <v>41.410000000000004</v>
      </c>
      <c r="Z433" s="11">
        <f t="shared" si="53"/>
        <v>24.990000000000002</v>
      </c>
      <c r="AA433" s="12">
        <f t="shared" si="54"/>
        <v>0.37635542168674696</v>
      </c>
      <c r="AB433" s="13">
        <f t="shared" si="55"/>
        <v>7.3777777777777782</v>
      </c>
      <c r="AC433" t="s">
        <v>67</v>
      </c>
    </row>
    <row r="434" spans="1:29" ht="14.25" customHeight="1" x14ac:dyDescent="0.45">
      <c r="A434" t="s">
        <v>557</v>
      </c>
      <c r="B434" s="10">
        <v>46075</v>
      </c>
      <c r="C434">
        <v>2026</v>
      </c>
      <c r="D434">
        <v>2</v>
      </c>
      <c r="E434" t="s">
        <v>77</v>
      </c>
      <c r="F434" t="s">
        <v>104</v>
      </c>
      <c r="G434" t="s">
        <v>79</v>
      </c>
      <c r="H434" t="s">
        <v>80</v>
      </c>
      <c r="I434" t="s">
        <v>107</v>
      </c>
      <c r="J434" t="s">
        <v>108</v>
      </c>
      <c r="K434" t="s">
        <v>109</v>
      </c>
      <c r="L434" t="s">
        <v>110</v>
      </c>
      <c r="M434" s="11">
        <v>20.88</v>
      </c>
      <c r="N434" s="11">
        <v>3.49</v>
      </c>
      <c r="O434" s="11">
        <v>2.84</v>
      </c>
      <c r="P434" s="11">
        <v>0.03</v>
      </c>
      <c r="Q434" s="11">
        <v>19.989999999999998</v>
      </c>
      <c r="R434" s="11">
        <v>2</v>
      </c>
      <c r="S434" s="11">
        <f t="shared" si="48"/>
        <v>41.76</v>
      </c>
      <c r="T434" s="11">
        <f t="shared" si="49"/>
        <v>6.98</v>
      </c>
      <c r="U434" s="11">
        <f t="shared" si="50"/>
        <v>5.68</v>
      </c>
      <c r="V434" s="11">
        <f t="shared" si="51"/>
        <v>1.25</v>
      </c>
      <c r="W434" s="11" t="s">
        <v>66</v>
      </c>
      <c r="X434" s="11">
        <v>0</v>
      </c>
      <c r="Y434" s="11">
        <f t="shared" si="52"/>
        <v>33.9</v>
      </c>
      <c r="Z434" s="11">
        <f t="shared" si="53"/>
        <v>7.8599999999999994</v>
      </c>
      <c r="AA434" s="12">
        <f t="shared" si="54"/>
        <v>0.18821839080459771</v>
      </c>
      <c r="AB434" s="13">
        <f t="shared" si="55"/>
        <v>2.0890445222611307</v>
      </c>
      <c r="AC434" t="s">
        <v>67</v>
      </c>
    </row>
    <row r="435" spans="1:29" ht="14.25" customHeight="1" x14ac:dyDescent="0.45">
      <c r="A435" t="s">
        <v>558</v>
      </c>
      <c r="B435" s="10">
        <v>46076</v>
      </c>
      <c r="C435">
        <v>2026</v>
      </c>
      <c r="D435">
        <v>2</v>
      </c>
      <c r="E435" t="s">
        <v>77</v>
      </c>
      <c r="F435" t="s">
        <v>78</v>
      </c>
      <c r="G435" t="s">
        <v>105</v>
      </c>
      <c r="H435" t="s">
        <v>80</v>
      </c>
      <c r="I435" t="s">
        <v>97</v>
      </c>
      <c r="J435" t="s">
        <v>98</v>
      </c>
      <c r="K435" t="s">
        <v>99</v>
      </c>
      <c r="L435" t="s">
        <v>100</v>
      </c>
      <c r="M435" s="11">
        <v>33.22</v>
      </c>
      <c r="N435" s="11">
        <v>9.69</v>
      </c>
      <c r="O435" s="11">
        <v>4.5</v>
      </c>
      <c r="P435" s="11">
        <v>0.03</v>
      </c>
      <c r="Q435" s="11">
        <v>5.26</v>
      </c>
      <c r="R435" s="11">
        <v>1</v>
      </c>
      <c r="S435" s="11">
        <f t="shared" si="48"/>
        <v>33.22</v>
      </c>
      <c r="T435" s="11">
        <f t="shared" si="49"/>
        <v>9.69</v>
      </c>
      <c r="U435" s="11">
        <f t="shared" si="50"/>
        <v>4.5</v>
      </c>
      <c r="V435" s="11">
        <f t="shared" si="51"/>
        <v>1</v>
      </c>
      <c r="W435" s="11" t="s">
        <v>66</v>
      </c>
      <c r="X435" s="11">
        <v>0</v>
      </c>
      <c r="Y435" s="11">
        <f t="shared" si="52"/>
        <v>20.45</v>
      </c>
      <c r="Z435" s="11">
        <f t="shared" si="53"/>
        <v>12.77</v>
      </c>
      <c r="AA435" s="12">
        <f t="shared" si="54"/>
        <v>0.38440698374473209</v>
      </c>
      <c r="AB435" s="13">
        <f t="shared" si="55"/>
        <v>6.3155893536121672</v>
      </c>
      <c r="AC435" t="s">
        <v>67</v>
      </c>
    </row>
    <row r="436" spans="1:29" ht="14.25" customHeight="1" x14ac:dyDescent="0.45">
      <c r="A436" t="s">
        <v>559</v>
      </c>
      <c r="B436" s="10">
        <v>46076</v>
      </c>
      <c r="C436">
        <v>2026</v>
      </c>
      <c r="D436">
        <v>2</v>
      </c>
      <c r="E436" t="s">
        <v>77</v>
      </c>
      <c r="F436" t="s">
        <v>104</v>
      </c>
      <c r="G436" t="s">
        <v>71</v>
      </c>
      <c r="H436" t="s">
        <v>61</v>
      </c>
      <c r="I436" t="s">
        <v>87</v>
      </c>
      <c r="J436" t="s">
        <v>88</v>
      </c>
      <c r="K436" t="s">
        <v>89</v>
      </c>
      <c r="L436" t="s">
        <v>90</v>
      </c>
      <c r="M436" s="11">
        <v>58.84</v>
      </c>
      <c r="N436" s="11">
        <v>22.99</v>
      </c>
      <c r="O436" s="11">
        <v>6.31</v>
      </c>
      <c r="P436" s="11">
        <v>0.03</v>
      </c>
      <c r="Q436" s="11">
        <v>0</v>
      </c>
      <c r="R436" s="11">
        <v>2</v>
      </c>
      <c r="S436" s="11">
        <f t="shared" si="48"/>
        <v>0</v>
      </c>
      <c r="T436" s="11">
        <f t="shared" si="49"/>
        <v>0</v>
      </c>
      <c r="U436" s="11">
        <f t="shared" si="50"/>
        <v>0</v>
      </c>
      <c r="V436" s="11">
        <f t="shared" si="51"/>
        <v>0</v>
      </c>
      <c r="W436" s="11" t="s">
        <v>66</v>
      </c>
      <c r="X436" s="11">
        <v>0</v>
      </c>
      <c r="Y436" s="11">
        <f t="shared" si="52"/>
        <v>0</v>
      </c>
      <c r="Z436" s="11">
        <f t="shared" si="53"/>
        <v>0</v>
      </c>
      <c r="AA436" s="12">
        <f t="shared" si="54"/>
        <v>0</v>
      </c>
      <c r="AB436" s="13">
        <f t="shared" si="55"/>
        <v>0</v>
      </c>
      <c r="AC436" t="s">
        <v>166</v>
      </c>
    </row>
    <row r="437" spans="1:29" ht="14.25" customHeight="1" x14ac:dyDescent="0.45">
      <c r="A437" t="s">
        <v>560</v>
      </c>
      <c r="B437" s="10">
        <v>46077</v>
      </c>
      <c r="C437">
        <v>2026</v>
      </c>
      <c r="D437">
        <v>2</v>
      </c>
      <c r="E437" t="s">
        <v>77</v>
      </c>
      <c r="F437" t="s">
        <v>102</v>
      </c>
      <c r="G437" t="s">
        <v>126</v>
      </c>
      <c r="H437" t="s">
        <v>112</v>
      </c>
      <c r="I437" t="s">
        <v>107</v>
      </c>
      <c r="J437" t="s">
        <v>108</v>
      </c>
      <c r="K437" t="s">
        <v>109</v>
      </c>
      <c r="L437" t="s">
        <v>110</v>
      </c>
      <c r="M437" s="11">
        <v>18.7</v>
      </c>
      <c r="N437" s="11">
        <v>3.57</v>
      </c>
      <c r="O437" s="11">
        <v>2.72</v>
      </c>
      <c r="P437" s="11">
        <v>0.03</v>
      </c>
      <c r="Q437" s="11">
        <v>5.43</v>
      </c>
      <c r="R437" s="11">
        <v>1</v>
      </c>
      <c r="S437" s="11">
        <f t="shared" si="48"/>
        <v>18.7</v>
      </c>
      <c r="T437" s="11">
        <f t="shared" si="49"/>
        <v>3.57</v>
      </c>
      <c r="U437" s="11">
        <f t="shared" si="50"/>
        <v>2.72</v>
      </c>
      <c r="V437" s="11">
        <f t="shared" si="51"/>
        <v>0.56000000000000005</v>
      </c>
      <c r="W437" s="11" t="s">
        <v>66</v>
      </c>
      <c r="X437" s="11">
        <v>0</v>
      </c>
      <c r="Y437" s="11">
        <f t="shared" si="52"/>
        <v>12.28</v>
      </c>
      <c r="Z437" s="11">
        <f t="shared" si="53"/>
        <v>6.42</v>
      </c>
      <c r="AA437" s="12">
        <f t="shared" si="54"/>
        <v>0.34331550802139038</v>
      </c>
      <c r="AB437" s="13">
        <f t="shared" si="55"/>
        <v>3.443830570902394</v>
      </c>
      <c r="AC437" t="s">
        <v>67</v>
      </c>
    </row>
    <row r="438" spans="1:29" ht="14.25" customHeight="1" x14ac:dyDescent="0.45">
      <c r="A438" t="s">
        <v>561</v>
      </c>
      <c r="B438" s="10">
        <v>46077</v>
      </c>
      <c r="C438">
        <v>2026</v>
      </c>
      <c r="D438">
        <v>2</v>
      </c>
      <c r="E438" t="s">
        <v>58</v>
      </c>
      <c r="F438" t="s">
        <v>59</v>
      </c>
      <c r="G438" t="s">
        <v>93</v>
      </c>
      <c r="H438" t="s">
        <v>127</v>
      </c>
      <c r="I438" t="s">
        <v>107</v>
      </c>
      <c r="J438" t="s">
        <v>108</v>
      </c>
      <c r="K438" t="s">
        <v>109</v>
      </c>
      <c r="L438" t="s">
        <v>110</v>
      </c>
      <c r="M438" s="11">
        <v>20.260000000000002</v>
      </c>
      <c r="N438" s="11">
        <v>3.64</v>
      </c>
      <c r="O438" s="11">
        <v>2.77</v>
      </c>
      <c r="P438" s="11">
        <v>0.03</v>
      </c>
      <c r="Q438" s="11">
        <v>13.93</v>
      </c>
      <c r="R438" s="11">
        <v>2</v>
      </c>
      <c r="S438" s="11">
        <f t="shared" si="48"/>
        <v>40.520000000000003</v>
      </c>
      <c r="T438" s="11">
        <f t="shared" si="49"/>
        <v>7.28</v>
      </c>
      <c r="U438" s="11">
        <f t="shared" si="50"/>
        <v>5.54</v>
      </c>
      <c r="V438" s="11">
        <f t="shared" si="51"/>
        <v>1.22</v>
      </c>
      <c r="W438" s="11" t="s">
        <v>66</v>
      </c>
      <c r="X438" s="11">
        <v>0</v>
      </c>
      <c r="Y438" s="11">
        <f t="shared" si="52"/>
        <v>27.97</v>
      </c>
      <c r="Z438" s="11">
        <f t="shared" si="53"/>
        <v>12.550000000000004</v>
      </c>
      <c r="AA438" s="12">
        <f t="shared" si="54"/>
        <v>0.30972359328726562</v>
      </c>
      <c r="AB438" s="13">
        <f t="shared" si="55"/>
        <v>2.9088298636037333</v>
      </c>
      <c r="AC438" t="s">
        <v>67</v>
      </c>
    </row>
    <row r="439" spans="1:29" ht="14.25" customHeight="1" x14ac:dyDescent="0.45">
      <c r="A439" t="s">
        <v>562</v>
      </c>
      <c r="B439" s="10">
        <v>46078</v>
      </c>
      <c r="C439">
        <v>2026</v>
      </c>
      <c r="D439">
        <v>2</v>
      </c>
      <c r="E439" t="s">
        <v>58</v>
      </c>
      <c r="F439" t="s">
        <v>59</v>
      </c>
      <c r="G439" t="s">
        <v>79</v>
      </c>
      <c r="H439" t="s">
        <v>86</v>
      </c>
      <c r="I439" t="s">
        <v>138</v>
      </c>
      <c r="J439" t="s">
        <v>139</v>
      </c>
      <c r="K439" t="s">
        <v>89</v>
      </c>
      <c r="L439" t="s">
        <v>140</v>
      </c>
      <c r="M439" s="11">
        <v>42.37</v>
      </c>
      <c r="N439" s="11">
        <v>8.15</v>
      </c>
      <c r="O439" s="11">
        <v>4.21</v>
      </c>
      <c r="P439" s="11">
        <v>0.03</v>
      </c>
      <c r="Q439" s="11">
        <v>19.88</v>
      </c>
      <c r="R439" s="11">
        <v>2</v>
      </c>
      <c r="S439" s="11">
        <f t="shared" si="48"/>
        <v>84.74</v>
      </c>
      <c r="T439" s="11">
        <f t="shared" si="49"/>
        <v>16.3</v>
      </c>
      <c r="U439" s="11">
        <f t="shared" si="50"/>
        <v>8.42</v>
      </c>
      <c r="V439" s="11">
        <f t="shared" si="51"/>
        <v>2.54</v>
      </c>
      <c r="W439" s="11" t="s">
        <v>66</v>
      </c>
      <c r="X439" s="11">
        <v>0</v>
      </c>
      <c r="Y439" s="11">
        <f t="shared" si="52"/>
        <v>47.14</v>
      </c>
      <c r="Z439" s="11">
        <f t="shared" si="53"/>
        <v>37.599999999999994</v>
      </c>
      <c r="AA439" s="12">
        <f t="shared" si="54"/>
        <v>0.44371017229171578</v>
      </c>
      <c r="AB439" s="13">
        <f t="shared" si="55"/>
        <v>4.2625754527162973</v>
      </c>
      <c r="AC439" t="s">
        <v>67</v>
      </c>
    </row>
    <row r="440" spans="1:29" ht="14.25" customHeight="1" x14ac:dyDescent="0.45">
      <c r="A440" t="s">
        <v>563</v>
      </c>
      <c r="B440" s="10">
        <v>46078</v>
      </c>
      <c r="C440">
        <v>2026</v>
      </c>
      <c r="D440">
        <v>2</v>
      </c>
      <c r="E440" t="s">
        <v>77</v>
      </c>
      <c r="F440" t="s">
        <v>78</v>
      </c>
      <c r="G440" t="s">
        <v>79</v>
      </c>
      <c r="H440" t="s">
        <v>80</v>
      </c>
      <c r="I440" t="s">
        <v>107</v>
      </c>
      <c r="J440" t="s">
        <v>108</v>
      </c>
      <c r="K440" t="s">
        <v>109</v>
      </c>
      <c r="L440" t="s">
        <v>110</v>
      </c>
      <c r="M440" s="11">
        <v>18.989999999999998</v>
      </c>
      <c r="N440" s="11">
        <v>3.46</v>
      </c>
      <c r="O440" s="11">
        <v>2.2599999999999998</v>
      </c>
      <c r="P440" s="11">
        <v>0.03</v>
      </c>
      <c r="Q440" s="11">
        <v>8.99</v>
      </c>
      <c r="R440" s="11">
        <v>1</v>
      </c>
      <c r="S440" s="11">
        <f t="shared" si="48"/>
        <v>18.989999999999998</v>
      </c>
      <c r="T440" s="11">
        <f t="shared" si="49"/>
        <v>3.46</v>
      </c>
      <c r="U440" s="11">
        <f t="shared" si="50"/>
        <v>2.2599999999999998</v>
      </c>
      <c r="V440" s="11">
        <f t="shared" si="51"/>
        <v>0.56999999999999995</v>
      </c>
      <c r="W440" s="11" t="s">
        <v>66</v>
      </c>
      <c r="X440" s="11">
        <v>0</v>
      </c>
      <c r="Y440" s="11">
        <f t="shared" si="52"/>
        <v>15.280000000000001</v>
      </c>
      <c r="Z440" s="11">
        <f t="shared" si="53"/>
        <v>3.7099999999999973</v>
      </c>
      <c r="AA440" s="12">
        <f t="shared" si="54"/>
        <v>0.1953659820958398</v>
      </c>
      <c r="AB440" s="13">
        <f t="shared" si="55"/>
        <v>2.1123470522803114</v>
      </c>
      <c r="AC440" t="s">
        <v>67</v>
      </c>
    </row>
    <row r="441" spans="1:29" ht="14.25" customHeight="1" x14ac:dyDescent="0.45">
      <c r="A441" t="s">
        <v>564</v>
      </c>
      <c r="B441" s="10">
        <v>46079</v>
      </c>
      <c r="C441">
        <v>2026</v>
      </c>
      <c r="D441">
        <v>2</v>
      </c>
      <c r="E441" t="s">
        <v>58</v>
      </c>
      <c r="F441" t="s">
        <v>92</v>
      </c>
      <c r="G441" t="s">
        <v>126</v>
      </c>
      <c r="H441" t="s">
        <v>127</v>
      </c>
      <c r="I441" t="s">
        <v>138</v>
      </c>
      <c r="J441" t="s">
        <v>139</v>
      </c>
      <c r="K441" t="s">
        <v>89</v>
      </c>
      <c r="L441" t="s">
        <v>140</v>
      </c>
      <c r="M441" s="11">
        <v>37.69</v>
      </c>
      <c r="N441" s="11">
        <v>8.9</v>
      </c>
      <c r="O441" s="11">
        <v>4.07</v>
      </c>
      <c r="P441" s="11">
        <v>0.03</v>
      </c>
      <c r="Q441" s="11">
        <v>3.79</v>
      </c>
      <c r="R441" s="11">
        <v>1</v>
      </c>
      <c r="S441" s="11">
        <f t="shared" si="48"/>
        <v>37.69</v>
      </c>
      <c r="T441" s="11">
        <f t="shared" si="49"/>
        <v>8.9</v>
      </c>
      <c r="U441" s="11">
        <f t="shared" si="50"/>
        <v>4.07</v>
      </c>
      <c r="V441" s="11">
        <f t="shared" si="51"/>
        <v>1.1299999999999999</v>
      </c>
      <c r="W441" s="11" t="s">
        <v>66</v>
      </c>
      <c r="X441" s="11">
        <v>0</v>
      </c>
      <c r="Y441" s="11">
        <f t="shared" si="52"/>
        <v>17.89</v>
      </c>
      <c r="Z441" s="11">
        <f t="shared" si="53"/>
        <v>19.799999999999997</v>
      </c>
      <c r="AA441" s="12">
        <f t="shared" si="54"/>
        <v>0.5253382860175112</v>
      </c>
      <c r="AB441" s="13">
        <f t="shared" si="55"/>
        <v>9.944591029023746</v>
      </c>
      <c r="AC441" t="s">
        <v>67</v>
      </c>
    </row>
    <row r="442" spans="1:29" ht="14.25" customHeight="1" x14ac:dyDescent="0.45">
      <c r="A442" t="s">
        <v>565</v>
      </c>
      <c r="B442" s="10">
        <v>46079</v>
      </c>
      <c r="C442">
        <v>2026</v>
      </c>
      <c r="D442">
        <v>2</v>
      </c>
      <c r="E442" t="s">
        <v>95</v>
      </c>
      <c r="F442" t="s">
        <v>96</v>
      </c>
      <c r="G442" t="s">
        <v>126</v>
      </c>
      <c r="H442" t="s">
        <v>112</v>
      </c>
      <c r="I442" t="s">
        <v>133</v>
      </c>
      <c r="J442" t="s">
        <v>134</v>
      </c>
      <c r="K442" t="s">
        <v>135</v>
      </c>
      <c r="L442" t="s">
        <v>136</v>
      </c>
      <c r="M442" s="11">
        <v>16.329999999999998</v>
      </c>
      <c r="N442" s="11">
        <v>1.94</v>
      </c>
      <c r="O442" s="11">
        <v>2.11</v>
      </c>
      <c r="P442" s="11">
        <v>0.03</v>
      </c>
      <c r="Q442" s="11">
        <v>8.7200000000000006</v>
      </c>
      <c r="R442" s="11">
        <v>1</v>
      </c>
      <c r="S442" s="11">
        <f t="shared" si="48"/>
        <v>16.329999999999998</v>
      </c>
      <c r="T442" s="11">
        <f t="shared" si="49"/>
        <v>1.94</v>
      </c>
      <c r="U442" s="11">
        <f t="shared" si="50"/>
        <v>2.11</v>
      </c>
      <c r="V442" s="11">
        <f t="shared" si="51"/>
        <v>0.49</v>
      </c>
      <c r="W442" s="11" t="s">
        <v>66</v>
      </c>
      <c r="X442" s="11">
        <v>0</v>
      </c>
      <c r="Y442" s="11">
        <f t="shared" si="52"/>
        <v>13.260000000000002</v>
      </c>
      <c r="Z442" s="11">
        <f t="shared" si="53"/>
        <v>3.0699999999999967</v>
      </c>
      <c r="AA442" s="12">
        <f t="shared" si="54"/>
        <v>0.1879975505205142</v>
      </c>
      <c r="AB442" s="13">
        <f t="shared" si="55"/>
        <v>1.8727064220183482</v>
      </c>
      <c r="AC442" t="s">
        <v>67</v>
      </c>
    </row>
    <row r="443" spans="1:29" ht="14.25" customHeight="1" x14ac:dyDescent="0.45">
      <c r="A443" t="s">
        <v>566</v>
      </c>
      <c r="B443" s="10">
        <v>46079</v>
      </c>
      <c r="C443">
        <v>2026</v>
      </c>
      <c r="D443">
        <v>2</v>
      </c>
      <c r="E443" t="s">
        <v>77</v>
      </c>
      <c r="F443" t="s">
        <v>102</v>
      </c>
      <c r="G443" t="s">
        <v>126</v>
      </c>
      <c r="H443" t="s">
        <v>80</v>
      </c>
      <c r="I443" t="s">
        <v>81</v>
      </c>
      <c r="J443" t="s">
        <v>82</v>
      </c>
      <c r="K443" t="s">
        <v>83</v>
      </c>
      <c r="L443" t="s">
        <v>84</v>
      </c>
      <c r="M443" s="11">
        <v>27.34</v>
      </c>
      <c r="N443" s="11">
        <v>5.9</v>
      </c>
      <c r="O443" s="11">
        <v>3.94</v>
      </c>
      <c r="P443" s="11">
        <v>0.03</v>
      </c>
      <c r="Q443" s="11">
        <v>7.77</v>
      </c>
      <c r="R443" s="11">
        <v>1</v>
      </c>
      <c r="S443" s="11">
        <f t="shared" si="48"/>
        <v>27.34</v>
      </c>
      <c r="T443" s="11">
        <f t="shared" si="49"/>
        <v>5.9</v>
      </c>
      <c r="U443" s="11">
        <f t="shared" si="50"/>
        <v>3.94</v>
      </c>
      <c r="V443" s="11">
        <f t="shared" si="51"/>
        <v>0.82</v>
      </c>
      <c r="W443" s="11" t="s">
        <v>66</v>
      </c>
      <c r="X443" s="11">
        <v>0</v>
      </c>
      <c r="Y443" s="11">
        <f t="shared" si="52"/>
        <v>18.43</v>
      </c>
      <c r="Z443" s="11">
        <f t="shared" si="53"/>
        <v>8.91</v>
      </c>
      <c r="AA443" s="12">
        <f t="shared" si="54"/>
        <v>0.32589612289685443</v>
      </c>
      <c r="AB443" s="13">
        <f t="shared" si="55"/>
        <v>3.5186615186615189</v>
      </c>
      <c r="AC443" t="s">
        <v>67</v>
      </c>
    </row>
    <row r="444" spans="1:29" ht="14.25" customHeight="1" x14ac:dyDescent="0.45">
      <c r="A444" t="s">
        <v>567</v>
      </c>
      <c r="B444" s="10">
        <v>46079</v>
      </c>
      <c r="C444">
        <v>2026</v>
      </c>
      <c r="D444">
        <v>2</v>
      </c>
      <c r="E444" t="s">
        <v>77</v>
      </c>
      <c r="F444" t="s">
        <v>104</v>
      </c>
      <c r="G444" t="s">
        <v>126</v>
      </c>
      <c r="H444" t="s">
        <v>80</v>
      </c>
      <c r="I444" t="s">
        <v>113</v>
      </c>
      <c r="J444" t="s">
        <v>114</v>
      </c>
      <c r="K444" t="s">
        <v>115</v>
      </c>
      <c r="L444" t="s">
        <v>116</v>
      </c>
      <c r="M444" s="11">
        <v>52.38</v>
      </c>
      <c r="N444" s="11">
        <v>16.71</v>
      </c>
      <c r="O444" s="11">
        <v>6.62</v>
      </c>
      <c r="P444" s="11">
        <v>0.03</v>
      </c>
      <c r="Q444" s="11">
        <v>5.66</v>
      </c>
      <c r="R444" s="11">
        <v>1</v>
      </c>
      <c r="S444" s="11">
        <f t="shared" si="48"/>
        <v>52.38</v>
      </c>
      <c r="T444" s="11">
        <f t="shared" si="49"/>
        <v>16.71</v>
      </c>
      <c r="U444" s="11">
        <f t="shared" si="50"/>
        <v>6.62</v>
      </c>
      <c r="V444" s="11">
        <f t="shared" si="51"/>
        <v>1.57</v>
      </c>
      <c r="W444" s="11" t="s">
        <v>66</v>
      </c>
      <c r="X444" s="11">
        <v>0</v>
      </c>
      <c r="Y444" s="11">
        <f t="shared" si="52"/>
        <v>30.560000000000002</v>
      </c>
      <c r="Z444" s="11">
        <f t="shared" si="53"/>
        <v>21.82</v>
      </c>
      <c r="AA444" s="12">
        <f t="shared" si="54"/>
        <v>0.41657121038564338</v>
      </c>
      <c r="AB444" s="13">
        <f t="shared" si="55"/>
        <v>9.2544169611307421</v>
      </c>
      <c r="AC444" t="s">
        <v>67</v>
      </c>
    </row>
    <row r="445" spans="1:29" ht="14.25" customHeight="1" x14ac:dyDescent="0.45">
      <c r="A445" t="s">
        <v>568</v>
      </c>
      <c r="B445" s="10">
        <v>46082</v>
      </c>
      <c r="C445">
        <v>2026</v>
      </c>
      <c r="D445">
        <v>3</v>
      </c>
      <c r="E445" t="s">
        <v>69</v>
      </c>
      <c r="F445" t="s">
        <v>70</v>
      </c>
      <c r="G445" t="s">
        <v>93</v>
      </c>
      <c r="H445" t="s">
        <v>127</v>
      </c>
      <c r="I445" t="s">
        <v>138</v>
      </c>
      <c r="J445" t="s">
        <v>139</v>
      </c>
      <c r="K445" t="s">
        <v>89</v>
      </c>
      <c r="L445" t="s">
        <v>140</v>
      </c>
      <c r="M445" s="11">
        <v>36.81</v>
      </c>
      <c r="N445" s="11">
        <v>8.1999999999999993</v>
      </c>
      <c r="O445" s="11">
        <v>4.05</v>
      </c>
      <c r="P445" s="11">
        <v>0.03</v>
      </c>
      <c r="Q445" s="11">
        <v>10.43</v>
      </c>
      <c r="R445" s="11">
        <v>1</v>
      </c>
      <c r="S445" s="11">
        <f t="shared" si="48"/>
        <v>36.81</v>
      </c>
      <c r="T445" s="11">
        <f t="shared" si="49"/>
        <v>8.1999999999999993</v>
      </c>
      <c r="U445" s="11">
        <f t="shared" si="50"/>
        <v>4.05</v>
      </c>
      <c r="V445" s="11">
        <f t="shared" si="51"/>
        <v>1.1000000000000001</v>
      </c>
      <c r="W445" s="11" t="s">
        <v>66</v>
      </c>
      <c r="X445" s="11">
        <v>0</v>
      </c>
      <c r="Y445" s="11">
        <f t="shared" si="52"/>
        <v>23.78</v>
      </c>
      <c r="Z445" s="11">
        <f t="shared" si="53"/>
        <v>13.030000000000001</v>
      </c>
      <c r="AA445" s="12">
        <f t="shared" si="54"/>
        <v>0.35397989676718283</v>
      </c>
      <c r="AB445" s="13">
        <f t="shared" si="55"/>
        <v>3.5292425695110263</v>
      </c>
      <c r="AC445" t="s">
        <v>67</v>
      </c>
    </row>
    <row r="446" spans="1:29" ht="14.25" customHeight="1" x14ac:dyDescent="0.45">
      <c r="A446" t="s">
        <v>569</v>
      </c>
      <c r="B446" s="10">
        <v>46084</v>
      </c>
      <c r="C446">
        <v>2026</v>
      </c>
      <c r="D446">
        <v>3</v>
      </c>
      <c r="E446" t="s">
        <v>95</v>
      </c>
      <c r="F446" t="s">
        <v>96</v>
      </c>
      <c r="G446" t="s">
        <v>71</v>
      </c>
      <c r="H446" t="s">
        <v>127</v>
      </c>
      <c r="I446" t="s">
        <v>72</v>
      </c>
      <c r="J446" t="s">
        <v>73</v>
      </c>
      <c r="K446" t="s">
        <v>74</v>
      </c>
      <c r="L446" t="s">
        <v>75</v>
      </c>
      <c r="M446" s="11">
        <v>40.840000000000003</v>
      </c>
      <c r="N446" s="11">
        <v>13.9</v>
      </c>
      <c r="O446" s="11">
        <v>7.28</v>
      </c>
      <c r="P446" s="11">
        <v>0.03</v>
      </c>
      <c r="Q446" s="11">
        <v>0</v>
      </c>
      <c r="R446" s="11">
        <v>3</v>
      </c>
      <c r="S446" s="11">
        <f t="shared" si="48"/>
        <v>122.52000000000001</v>
      </c>
      <c r="T446" s="11">
        <f t="shared" si="49"/>
        <v>41.7</v>
      </c>
      <c r="U446" s="11">
        <f t="shared" si="50"/>
        <v>21.84</v>
      </c>
      <c r="V446" s="11">
        <f t="shared" si="51"/>
        <v>3.68</v>
      </c>
      <c r="W446" s="11" t="s">
        <v>66</v>
      </c>
      <c r="X446" s="11">
        <v>0</v>
      </c>
      <c r="Y446" s="11">
        <f t="shared" si="52"/>
        <v>67.220000000000013</v>
      </c>
      <c r="Z446" s="11">
        <f t="shared" si="53"/>
        <v>55.3</v>
      </c>
      <c r="AA446" s="12">
        <f t="shared" si="54"/>
        <v>0.45135488083578185</v>
      </c>
      <c r="AB446" s="13">
        <f t="shared" si="55"/>
        <v>0</v>
      </c>
      <c r="AC446" t="s">
        <v>67</v>
      </c>
    </row>
    <row r="447" spans="1:29" ht="14.25" customHeight="1" x14ac:dyDescent="0.45">
      <c r="A447" t="s">
        <v>570</v>
      </c>
      <c r="B447" s="10">
        <v>46084</v>
      </c>
      <c r="C447">
        <v>2026</v>
      </c>
      <c r="D447">
        <v>3</v>
      </c>
      <c r="E447" t="s">
        <v>58</v>
      </c>
      <c r="F447" t="s">
        <v>92</v>
      </c>
      <c r="G447" t="s">
        <v>79</v>
      </c>
      <c r="H447" t="s">
        <v>80</v>
      </c>
      <c r="I447" t="s">
        <v>113</v>
      </c>
      <c r="J447" t="s">
        <v>114</v>
      </c>
      <c r="K447" t="s">
        <v>115</v>
      </c>
      <c r="L447" t="s">
        <v>116</v>
      </c>
      <c r="M447" s="11">
        <v>54.48</v>
      </c>
      <c r="N447" s="11">
        <v>17.14</v>
      </c>
      <c r="O447" s="11">
        <v>6.16</v>
      </c>
      <c r="P447" s="11">
        <v>0.03</v>
      </c>
      <c r="Q447" s="11">
        <v>6.11</v>
      </c>
      <c r="R447" s="11">
        <v>1</v>
      </c>
      <c r="S447" s="11">
        <f t="shared" si="48"/>
        <v>54.48</v>
      </c>
      <c r="T447" s="11">
        <f t="shared" si="49"/>
        <v>17.14</v>
      </c>
      <c r="U447" s="11">
        <f t="shared" si="50"/>
        <v>6.16</v>
      </c>
      <c r="V447" s="11">
        <f t="shared" si="51"/>
        <v>1.63</v>
      </c>
      <c r="W447" s="11" t="s">
        <v>66</v>
      </c>
      <c r="X447" s="11">
        <v>0</v>
      </c>
      <c r="Y447" s="11">
        <f t="shared" si="52"/>
        <v>31.04</v>
      </c>
      <c r="Z447" s="11">
        <f t="shared" si="53"/>
        <v>23.439999999999998</v>
      </c>
      <c r="AA447" s="12">
        <f t="shared" si="54"/>
        <v>0.43024963289280466</v>
      </c>
      <c r="AB447" s="13">
        <f t="shared" si="55"/>
        <v>8.9165302782324041</v>
      </c>
      <c r="AC447" t="s">
        <v>67</v>
      </c>
    </row>
    <row r="448" spans="1:29" ht="14.25" customHeight="1" x14ac:dyDescent="0.45">
      <c r="A448" t="s">
        <v>571</v>
      </c>
      <c r="B448" s="10">
        <v>46085</v>
      </c>
      <c r="C448">
        <v>2026</v>
      </c>
      <c r="D448">
        <v>3</v>
      </c>
      <c r="E448" t="s">
        <v>77</v>
      </c>
      <c r="F448" t="s">
        <v>104</v>
      </c>
      <c r="G448" t="s">
        <v>126</v>
      </c>
      <c r="H448" t="s">
        <v>127</v>
      </c>
      <c r="I448" t="s">
        <v>107</v>
      </c>
      <c r="J448" t="s">
        <v>108</v>
      </c>
      <c r="K448" t="s">
        <v>109</v>
      </c>
      <c r="L448" t="s">
        <v>110</v>
      </c>
      <c r="M448" s="11">
        <v>18.3</v>
      </c>
      <c r="N448" s="11">
        <v>3.37</v>
      </c>
      <c r="O448" s="11">
        <v>2.84</v>
      </c>
      <c r="P448" s="11">
        <v>0.03</v>
      </c>
      <c r="Q448" s="11">
        <v>7.66</v>
      </c>
      <c r="R448" s="11">
        <v>1</v>
      </c>
      <c r="S448" s="11">
        <f t="shared" si="48"/>
        <v>18.3</v>
      </c>
      <c r="T448" s="11">
        <f t="shared" si="49"/>
        <v>3.37</v>
      </c>
      <c r="U448" s="11">
        <f t="shared" si="50"/>
        <v>2.84</v>
      </c>
      <c r="V448" s="11">
        <f t="shared" si="51"/>
        <v>0.55000000000000004</v>
      </c>
      <c r="W448" s="11" t="s">
        <v>66</v>
      </c>
      <c r="X448" s="11">
        <v>0</v>
      </c>
      <c r="Y448" s="11">
        <f t="shared" si="52"/>
        <v>14.42</v>
      </c>
      <c r="Z448" s="11">
        <f t="shared" si="53"/>
        <v>3.8800000000000008</v>
      </c>
      <c r="AA448" s="12">
        <f t="shared" si="54"/>
        <v>0.21202185792349731</v>
      </c>
      <c r="AB448" s="13">
        <f t="shared" si="55"/>
        <v>2.3890339425587466</v>
      </c>
      <c r="AC448" t="s">
        <v>67</v>
      </c>
    </row>
    <row r="449" spans="1:29" ht="14.25" customHeight="1" x14ac:dyDescent="0.45">
      <c r="A449" t="s">
        <v>572</v>
      </c>
      <c r="B449" s="10">
        <v>46087</v>
      </c>
      <c r="C449">
        <v>2026</v>
      </c>
      <c r="D449">
        <v>3</v>
      </c>
      <c r="E449" t="s">
        <v>58</v>
      </c>
      <c r="F449" t="s">
        <v>92</v>
      </c>
      <c r="G449" t="s">
        <v>105</v>
      </c>
      <c r="H449" t="s">
        <v>80</v>
      </c>
      <c r="I449" t="s">
        <v>87</v>
      </c>
      <c r="J449" t="s">
        <v>88</v>
      </c>
      <c r="K449" t="s">
        <v>89</v>
      </c>
      <c r="L449" t="s">
        <v>90</v>
      </c>
      <c r="M449" s="11">
        <v>65.16</v>
      </c>
      <c r="N449" s="11">
        <v>22.87</v>
      </c>
      <c r="O449" s="11">
        <v>7.7</v>
      </c>
      <c r="P449" s="11">
        <v>0.03</v>
      </c>
      <c r="Q449" s="11">
        <v>9.6</v>
      </c>
      <c r="R449" s="11">
        <v>1</v>
      </c>
      <c r="S449" s="11">
        <f t="shared" si="48"/>
        <v>65.16</v>
      </c>
      <c r="T449" s="11">
        <f t="shared" si="49"/>
        <v>22.87</v>
      </c>
      <c r="U449" s="11">
        <f t="shared" si="50"/>
        <v>7.7</v>
      </c>
      <c r="V449" s="11">
        <f t="shared" si="51"/>
        <v>1.95</v>
      </c>
      <c r="W449" s="11" t="s">
        <v>66</v>
      </c>
      <c r="X449" s="11">
        <v>0</v>
      </c>
      <c r="Y449" s="11">
        <f t="shared" si="52"/>
        <v>42.120000000000005</v>
      </c>
      <c r="Z449" s="11">
        <f t="shared" si="53"/>
        <v>23.039999999999992</v>
      </c>
      <c r="AA449" s="12">
        <f t="shared" si="54"/>
        <v>0.35359116022099435</v>
      </c>
      <c r="AB449" s="13">
        <f t="shared" si="55"/>
        <v>6.7874999999999996</v>
      </c>
      <c r="AC449" t="s">
        <v>67</v>
      </c>
    </row>
    <row r="450" spans="1:29" ht="14.25" customHeight="1" x14ac:dyDescent="0.45">
      <c r="A450" t="s">
        <v>573</v>
      </c>
      <c r="B450" s="10">
        <v>46087</v>
      </c>
      <c r="C450">
        <v>2026</v>
      </c>
      <c r="D450">
        <v>3</v>
      </c>
      <c r="E450" t="s">
        <v>95</v>
      </c>
      <c r="F450" t="s">
        <v>96</v>
      </c>
      <c r="G450" t="s">
        <v>105</v>
      </c>
      <c r="H450" t="s">
        <v>80</v>
      </c>
      <c r="I450" t="s">
        <v>133</v>
      </c>
      <c r="J450" t="s">
        <v>134</v>
      </c>
      <c r="K450" t="s">
        <v>135</v>
      </c>
      <c r="L450" t="s">
        <v>136</v>
      </c>
      <c r="M450" s="11">
        <v>16.37</v>
      </c>
      <c r="N450" s="11">
        <v>1.97</v>
      </c>
      <c r="O450" s="11">
        <v>1.94</v>
      </c>
      <c r="P450" s="11">
        <v>0.03</v>
      </c>
      <c r="Q450" s="11">
        <v>6.64</v>
      </c>
      <c r="R450" s="11">
        <v>1</v>
      </c>
      <c r="S450" s="11">
        <f t="shared" ref="S450:S513" si="56">IF(AC450="Cancelled",0,M450*R450)</f>
        <v>16.37</v>
      </c>
      <c r="T450" s="11">
        <f t="shared" ref="T450:T501" si="57">IF(AC450="Cancelled",0,N450*R450)</f>
        <v>1.97</v>
      </c>
      <c r="U450" s="11">
        <f t="shared" ref="U450:U501" si="58">IF(AC450="Cancelled",0,O450*R450)</f>
        <v>1.94</v>
      </c>
      <c r="V450" s="11">
        <f t="shared" ref="V450:V501" si="59">IF(AC450="Cancelled",0,ROUND(P450*S450,2))</f>
        <v>0.49</v>
      </c>
      <c r="W450" s="11" t="s">
        <v>66</v>
      </c>
      <c r="X450" s="11">
        <v>0</v>
      </c>
      <c r="Y450" s="11">
        <f t="shared" ref="Y450:Y513" si="60">IF(AC450="Cancelled",0,T450+U450+V450+Q450+X450)</f>
        <v>11.04</v>
      </c>
      <c r="Z450" s="11">
        <f t="shared" ref="Z450:Z513" si="61">IF(AC450="Cancelled",-Q450,S450-Y450)</f>
        <v>5.3300000000000018</v>
      </c>
      <c r="AA450" s="12">
        <f t="shared" ref="AA450:AA513" si="62">IF(OR(AC450="Cancelled",S450=0),0,Z450/S450)</f>
        <v>0.32559560171044605</v>
      </c>
      <c r="AB450" s="13">
        <f t="shared" ref="AB450:AB501" si="63">IFERROR(S450/Q450,0)</f>
        <v>2.4653614457831328</v>
      </c>
      <c r="AC450" t="s">
        <v>67</v>
      </c>
    </row>
    <row r="451" spans="1:29" ht="14.25" customHeight="1" x14ac:dyDescent="0.45">
      <c r="A451" t="s">
        <v>574</v>
      </c>
      <c r="B451" s="10">
        <v>46088</v>
      </c>
      <c r="C451">
        <v>2026</v>
      </c>
      <c r="D451">
        <v>3</v>
      </c>
      <c r="E451" t="s">
        <v>58</v>
      </c>
      <c r="F451" t="s">
        <v>92</v>
      </c>
      <c r="G451" t="s">
        <v>105</v>
      </c>
      <c r="H451" t="s">
        <v>80</v>
      </c>
      <c r="I451" t="s">
        <v>97</v>
      </c>
      <c r="J451" t="s">
        <v>98</v>
      </c>
      <c r="K451" t="s">
        <v>99</v>
      </c>
      <c r="L451" t="s">
        <v>100</v>
      </c>
      <c r="M451" s="11">
        <v>31.53</v>
      </c>
      <c r="N451" s="11">
        <v>9.42</v>
      </c>
      <c r="O451" s="11">
        <v>3.83</v>
      </c>
      <c r="P451" s="11">
        <v>0.03</v>
      </c>
      <c r="Q451" s="11">
        <v>3.72</v>
      </c>
      <c r="R451" s="11">
        <v>1</v>
      </c>
      <c r="S451" s="11">
        <f t="shared" si="56"/>
        <v>31.53</v>
      </c>
      <c r="T451" s="11">
        <f t="shared" si="57"/>
        <v>9.42</v>
      </c>
      <c r="U451" s="11">
        <f t="shared" si="58"/>
        <v>3.83</v>
      </c>
      <c r="V451" s="11">
        <f t="shared" si="59"/>
        <v>0.95</v>
      </c>
      <c r="W451" s="11" t="s">
        <v>66</v>
      </c>
      <c r="X451" s="11">
        <v>0</v>
      </c>
      <c r="Y451" s="11">
        <f t="shared" si="60"/>
        <v>17.919999999999998</v>
      </c>
      <c r="Z451" s="11">
        <f t="shared" si="61"/>
        <v>13.610000000000003</v>
      </c>
      <c r="AA451" s="12">
        <f t="shared" si="62"/>
        <v>0.43165239454487797</v>
      </c>
      <c r="AB451" s="13">
        <f t="shared" si="63"/>
        <v>8.4758064516129039</v>
      </c>
      <c r="AC451" t="s">
        <v>67</v>
      </c>
    </row>
    <row r="452" spans="1:29" ht="14.25" customHeight="1" x14ac:dyDescent="0.45">
      <c r="A452" t="s">
        <v>575</v>
      </c>
      <c r="B452" s="10">
        <v>46089</v>
      </c>
      <c r="C452">
        <v>2026</v>
      </c>
      <c r="D452">
        <v>3</v>
      </c>
      <c r="E452" t="s">
        <v>77</v>
      </c>
      <c r="F452" t="s">
        <v>78</v>
      </c>
      <c r="G452" t="s">
        <v>126</v>
      </c>
      <c r="H452" t="s">
        <v>61</v>
      </c>
      <c r="I452" t="s">
        <v>107</v>
      </c>
      <c r="J452" t="s">
        <v>108</v>
      </c>
      <c r="K452" t="s">
        <v>109</v>
      </c>
      <c r="L452" t="s">
        <v>110</v>
      </c>
      <c r="M452" s="11">
        <v>20.61</v>
      </c>
      <c r="N452" s="11">
        <v>3.52</v>
      </c>
      <c r="O452" s="11">
        <v>2.27</v>
      </c>
      <c r="P452" s="11">
        <v>0.03</v>
      </c>
      <c r="Q452" s="11">
        <v>3.38</v>
      </c>
      <c r="R452" s="11">
        <v>1</v>
      </c>
      <c r="S452" s="11">
        <f t="shared" si="56"/>
        <v>20.61</v>
      </c>
      <c r="T452" s="11">
        <f t="shared" si="57"/>
        <v>3.52</v>
      </c>
      <c r="U452" s="11">
        <f t="shared" si="58"/>
        <v>2.27</v>
      </c>
      <c r="V452" s="11">
        <f t="shared" si="59"/>
        <v>0.62</v>
      </c>
      <c r="W452" s="11" t="s">
        <v>66</v>
      </c>
      <c r="X452" s="11">
        <v>0</v>
      </c>
      <c r="Y452" s="11">
        <f t="shared" si="60"/>
        <v>9.7899999999999991</v>
      </c>
      <c r="Z452" s="11">
        <f t="shared" si="61"/>
        <v>10.82</v>
      </c>
      <c r="AA452" s="12">
        <f t="shared" si="62"/>
        <v>0.52498786996603597</v>
      </c>
      <c r="AB452" s="13">
        <f t="shared" si="63"/>
        <v>6.0976331360946743</v>
      </c>
      <c r="AC452" t="s">
        <v>67</v>
      </c>
    </row>
    <row r="453" spans="1:29" ht="14.25" customHeight="1" x14ac:dyDescent="0.45">
      <c r="A453" t="s">
        <v>576</v>
      </c>
      <c r="B453" s="10">
        <v>46092</v>
      </c>
      <c r="C453">
        <v>2026</v>
      </c>
      <c r="D453">
        <v>3</v>
      </c>
      <c r="E453" t="s">
        <v>95</v>
      </c>
      <c r="F453" t="s">
        <v>96</v>
      </c>
      <c r="G453" t="s">
        <v>93</v>
      </c>
      <c r="H453" t="s">
        <v>80</v>
      </c>
      <c r="I453" t="s">
        <v>62</v>
      </c>
      <c r="J453" t="s">
        <v>63</v>
      </c>
      <c r="K453" t="s">
        <v>64</v>
      </c>
      <c r="L453" t="s">
        <v>65</v>
      </c>
      <c r="M453" s="11">
        <v>36.880000000000003</v>
      </c>
      <c r="N453" s="11">
        <v>10.32</v>
      </c>
      <c r="O453" s="11">
        <v>3.82</v>
      </c>
      <c r="P453" s="11">
        <v>0.03</v>
      </c>
      <c r="Q453" s="11">
        <v>8.8000000000000007</v>
      </c>
      <c r="R453" s="11">
        <v>1</v>
      </c>
      <c r="S453" s="11">
        <f t="shared" si="56"/>
        <v>36.880000000000003</v>
      </c>
      <c r="T453" s="11">
        <f t="shared" si="57"/>
        <v>10.32</v>
      </c>
      <c r="U453" s="11">
        <f t="shared" si="58"/>
        <v>3.82</v>
      </c>
      <c r="V453" s="11">
        <f t="shared" si="59"/>
        <v>1.1100000000000001</v>
      </c>
      <c r="W453" s="11" t="s">
        <v>154</v>
      </c>
      <c r="X453" s="11">
        <v>21.52</v>
      </c>
      <c r="Y453" s="11">
        <f t="shared" si="60"/>
        <v>45.57</v>
      </c>
      <c r="Z453" s="11">
        <f t="shared" si="61"/>
        <v>-8.6899999999999977</v>
      </c>
      <c r="AA453" s="12">
        <f t="shared" si="62"/>
        <v>-0.23562906724511923</v>
      </c>
      <c r="AB453" s="13">
        <f t="shared" si="63"/>
        <v>4.1909090909090905</v>
      </c>
      <c r="AC453" t="s">
        <v>155</v>
      </c>
    </row>
    <row r="454" spans="1:29" ht="14.25" customHeight="1" x14ac:dyDescent="0.45">
      <c r="A454" t="s">
        <v>577</v>
      </c>
      <c r="B454" s="10">
        <v>46092</v>
      </c>
      <c r="C454">
        <v>2026</v>
      </c>
      <c r="D454">
        <v>3</v>
      </c>
      <c r="E454" t="s">
        <v>77</v>
      </c>
      <c r="F454" t="s">
        <v>102</v>
      </c>
      <c r="G454" t="s">
        <v>126</v>
      </c>
      <c r="H454" t="s">
        <v>86</v>
      </c>
      <c r="I454" t="s">
        <v>113</v>
      </c>
      <c r="J454" t="s">
        <v>114</v>
      </c>
      <c r="K454" t="s">
        <v>115</v>
      </c>
      <c r="L454" t="s">
        <v>116</v>
      </c>
      <c r="M454" s="11">
        <v>46.93</v>
      </c>
      <c r="N454" s="11">
        <v>15.82</v>
      </c>
      <c r="O454" s="11">
        <v>5.58</v>
      </c>
      <c r="P454" s="11">
        <v>0.03</v>
      </c>
      <c r="Q454" s="11">
        <v>3.01</v>
      </c>
      <c r="R454" s="11">
        <v>3</v>
      </c>
      <c r="S454" s="11">
        <f t="shared" si="56"/>
        <v>140.79</v>
      </c>
      <c r="T454" s="11">
        <f t="shared" si="57"/>
        <v>47.46</v>
      </c>
      <c r="U454" s="11">
        <f t="shared" si="58"/>
        <v>16.740000000000002</v>
      </c>
      <c r="V454" s="11">
        <f t="shared" si="59"/>
        <v>4.22</v>
      </c>
      <c r="W454" s="11" t="s">
        <v>66</v>
      </c>
      <c r="X454" s="11">
        <v>0</v>
      </c>
      <c r="Y454" s="11">
        <f t="shared" si="60"/>
        <v>71.430000000000007</v>
      </c>
      <c r="Z454" s="11">
        <f t="shared" si="61"/>
        <v>69.359999999999985</v>
      </c>
      <c r="AA454" s="12">
        <f t="shared" si="62"/>
        <v>0.49264862561261447</v>
      </c>
      <c r="AB454" s="13">
        <f t="shared" si="63"/>
        <v>46.774086378737543</v>
      </c>
      <c r="AC454" t="s">
        <v>67</v>
      </c>
    </row>
    <row r="455" spans="1:29" ht="14.25" customHeight="1" x14ac:dyDescent="0.45">
      <c r="A455" t="s">
        <v>578</v>
      </c>
      <c r="B455" s="10">
        <v>46092</v>
      </c>
      <c r="C455">
        <v>2026</v>
      </c>
      <c r="D455">
        <v>3</v>
      </c>
      <c r="E455" t="s">
        <v>58</v>
      </c>
      <c r="F455" t="s">
        <v>92</v>
      </c>
      <c r="G455" t="s">
        <v>105</v>
      </c>
      <c r="H455" t="s">
        <v>80</v>
      </c>
      <c r="I455" t="s">
        <v>87</v>
      </c>
      <c r="J455" t="s">
        <v>88</v>
      </c>
      <c r="K455" t="s">
        <v>89</v>
      </c>
      <c r="L455" t="s">
        <v>90</v>
      </c>
      <c r="M455" s="11">
        <v>64.680000000000007</v>
      </c>
      <c r="N455" s="11">
        <v>23.18</v>
      </c>
      <c r="O455" s="11">
        <v>6.51</v>
      </c>
      <c r="P455" s="11">
        <v>0.03</v>
      </c>
      <c r="Q455" s="11">
        <v>24.8</v>
      </c>
      <c r="R455" s="11">
        <v>3</v>
      </c>
      <c r="S455" s="11">
        <f t="shared" si="56"/>
        <v>194.04000000000002</v>
      </c>
      <c r="T455" s="11">
        <f t="shared" si="57"/>
        <v>69.539999999999992</v>
      </c>
      <c r="U455" s="11">
        <f t="shared" si="58"/>
        <v>19.53</v>
      </c>
      <c r="V455" s="11">
        <f t="shared" si="59"/>
        <v>5.82</v>
      </c>
      <c r="W455" s="11" t="s">
        <v>66</v>
      </c>
      <c r="X455" s="11">
        <v>0</v>
      </c>
      <c r="Y455" s="11">
        <f t="shared" si="60"/>
        <v>119.68999999999998</v>
      </c>
      <c r="Z455" s="11">
        <f t="shared" si="61"/>
        <v>74.350000000000037</v>
      </c>
      <c r="AA455" s="12">
        <f t="shared" si="62"/>
        <v>0.38316841888270475</v>
      </c>
      <c r="AB455" s="13">
        <f t="shared" si="63"/>
        <v>7.8241935483870977</v>
      </c>
      <c r="AC455" t="s">
        <v>67</v>
      </c>
    </row>
    <row r="456" spans="1:29" ht="14.25" customHeight="1" x14ac:dyDescent="0.45">
      <c r="A456" t="s">
        <v>579</v>
      </c>
      <c r="B456" s="10">
        <v>46092</v>
      </c>
      <c r="C456">
        <v>2026</v>
      </c>
      <c r="D456">
        <v>3</v>
      </c>
      <c r="E456" t="s">
        <v>122</v>
      </c>
      <c r="F456" t="s">
        <v>123</v>
      </c>
      <c r="G456" t="s">
        <v>93</v>
      </c>
      <c r="H456" t="s">
        <v>127</v>
      </c>
      <c r="I456" t="s">
        <v>138</v>
      </c>
      <c r="J456" t="s">
        <v>139</v>
      </c>
      <c r="K456" t="s">
        <v>89</v>
      </c>
      <c r="L456" t="s">
        <v>140</v>
      </c>
      <c r="M456" s="11">
        <v>37.74</v>
      </c>
      <c r="N456" s="11">
        <v>8.81</v>
      </c>
      <c r="O456" s="11">
        <v>4.3099999999999996</v>
      </c>
      <c r="P456" s="11">
        <v>0.03</v>
      </c>
      <c r="Q456" s="11">
        <v>17.489999999999998</v>
      </c>
      <c r="R456" s="11">
        <v>2</v>
      </c>
      <c r="S456" s="11">
        <f t="shared" si="56"/>
        <v>75.48</v>
      </c>
      <c r="T456" s="11">
        <f t="shared" si="57"/>
        <v>17.62</v>
      </c>
      <c r="U456" s="11">
        <f t="shared" si="58"/>
        <v>8.6199999999999992</v>
      </c>
      <c r="V456" s="11">
        <f t="shared" si="59"/>
        <v>2.2599999999999998</v>
      </c>
      <c r="W456" s="11" t="s">
        <v>66</v>
      </c>
      <c r="X456" s="11">
        <v>0</v>
      </c>
      <c r="Y456" s="11">
        <f t="shared" si="60"/>
        <v>45.989999999999995</v>
      </c>
      <c r="Z456" s="11">
        <f t="shared" si="61"/>
        <v>29.490000000000009</v>
      </c>
      <c r="AA456" s="12">
        <f t="shared" si="62"/>
        <v>0.3906995230524643</v>
      </c>
      <c r="AB456" s="13">
        <f t="shared" si="63"/>
        <v>4.3156089193825045</v>
      </c>
      <c r="AC456" t="s">
        <v>67</v>
      </c>
    </row>
    <row r="457" spans="1:29" ht="14.25" customHeight="1" x14ac:dyDescent="0.45">
      <c r="A457" t="s">
        <v>580</v>
      </c>
      <c r="B457" s="10">
        <v>46093</v>
      </c>
      <c r="C457">
        <v>2026</v>
      </c>
      <c r="D457">
        <v>3</v>
      </c>
      <c r="E457" t="s">
        <v>77</v>
      </c>
      <c r="F457" t="s">
        <v>102</v>
      </c>
      <c r="G457" t="s">
        <v>93</v>
      </c>
      <c r="H457" t="s">
        <v>127</v>
      </c>
      <c r="I457" t="s">
        <v>81</v>
      </c>
      <c r="J457" t="s">
        <v>82</v>
      </c>
      <c r="K457" t="s">
        <v>83</v>
      </c>
      <c r="L457" t="s">
        <v>84</v>
      </c>
      <c r="M457" s="11">
        <v>25.91</v>
      </c>
      <c r="N457" s="11">
        <v>5.9</v>
      </c>
      <c r="O457" s="11">
        <v>3.77</v>
      </c>
      <c r="P457" s="11">
        <v>0.03</v>
      </c>
      <c r="Q457" s="11">
        <v>7.43</v>
      </c>
      <c r="R457" s="11">
        <v>2</v>
      </c>
      <c r="S457" s="11">
        <f t="shared" si="56"/>
        <v>51.82</v>
      </c>
      <c r="T457" s="11">
        <f t="shared" si="57"/>
        <v>11.8</v>
      </c>
      <c r="U457" s="11">
        <f t="shared" si="58"/>
        <v>7.54</v>
      </c>
      <c r="V457" s="11">
        <f t="shared" si="59"/>
        <v>1.55</v>
      </c>
      <c r="W457" s="11" t="s">
        <v>66</v>
      </c>
      <c r="X457" s="11">
        <v>0</v>
      </c>
      <c r="Y457" s="11">
        <f t="shared" si="60"/>
        <v>28.32</v>
      </c>
      <c r="Z457" s="11">
        <f t="shared" si="61"/>
        <v>23.5</v>
      </c>
      <c r="AA457" s="12">
        <f t="shared" si="62"/>
        <v>0.45349285989965266</v>
      </c>
      <c r="AB457" s="13">
        <f t="shared" si="63"/>
        <v>6.9744279946164198</v>
      </c>
      <c r="AC457" t="s">
        <v>67</v>
      </c>
    </row>
    <row r="458" spans="1:29" ht="14.25" customHeight="1" x14ac:dyDescent="0.45">
      <c r="A458" t="s">
        <v>581</v>
      </c>
      <c r="B458" s="10">
        <v>46096</v>
      </c>
      <c r="C458">
        <v>2026</v>
      </c>
      <c r="D458">
        <v>3</v>
      </c>
      <c r="E458" t="s">
        <v>58</v>
      </c>
      <c r="F458" t="s">
        <v>92</v>
      </c>
      <c r="G458" t="s">
        <v>93</v>
      </c>
      <c r="H458" t="s">
        <v>86</v>
      </c>
      <c r="I458" t="s">
        <v>62</v>
      </c>
      <c r="J458" t="s">
        <v>63</v>
      </c>
      <c r="K458" t="s">
        <v>64</v>
      </c>
      <c r="L458" t="s">
        <v>65</v>
      </c>
      <c r="M458" s="11">
        <v>33.950000000000003</v>
      </c>
      <c r="N458" s="11">
        <v>10.78</v>
      </c>
      <c r="O458" s="11">
        <v>3.86</v>
      </c>
      <c r="P458" s="11">
        <v>0.03</v>
      </c>
      <c r="Q458" s="11">
        <v>4.2</v>
      </c>
      <c r="R458" s="11">
        <v>1</v>
      </c>
      <c r="S458" s="11">
        <f t="shared" si="56"/>
        <v>33.950000000000003</v>
      </c>
      <c r="T458" s="11">
        <f t="shared" si="57"/>
        <v>10.78</v>
      </c>
      <c r="U458" s="11">
        <f t="shared" si="58"/>
        <v>3.86</v>
      </c>
      <c r="V458" s="11">
        <f t="shared" si="59"/>
        <v>1.02</v>
      </c>
      <c r="W458" s="11" t="s">
        <v>66</v>
      </c>
      <c r="X458" s="11">
        <v>0</v>
      </c>
      <c r="Y458" s="11">
        <f t="shared" si="60"/>
        <v>19.86</v>
      </c>
      <c r="Z458" s="11">
        <f t="shared" si="61"/>
        <v>14.090000000000003</v>
      </c>
      <c r="AA458" s="12">
        <f t="shared" si="62"/>
        <v>0.41502209131075118</v>
      </c>
      <c r="AB458" s="13">
        <f t="shared" si="63"/>
        <v>8.0833333333333339</v>
      </c>
      <c r="AC458" t="s">
        <v>67</v>
      </c>
    </row>
    <row r="459" spans="1:29" ht="14.25" customHeight="1" x14ac:dyDescent="0.45">
      <c r="A459" t="s">
        <v>582</v>
      </c>
      <c r="B459" s="10">
        <v>46099</v>
      </c>
      <c r="C459">
        <v>2026</v>
      </c>
      <c r="D459">
        <v>3</v>
      </c>
      <c r="E459" t="s">
        <v>122</v>
      </c>
      <c r="F459" t="s">
        <v>123</v>
      </c>
      <c r="G459" t="s">
        <v>105</v>
      </c>
      <c r="H459" t="s">
        <v>61</v>
      </c>
      <c r="I459" t="s">
        <v>147</v>
      </c>
      <c r="J459" t="s">
        <v>148</v>
      </c>
      <c r="K459" t="s">
        <v>149</v>
      </c>
      <c r="L459" t="s">
        <v>150</v>
      </c>
      <c r="M459" s="11">
        <v>31.08</v>
      </c>
      <c r="N459" s="11">
        <v>7.33</v>
      </c>
      <c r="O459" s="11">
        <v>4.66</v>
      </c>
      <c r="P459" s="11">
        <v>0.03</v>
      </c>
      <c r="Q459" s="11">
        <v>26.99</v>
      </c>
      <c r="R459" s="11">
        <v>3</v>
      </c>
      <c r="S459" s="11">
        <f t="shared" si="56"/>
        <v>93.24</v>
      </c>
      <c r="T459" s="11">
        <f t="shared" si="57"/>
        <v>21.990000000000002</v>
      </c>
      <c r="U459" s="11">
        <f t="shared" si="58"/>
        <v>13.98</v>
      </c>
      <c r="V459" s="11">
        <f t="shared" si="59"/>
        <v>2.8</v>
      </c>
      <c r="W459" s="11" t="s">
        <v>66</v>
      </c>
      <c r="X459" s="11">
        <v>0</v>
      </c>
      <c r="Y459" s="11">
        <f t="shared" si="60"/>
        <v>65.759999999999991</v>
      </c>
      <c r="Z459" s="11">
        <f t="shared" si="61"/>
        <v>27.480000000000004</v>
      </c>
      <c r="AA459" s="12">
        <f t="shared" si="62"/>
        <v>0.29472329472329478</v>
      </c>
      <c r="AB459" s="13">
        <f t="shared" si="63"/>
        <v>3.4546128195628012</v>
      </c>
      <c r="AC459" t="s">
        <v>67</v>
      </c>
    </row>
    <row r="460" spans="1:29" ht="14.25" customHeight="1" x14ac:dyDescent="0.45">
      <c r="A460" t="s">
        <v>583</v>
      </c>
      <c r="B460" s="10">
        <v>46100</v>
      </c>
      <c r="C460">
        <v>2026</v>
      </c>
      <c r="D460">
        <v>3</v>
      </c>
      <c r="E460" t="s">
        <v>58</v>
      </c>
      <c r="F460" t="s">
        <v>59</v>
      </c>
      <c r="G460" t="s">
        <v>126</v>
      </c>
      <c r="H460" t="s">
        <v>127</v>
      </c>
      <c r="I460" t="s">
        <v>147</v>
      </c>
      <c r="J460" t="s">
        <v>148</v>
      </c>
      <c r="K460" t="s">
        <v>149</v>
      </c>
      <c r="L460" t="s">
        <v>150</v>
      </c>
      <c r="M460" s="11">
        <v>29.04</v>
      </c>
      <c r="N460" s="11">
        <v>7.2</v>
      </c>
      <c r="O460" s="11">
        <v>4.72</v>
      </c>
      <c r="P460" s="11">
        <v>0.03</v>
      </c>
      <c r="Q460" s="11">
        <v>6.48</v>
      </c>
      <c r="R460" s="11">
        <v>1</v>
      </c>
      <c r="S460" s="11">
        <f t="shared" si="56"/>
        <v>29.04</v>
      </c>
      <c r="T460" s="11">
        <f t="shared" si="57"/>
        <v>7.2</v>
      </c>
      <c r="U460" s="11">
        <f t="shared" si="58"/>
        <v>4.72</v>
      </c>
      <c r="V460" s="11">
        <f t="shared" si="59"/>
        <v>0.87</v>
      </c>
      <c r="W460" s="11" t="s">
        <v>66</v>
      </c>
      <c r="X460" s="11">
        <v>0</v>
      </c>
      <c r="Y460" s="11">
        <f t="shared" si="60"/>
        <v>19.27</v>
      </c>
      <c r="Z460" s="11">
        <f t="shared" si="61"/>
        <v>9.77</v>
      </c>
      <c r="AA460" s="12">
        <f t="shared" si="62"/>
        <v>0.33643250688705234</v>
      </c>
      <c r="AB460" s="13">
        <f t="shared" si="63"/>
        <v>4.481481481481481</v>
      </c>
      <c r="AC460" t="s">
        <v>67</v>
      </c>
    </row>
    <row r="461" spans="1:29" ht="14.25" customHeight="1" x14ac:dyDescent="0.45">
      <c r="A461" t="s">
        <v>584</v>
      </c>
      <c r="B461" s="10">
        <v>46101</v>
      </c>
      <c r="C461">
        <v>2026</v>
      </c>
      <c r="D461">
        <v>3</v>
      </c>
      <c r="E461" t="s">
        <v>77</v>
      </c>
      <c r="F461" t="s">
        <v>78</v>
      </c>
      <c r="G461" t="s">
        <v>126</v>
      </c>
      <c r="H461" t="s">
        <v>127</v>
      </c>
      <c r="I461" t="s">
        <v>72</v>
      </c>
      <c r="J461" t="s">
        <v>73</v>
      </c>
      <c r="K461" t="s">
        <v>74</v>
      </c>
      <c r="L461" t="s">
        <v>75</v>
      </c>
      <c r="M461" s="11">
        <v>47.62</v>
      </c>
      <c r="N461" s="11">
        <v>14.84</v>
      </c>
      <c r="O461" s="11">
        <v>6.87</v>
      </c>
      <c r="P461" s="11">
        <v>0.03</v>
      </c>
      <c r="Q461" s="11">
        <v>9.42</v>
      </c>
      <c r="R461" s="11">
        <v>1</v>
      </c>
      <c r="S461" s="11">
        <f t="shared" si="56"/>
        <v>47.62</v>
      </c>
      <c r="T461" s="11">
        <f t="shared" si="57"/>
        <v>14.84</v>
      </c>
      <c r="U461" s="11">
        <f t="shared" si="58"/>
        <v>6.87</v>
      </c>
      <c r="V461" s="11">
        <f t="shared" si="59"/>
        <v>1.43</v>
      </c>
      <c r="W461" s="11" t="s">
        <v>66</v>
      </c>
      <c r="X461" s="11">
        <v>0</v>
      </c>
      <c r="Y461" s="11">
        <f t="shared" si="60"/>
        <v>32.56</v>
      </c>
      <c r="Z461" s="11">
        <f t="shared" si="61"/>
        <v>15.059999999999995</v>
      </c>
      <c r="AA461" s="12">
        <f t="shared" si="62"/>
        <v>0.31625367492650136</v>
      </c>
      <c r="AB461" s="13">
        <f t="shared" si="63"/>
        <v>5.0552016985138</v>
      </c>
      <c r="AC461" t="s">
        <v>67</v>
      </c>
    </row>
    <row r="462" spans="1:29" ht="14.25" customHeight="1" x14ac:dyDescent="0.45">
      <c r="A462" t="s">
        <v>585</v>
      </c>
      <c r="B462" s="10">
        <v>46103</v>
      </c>
      <c r="C462">
        <v>2026</v>
      </c>
      <c r="D462">
        <v>3</v>
      </c>
      <c r="E462" t="s">
        <v>77</v>
      </c>
      <c r="F462" t="s">
        <v>78</v>
      </c>
      <c r="G462" t="s">
        <v>105</v>
      </c>
      <c r="H462" t="s">
        <v>112</v>
      </c>
      <c r="I462" t="s">
        <v>138</v>
      </c>
      <c r="J462" t="s">
        <v>139</v>
      </c>
      <c r="K462" t="s">
        <v>89</v>
      </c>
      <c r="L462" t="s">
        <v>140</v>
      </c>
      <c r="M462" s="11">
        <v>44.22</v>
      </c>
      <c r="N462" s="11">
        <v>8.43</v>
      </c>
      <c r="O462" s="11">
        <v>4.24</v>
      </c>
      <c r="P462" s="11">
        <v>0.03</v>
      </c>
      <c r="Q462" s="11">
        <v>25.02</v>
      </c>
      <c r="R462" s="11">
        <v>3</v>
      </c>
      <c r="S462" s="11">
        <f t="shared" si="56"/>
        <v>132.66</v>
      </c>
      <c r="T462" s="11">
        <f t="shared" si="57"/>
        <v>25.29</v>
      </c>
      <c r="U462" s="11">
        <f t="shared" si="58"/>
        <v>12.72</v>
      </c>
      <c r="V462" s="11">
        <f t="shared" si="59"/>
        <v>3.98</v>
      </c>
      <c r="W462" s="11" t="s">
        <v>66</v>
      </c>
      <c r="X462" s="11">
        <v>0</v>
      </c>
      <c r="Y462" s="11">
        <f t="shared" si="60"/>
        <v>67.009999999999991</v>
      </c>
      <c r="Z462" s="11">
        <f t="shared" si="61"/>
        <v>65.650000000000006</v>
      </c>
      <c r="AA462" s="12">
        <f t="shared" si="62"/>
        <v>0.49487411427709943</v>
      </c>
      <c r="AB462" s="13">
        <f t="shared" si="63"/>
        <v>5.3021582733812949</v>
      </c>
      <c r="AC462" t="s">
        <v>67</v>
      </c>
    </row>
    <row r="463" spans="1:29" ht="14.25" customHeight="1" x14ac:dyDescent="0.45">
      <c r="A463" t="s">
        <v>586</v>
      </c>
      <c r="B463" s="10">
        <v>46107</v>
      </c>
      <c r="C463">
        <v>2026</v>
      </c>
      <c r="D463">
        <v>3</v>
      </c>
      <c r="E463" t="s">
        <v>58</v>
      </c>
      <c r="F463" t="s">
        <v>92</v>
      </c>
      <c r="G463" t="s">
        <v>126</v>
      </c>
      <c r="H463" t="s">
        <v>86</v>
      </c>
      <c r="I463" t="s">
        <v>107</v>
      </c>
      <c r="J463" t="s">
        <v>108</v>
      </c>
      <c r="K463" t="s">
        <v>109</v>
      </c>
      <c r="L463" t="s">
        <v>110</v>
      </c>
      <c r="M463" s="11">
        <v>21.74</v>
      </c>
      <c r="N463" s="11">
        <v>3.76</v>
      </c>
      <c r="O463" s="11">
        <v>2.52</v>
      </c>
      <c r="P463" s="11">
        <v>0.03</v>
      </c>
      <c r="Q463" s="11">
        <v>5.93</v>
      </c>
      <c r="R463" s="11">
        <v>2</v>
      </c>
      <c r="S463" s="11">
        <f t="shared" si="56"/>
        <v>43.48</v>
      </c>
      <c r="T463" s="11">
        <f t="shared" si="57"/>
        <v>7.52</v>
      </c>
      <c r="U463" s="11">
        <f t="shared" si="58"/>
        <v>5.04</v>
      </c>
      <c r="V463" s="11">
        <f t="shared" si="59"/>
        <v>1.3</v>
      </c>
      <c r="W463" s="11" t="s">
        <v>66</v>
      </c>
      <c r="X463" s="11">
        <v>0</v>
      </c>
      <c r="Y463" s="11">
        <f t="shared" si="60"/>
        <v>19.79</v>
      </c>
      <c r="Z463" s="11">
        <f t="shared" si="61"/>
        <v>23.689999999999998</v>
      </c>
      <c r="AA463" s="12">
        <f t="shared" si="62"/>
        <v>0.5448482060717571</v>
      </c>
      <c r="AB463" s="13">
        <f t="shared" si="63"/>
        <v>7.3322091062394605</v>
      </c>
      <c r="AC463" t="s">
        <v>67</v>
      </c>
    </row>
    <row r="464" spans="1:29" ht="14.25" customHeight="1" x14ac:dyDescent="0.45">
      <c r="A464" t="s">
        <v>587</v>
      </c>
      <c r="B464" s="10">
        <v>46108</v>
      </c>
      <c r="C464">
        <v>2026</v>
      </c>
      <c r="D464">
        <v>3</v>
      </c>
      <c r="E464" t="s">
        <v>77</v>
      </c>
      <c r="F464" t="s">
        <v>104</v>
      </c>
      <c r="G464" t="s">
        <v>105</v>
      </c>
      <c r="H464" t="s">
        <v>61</v>
      </c>
      <c r="I464" t="s">
        <v>72</v>
      </c>
      <c r="J464" t="s">
        <v>73</v>
      </c>
      <c r="K464" t="s">
        <v>74</v>
      </c>
      <c r="L464" t="s">
        <v>75</v>
      </c>
      <c r="M464" s="11">
        <v>43.99</v>
      </c>
      <c r="N464" s="11">
        <v>13.37</v>
      </c>
      <c r="O464" s="11">
        <v>7.44</v>
      </c>
      <c r="P464" s="11">
        <v>0.03</v>
      </c>
      <c r="Q464" s="11">
        <v>8.4499999999999993</v>
      </c>
      <c r="R464" s="11">
        <v>1</v>
      </c>
      <c r="S464" s="11">
        <f t="shared" si="56"/>
        <v>43.99</v>
      </c>
      <c r="T464" s="11">
        <f t="shared" si="57"/>
        <v>13.37</v>
      </c>
      <c r="U464" s="11">
        <f t="shared" si="58"/>
        <v>7.44</v>
      </c>
      <c r="V464" s="11">
        <f t="shared" si="59"/>
        <v>1.32</v>
      </c>
      <c r="W464" s="11" t="s">
        <v>66</v>
      </c>
      <c r="X464" s="11">
        <v>0</v>
      </c>
      <c r="Y464" s="11">
        <f t="shared" si="60"/>
        <v>30.58</v>
      </c>
      <c r="Z464" s="11">
        <f t="shared" si="61"/>
        <v>13.410000000000004</v>
      </c>
      <c r="AA464" s="12">
        <f t="shared" si="62"/>
        <v>0.30484200954762453</v>
      </c>
      <c r="AB464" s="13">
        <f t="shared" si="63"/>
        <v>5.205917159763314</v>
      </c>
      <c r="AC464" t="s">
        <v>67</v>
      </c>
    </row>
    <row r="465" spans="1:29" ht="14.25" customHeight="1" x14ac:dyDescent="0.45">
      <c r="A465" t="s">
        <v>588</v>
      </c>
      <c r="B465" s="10">
        <v>46111</v>
      </c>
      <c r="C465">
        <v>2026</v>
      </c>
      <c r="D465">
        <v>3</v>
      </c>
      <c r="E465" t="s">
        <v>69</v>
      </c>
      <c r="F465" t="s">
        <v>70</v>
      </c>
      <c r="G465" t="s">
        <v>71</v>
      </c>
      <c r="H465" t="s">
        <v>112</v>
      </c>
      <c r="I465" t="s">
        <v>133</v>
      </c>
      <c r="J465" t="s">
        <v>134</v>
      </c>
      <c r="K465" t="s">
        <v>135</v>
      </c>
      <c r="L465" t="s">
        <v>136</v>
      </c>
      <c r="M465" s="11">
        <v>13.91</v>
      </c>
      <c r="N465" s="11">
        <v>2.0099999999999998</v>
      </c>
      <c r="O465" s="11">
        <v>1.92</v>
      </c>
      <c r="P465" s="11">
        <v>0.03</v>
      </c>
      <c r="Q465" s="11">
        <v>0</v>
      </c>
      <c r="R465" s="11">
        <v>1</v>
      </c>
      <c r="S465" s="11">
        <f t="shared" si="56"/>
        <v>13.91</v>
      </c>
      <c r="T465" s="11">
        <f t="shared" si="57"/>
        <v>2.0099999999999998</v>
      </c>
      <c r="U465" s="11">
        <f t="shared" si="58"/>
        <v>1.92</v>
      </c>
      <c r="V465" s="11">
        <f t="shared" si="59"/>
        <v>0.42</v>
      </c>
      <c r="W465" s="11" t="s">
        <v>66</v>
      </c>
      <c r="X465" s="11">
        <v>0</v>
      </c>
      <c r="Y465" s="11">
        <f t="shared" si="60"/>
        <v>4.3499999999999996</v>
      </c>
      <c r="Z465" s="11">
        <f t="shared" si="61"/>
        <v>9.56</v>
      </c>
      <c r="AA465" s="12">
        <f t="shared" si="62"/>
        <v>0.68727534148094893</v>
      </c>
      <c r="AB465" s="13">
        <f t="shared" si="63"/>
        <v>0</v>
      </c>
      <c r="AC465" t="s">
        <v>67</v>
      </c>
    </row>
    <row r="466" spans="1:29" ht="14.25" customHeight="1" x14ac:dyDescent="0.45">
      <c r="A466" t="s">
        <v>589</v>
      </c>
      <c r="B466" s="10">
        <v>46111</v>
      </c>
      <c r="C466">
        <v>2026</v>
      </c>
      <c r="D466">
        <v>3</v>
      </c>
      <c r="E466" t="s">
        <v>77</v>
      </c>
      <c r="F466" t="s">
        <v>104</v>
      </c>
      <c r="G466" t="s">
        <v>60</v>
      </c>
      <c r="H466" t="s">
        <v>61</v>
      </c>
      <c r="I466" t="s">
        <v>87</v>
      </c>
      <c r="J466" t="s">
        <v>88</v>
      </c>
      <c r="K466" t="s">
        <v>89</v>
      </c>
      <c r="L466" t="s">
        <v>90</v>
      </c>
      <c r="M466" s="11">
        <v>60.45</v>
      </c>
      <c r="N466" s="11">
        <v>20.98</v>
      </c>
      <c r="O466" s="11">
        <v>7.16</v>
      </c>
      <c r="P466" s="11">
        <v>0.03</v>
      </c>
      <c r="Q466" s="11">
        <v>7.66</v>
      </c>
      <c r="R466" s="11">
        <v>2</v>
      </c>
      <c r="S466" s="11">
        <f t="shared" si="56"/>
        <v>120.9</v>
      </c>
      <c r="T466" s="11">
        <f t="shared" si="57"/>
        <v>41.96</v>
      </c>
      <c r="U466" s="11">
        <f t="shared" si="58"/>
        <v>14.32</v>
      </c>
      <c r="V466" s="11">
        <f t="shared" si="59"/>
        <v>3.63</v>
      </c>
      <c r="W466" s="11" t="s">
        <v>66</v>
      </c>
      <c r="X466" s="11">
        <v>0</v>
      </c>
      <c r="Y466" s="11">
        <f t="shared" si="60"/>
        <v>67.570000000000007</v>
      </c>
      <c r="Z466" s="11">
        <f t="shared" si="61"/>
        <v>53.33</v>
      </c>
      <c r="AA466" s="12">
        <f t="shared" si="62"/>
        <v>0.44110835401157977</v>
      </c>
      <c r="AB466" s="13">
        <f t="shared" si="63"/>
        <v>15.783289817232376</v>
      </c>
      <c r="AC466" t="s">
        <v>67</v>
      </c>
    </row>
    <row r="467" spans="1:29" ht="14.25" customHeight="1" x14ac:dyDescent="0.45">
      <c r="A467" t="s">
        <v>590</v>
      </c>
      <c r="B467" s="10">
        <v>46114</v>
      </c>
      <c r="C467">
        <v>2026</v>
      </c>
      <c r="D467">
        <v>4</v>
      </c>
      <c r="E467" t="s">
        <v>77</v>
      </c>
      <c r="F467" t="s">
        <v>102</v>
      </c>
      <c r="G467" t="s">
        <v>71</v>
      </c>
      <c r="H467" t="s">
        <v>127</v>
      </c>
      <c r="I467" t="s">
        <v>133</v>
      </c>
      <c r="J467" t="s">
        <v>134</v>
      </c>
      <c r="K467" t="s">
        <v>135</v>
      </c>
      <c r="L467" t="s">
        <v>136</v>
      </c>
      <c r="M467" s="11">
        <v>15.06</v>
      </c>
      <c r="N467" s="11">
        <v>1.91</v>
      </c>
      <c r="O467" s="11">
        <v>2.0299999999999998</v>
      </c>
      <c r="P467" s="11">
        <v>0.03</v>
      </c>
      <c r="Q467" s="11">
        <v>0</v>
      </c>
      <c r="R467" s="11">
        <v>1</v>
      </c>
      <c r="S467" s="11">
        <f t="shared" si="56"/>
        <v>15.06</v>
      </c>
      <c r="T467" s="11">
        <f t="shared" si="57"/>
        <v>1.91</v>
      </c>
      <c r="U467" s="11">
        <f t="shared" si="58"/>
        <v>2.0299999999999998</v>
      </c>
      <c r="V467" s="11">
        <f t="shared" si="59"/>
        <v>0.45</v>
      </c>
      <c r="W467" s="11" t="s">
        <v>66</v>
      </c>
      <c r="X467" s="11">
        <v>0</v>
      </c>
      <c r="Y467" s="11">
        <f t="shared" si="60"/>
        <v>4.3899999999999997</v>
      </c>
      <c r="Z467" s="11">
        <f t="shared" si="61"/>
        <v>10.670000000000002</v>
      </c>
      <c r="AA467" s="12">
        <f t="shared" si="62"/>
        <v>0.70849933598937587</v>
      </c>
      <c r="AB467" s="13">
        <f t="shared" si="63"/>
        <v>0</v>
      </c>
      <c r="AC467" t="s">
        <v>67</v>
      </c>
    </row>
    <row r="468" spans="1:29" ht="14.25" customHeight="1" x14ac:dyDescent="0.45">
      <c r="A468" t="s">
        <v>591</v>
      </c>
      <c r="B468" s="10">
        <v>46116</v>
      </c>
      <c r="C468">
        <v>2026</v>
      </c>
      <c r="D468">
        <v>4</v>
      </c>
      <c r="E468" t="s">
        <v>58</v>
      </c>
      <c r="F468" t="s">
        <v>92</v>
      </c>
      <c r="G468" t="s">
        <v>126</v>
      </c>
      <c r="H468" t="s">
        <v>112</v>
      </c>
      <c r="I468" t="s">
        <v>97</v>
      </c>
      <c r="J468" t="s">
        <v>98</v>
      </c>
      <c r="K468" t="s">
        <v>99</v>
      </c>
      <c r="L468" t="s">
        <v>100</v>
      </c>
      <c r="M468" s="11">
        <v>33.590000000000003</v>
      </c>
      <c r="N468" s="11">
        <v>9.36</v>
      </c>
      <c r="O468" s="11">
        <v>3.89</v>
      </c>
      <c r="P468" s="11">
        <v>0.03</v>
      </c>
      <c r="Q468" s="11">
        <v>10.63</v>
      </c>
      <c r="R468" s="11">
        <v>3</v>
      </c>
      <c r="S468" s="11">
        <f t="shared" si="56"/>
        <v>100.77000000000001</v>
      </c>
      <c r="T468" s="11">
        <f t="shared" si="57"/>
        <v>28.08</v>
      </c>
      <c r="U468" s="11">
        <f t="shared" si="58"/>
        <v>11.67</v>
      </c>
      <c r="V468" s="11">
        <f t="shared" si="59"/>
        <v>3.02</v>
      </c>
      <c r="W468" s="11" t="s">
        <v>66</v>
      </c>
      <c r="X468" s="11">
        <v>0</v>
      </c>
      <c r="Y468" s="11">
        <f t="shared" si="60"/>
        <v>53.400000000000006</v>
      </c>
      <c r="Z468" s="11">
        <f t="shared" si="61"/>
        <v>47.370000000000005</v>
      </c>
      <c r="AA468" s="12">
        <f t="shared" si="62"/>
        <v>0.47008038106579336</v>
      </c>
      <c r="AB468" s="13">
        <f t="shared" si="63"/>
        <v>9.4797742238946388</v>
      </c>
      <c r="AC468" t="s">
        <v>67</v>
      </c>
    </row>
    <row r="469" spans="1:29" ht="14.25" customHeight="1" x14ac:dyDescent="0.45">
      <c r="A469" t="s">
        <v>592</v>
      </c>
      <c r="B469" s="10">
        <v>46117</v>
      </c>
      <c r="C469">
        <v>2026</v>
      </c>
      <c r="D469">
        <v>4</v>
      </c>
      <c r="E469" t="s">
        <v>122</v>
      </c>
      <c r="F469" t="s">
        <v>123</v>
      </c>
      <c r="G469" t="s">
        <v>93</v>
      </c>
      <c r="H469" t="s">
        <v>127</v>
      </c>
      <c r="I469" t="s">
        <v>107</v>
      </c>
      <c r="J469" t="s">
        <v>108</v>
      </c>
      <c r="K469" t="s">
        <v>109</v>
      </c>
      <c r="L469" t="s">
        <v>110</v>
      </c>
      <c r="M469" s="11">
        <v>19.7</v>
      </c>
      <c r="N469" s="11">
        <v>3.64</v>
      </c>
      <c r="O469" s="11">
        <v>2.6</v>
      </c>
      <c r="P469" s="11">
        <v>0.03</v>
      </c>
      <c r="Q469" s="11">
        <v>1.94</v>
      </c>
      <c r="R469" s="11">
        <v>1</v>
      </c>
      <c r="S469" s="11">
        <f t="shared" si="56"/>
        <v>19.7</v>
      </c>
      <c r="T469" s="11">
        <f t="shared" si="57"/>
        <v>3.64</v>
      </c>
      <c r="U469" s="11">
        <f t="shared" si="58"/>
        <v>2.6</v>
      </c>
      <c r="V469" s="11">
        <f t="shared" si="59"/>
        <v>0.59</v>
      </c>
      <c r="W469" s="11" t="s">
        <v>66</v>
      </c>
      <c r="X469" s="11">
        <v>0</v>
      </c>
      <c r="Y469" s="11">
        <f t="shared" si="60"/>
        <v>8.77</v>
      </c>
      <c r="Z469" s="11">
        <f t="shared" si="61"/>
        <v>10.93</v>
      </c>
      <c r="AA469" s="12">
        <f t="shared" si="62"/>
        <v>0.5548223350253807</v>
      </c>
      <c r="AB469" s="13">
        <f t="shared" si="63"/>
        <v>10.154639175257731</v>
      </c>
      <c r="AC469" t="s">
        <v>67</v>
      </c>
    </row>
    <row r="470" spans="1:29" ht="14.25" customHeight="1" x14ac:dyDescent="0.45">
      <c r="A470" t="s">
        <v>593</v>
      </c>
      <c r="B470" s="10">
        <v>46117</v>
      </c>
      <c r="C470">
        <v>2026</v>
      </c>
      <c r="D470">
        <v>4</v>
      </c>
      <c r="E470" t="s">
        <v>77</v>
      </c>
      <c r="F470" t="s">
        <v>104</v>
      </c>
      <c r="G470" t="s">
        <v>60</v>
      </c>
      <c r="H470" t="s">
        <v>86</v>
      </c>
      <c r="I470" t="s">
        <v>62</v>
      </c>
      <c r="J470" t="s">
        <v>63</v>
      </c>
      <c r="K470" t="s">
        <v>64</v>
      </c>
      <c r="L470" t="s">
        <v>65</v>
      </c>
      <c r="M470" s="11">
        <v>31.62</v>
      </c>
      <c r="N470" s="11">
        <v>10.74</v>
      </c>
      <c r="O470" s="11">
        <v>4.47</v>
      </c>
      <c r="P470" s="11">
        <v>0.03</v>
      </c>
      <c r="Q470" s="11">
        <v>5.48</v>
      </c>
      <c r="R470" s="11">
        <v>1</v>
      </c>
      <c r="S470" s="11">
        <f t="shared" si="56"/>
        <v>31.62</v>
      </c>
      <c r="T470" s="11">
        <f t="shared" si="57"/>
        <v>10.74</v>
      </c>
      <c r="U470" s="11">
        <f t="shared" si="58"/>
        <v>4.47</v>
      </c>
      <c r="V470" s="11">
        <f t="shared" si="59"/>
        <v>0.95</v>
      </c>
      <c r="W470" s="11" t="s">
        <v>66</v>
      </c>
      <c r="X470" s="11">
        <v>0</v>
      </c>
      <c r="Y470" s="11">
        <f t="shared" si="60"/>
        <v>21.64</v>
      </c>
      <c r="Z470" s="11">
        <f t="shared" si="61"/>
        <v>9.98</v>
      </c>
      <c r="AA470" s="12">
        <f t="shared" si="62"/>
        <v>0.31562302340290954</v>
      </c>
      <c r="AB470" s="13">
        <f t="shared" si="63"/>
        <v>5.7700729927007295</v>
      </c>
      <c r="AC470" t="s">
        <v>67</v>
      </c>
    </row>
    <row r="471" spans="1:29" ht="14.25" customHeight="1" x14ac:dyDescent="0.45">
      <c r="A471" t="s">
        <v>594</v>
      </c>
      <c r="B471" s="10">
        <v>46117</v>
      </c>
      <c r="C471">
        <v>2026</v>
      </c>
      <c r="D471">
        <v>4</v>
      </c>
      <c r="E471" t="s">
        <v>77</v>
      </c>
      <c r="F471" t="s">
        <v>104</v>
      </c>
      <c r="G471" t="s">
        <v>105</v>
      </c>
      <c r="H471" t="s">
        <v>86</v>
      </c>
      <c r="I471" t="s">
        <v>81</v>
      </c>
      <c r="J471" t="s">
        <v>82</v>
      </c>
      <c r="K471" t="s">
        <v>83</v>
      </c>
      <c r="L471" t="s">
        <v>84</v>
      </c>
      <c r="M471" s="11">
        <v>23.51</v>
      </c>
      <c r="N471" s="11">
        <v>6.33</v>
      </c>
      <c r="O471" s="11">
        <v>3.28</v>
      </c>
      <c r="P471" s="11">
        <v>0.03</v>
      </c>
      <c r="Q471" s="11">
        <v>4.32</v>
      </c>
      <c r="R471" s="11">
        <v>3</v>
      </c>
      <c r="S471" s="11">
        <f t="shared" si="56"/>
        <v>70.53</v>
      </c>
      <c r="T471" s="11">
        <f t="shared" si="57"/>
        <v>18.990000000000002</v>
      </c>
      <c r="U471" s="11">
        <f t="shared" si="58"/>
        <v>9.84</v>
      </c>
      <c r="V471" s="11">
        <f t="shared" si="59"/>
        <v>2.12</v>
      </c>
      <c r="W471" s="11" t="s">
        <v>66</v>
      </c>
      <c r="X471" s="11">
        <v>0</v>
      </c>
      <c r="Y471" s="11">
        <f t="shared" si="60"/>
        <v>35.270000000000003</v>
      </c>
      <c r="Z471" s="11">
        <f t="shared" si="61"/>
        <v>35.26</v>
      </c>
      <c r="AA471" s="12">
        <f t="shared" si="62"/>
        <v>0.4999291081809159</v>
      </c>
      <c r="AB471" s="13">
        <f t="shared" si="63"/>
        <v>16.326388888888889</v>
      </c>
      <c r="AC471" t="s">
        <v>67</v>
      </c>
    </row>
    <row r="472" spans="1:29" ht="14.25" customHeight="1" x14ac:dyDescent="0.45">
      <c r="A472" t="s">
        <v>595</v>
      </c>
      <c r="B472" s="10">
        <v>46118</v>
      </c>
      <c r="C472">
        <v>2026</v>
      </c>
      <c r="D472">
        <v>4</v>
      </c>
      <c r="E472" t="s">
        <v>95</v>
      </c>
      <c r="F472" t="s">
        <v>96</v>
      </c>
      <c r="G472" t="s">
        <v>71</v>
      </c>
      <c r="H472" t="s">
        <v>112</v>
      </c>
      <c r="I472" t="s">
        <v>81</v>
      </c>
      <c r="J472" t="s">
        <v>82</v>
      </c>
      <c r="K472" t="s">
        <v>83</v>
      </c>
      <c r="L472" t="s">
        <v>84</v>
      </c>
      <c r="M472" s="11">
        <v>25.13</v>
      </c>
      <c r="N472" s="11">
        <v>6.17</v>
      </c>
      <c r="O472" s="11">
        <v>3.71</v>
      </c>
      <c r="P472" s="11">
        <v>0.03</v>
      </c>
      <c r="Q472" s="11">
        <v>0</v>
      </c>
      <c r="R472" s="11">
        <v>1</v>
      </c>
      <c r="S472" s="11">
        <f t="shared" si="56"/>
        <v>25.13</v>
      </c>
      <c r="T472" s="11">
        <f t="shared" si="57"/>
        <v>6.17</v>
      </c>
      <c r="U472" s="11">
        <f t="shared" si="58"/>
        <v>3.71</v>
      </c>
      <c r="V472" s="11">
        <f t="shared" si="59"/>
        <v>0.75</v>
      </c>
      <c r="W472" s="11" t="s">
        <v>66</v>
      </c>
      <c r="X472" s="11">
        <v>0</v>
      </c>
      <c r="Y472" s="11">
        <f t="shared" si="60"/>
        <v>10.629999999999999</v>
      </c>
      <c r="Z472" s="11">
        <f t="shared" si="61"/>
        <v>14.5</v>
      </c>
      <c r="AA472" s="12">
        <f t="shared" si="62"/>
        <v>0.57699960206923995</v>
      </c>
      <c r="AB472" s="13">
        <f t="shared" si="63"/>
        <v>0</v>
      </c>
      <c r="AC472" t="s">
        <v>67</v>
      </c>
    </row>
    <row r="473" spans="1:29" ht="14.25" customHeight="1" x14ac:dyDescent="0.45">
      <c r="A473" t="s">
        <v>596</v>
      </c>
      <c r="B473" s="10">
        <v>46122</v>
      </c>
      <c r="C473">
        <v>2026</v>
      </c>
      <c r="D473">
        <v>4</v>
      </c>
      <c r="E473" t="s">
        <v>58</v>
      </c>
      <c r="F473" t="s">
        <v>92</v>
      </c>
      <c r="G473" t="s">
        <v>126</v>
      </c>
      <c r="H473" t="s">
        <v>61</v>
      </c>
      <c r="I473" t="s">
        <v>97</v>
      </c>
      <c r="J473" t="s">
        <v>98</v>
      </c>
      <c r="K473" t="s">
        <v>99</v>
      </c>
      <c r="L473" t="s">
        <v>100</v>
      </c>
      <c r="M473" s="11">
        <v>33.1</v>
      </c>
      <c r="N473" s="11">
        <v>9.06</v>
      </c>
      <c r="O473" s="11">
        <v>4.13</v>
      </c>
      <c r="P473" s="11">
        <v>0.03</v>
      </c>
      <c r="Q473" s="11">
        <v>8.7899999999999991</v>
      </c>
      <c r="R473" s="11">
        <v>1</v>
      </c>
      <c r="S473" s="11">
        <f t="shared" si="56"/>
        <v>33.1</v>
      </c>
      <c r="T473" s="11">
        <f t="shared" si="57"/>
        <v>9.06</v>
      </c>
      <c r="U473" s="11">
        <f t="shared" si="58"/>
        <v>4.13</v>
      </c>
      <c r="V473" s="11">
        <f t="shared" si="59"/>
        <v>0.99</v>
      </c>
      <c r="W473" s="11" t="s">
        <v>66</v>
      </c>
      <c r="X473" s="11">
        <v>0</v>
      </c>
      <c r="Y473" s="11">
        <f t="shared" si="60"/>
        <v>22.97</v>
      </c>
      <c r="Z473" s="11">
        <f t="shared" si="61"/>
        <v>10.130000000000003</v>
      </c>
      <c r="AA473" s="12">
        <f t="shared" si="62"/>
        <v>0.3060422960725076</v>
      </c>
      <c r="AB473" s="13">
        <f t="shared" si="63"/>
        <v>3.7656427758816844</v>
      </c>
      <c r="AC473" t="s">
        <v>67</v>
      </c>
    </row>
    <row r="474" spans="1:29" ht="14.25" customHeight="1" x14ac:dyDescent="0.45">
      <c r="A474" t="s">
        <v>597</v>
      </c>
      <c r="B474" s="10">
        <v>46123</v>
      </c>
      <c r="C474">
        <v>2026</v>
      </c>
      <c r="D474">
        <v>4</v>
      </c>
      <c r="E474" t="s">
        <v>95</v>
      </c>
      <c r="F474" t="s">
        <v>96</v>
      </c>
      <c r="G474" t="s">
        <v>105</v>
      </c>
      <c r="H474" t="s">
        <v>127</v>
      </c>
      <c r="I474" t="s">
        <v>133</v>
      </c>
      <c r="J474" t="s">
        <v>134</v>
      </c>
      <c r="K474" t="s">
        <v>135</v>
      </c>
      <c r="L474" t="s">
        <v>136</v>
      </c>
      <c r="M474" s="11">
        <v>16.059999999999999</v>
      </c>
      <c r="N474" s="11">
        <v>2.14</v>
      </c>
      <c r="O474" s="11">
        <v>2.0499999999999998</v>
      </c>
      <c r="P474" s="11">
        <v>0.03</v>
      </c>
      <c r="Q474" s="11">
        <v>6.31</v>
      </c>
      <c r="R474" s="11">
        <v>1</v>
      </c>
      <c r="S474" s="11">
        <f t="shared" si="56"/>
        <v>16.059999999999999</v>
      </c>
      <c r="T474" s="11">
        <f t="shared" si="57"/>
        <v>2.14</v>
      </c>
      <c r="U474" s="11">
        <f t="shared" si="58"/>
        <v>2.0499999999999998</v>
      </c>
      <c r="V474" s="11">
        <f t="shared" si="59"/>
        <v>0.48</v>
      </c>
      <c r="W474" s="11" t="s">
        <v>66</v>
      </c>
      <c r="X474" s="11">
        <v>0</v>
      </c>
      <c r="Y474" s="11">
        <f t="shared" si="60"/>
        <v>10.98</v>
      </c>
      <c r="Z474" s="11">
        <f t="shared" si="61"/>
        <v>5.0799999999999983</v>
      </c>
      <c r="AA474" s="12">
        <f t="shared" si="62"/>
        <v>0.31631382316313816</v>
      </c>
      <c r="AB474" s="13">
        <f t="shared" si="63"/>
        <v>2.5451664025356577</v>
      </c>
      <c r="AC474" t="s">
        <v>67</v>
      </c>
    </row>
    <row r="475" spans="1:29" ht="14.25" customHeight="1" x14ac:dyDescent="0.45">
      <c r="A475" t="s">
        <v>598</v>
      </c>
      <c r="B475" s="10">
        <v>46124</v>
      </c>
      <c r="C475">
        <v>2026</v>
      </c>
      <c r="D475">
        <v>4</v>
      </c>
      <c r="E475" t="s">
        <v>77</v>
      </c>
      <c r="F475" t="s">
        <v>102</v>
      </c>
      <c r="G475" t="s">
        <v>79</v>
      </c>
      <c r="H475" t="s">
        <v>112</v>
      </c>
      <c r="I475" t="s">
        <v>72</v>
      </c>
      <c r="J475" t="s">
        <v>73</v>
      </c>
      <c r="K475" t="s">
        <v>74</v>
      </c>
      <c r="L475" t="s">
        <v>75</v>
      </c>
      <c r="M475" s="11">
        <v>45.67</v>
      </c>
      <c r="N475" s="11">
        <v>14.42</v>
      </c>
      <c r="O475" s="11">
        <v>6.42</v>
      </c>
      <c r="P475" s="11">
        <v>0.03</v>
      </c>
      <c r="Q475" s="11">
        <v>2.08</v>
      </c>
      <c r="R475" s="11">
        <v>1</v>
      </c>
      <c r="S475" s="11">
        <f t="shared" si="56"/>
        <v>45.67</v>
      </c>
      <c r="T475" s="11">
        <f t="shared" si="57"/>
        <v>14.42</v>
      </c>
      <c r="U475" s="11">
        <f t="shared" si="58"/>
        <v>6.42</v>
      </c>
      <c r="V475" s="11">
        <f t="shared" si="59"/>
        <v>1.37</v>
      </c>
      <c r="W475" s="11" t="s">
        <v>154</v>
      </c>
      <c r="X475" s="11">
        <v>23.81</v>
      </c>
      <c r="Y475" s="11">
        <f t="shared" si="60"/>
        <v>48.099999999999994</v>
      </c>
      <c r="Z475" s="11">
        <f t="shared" si="61"/>
        <v>-2.4299999999999926</v>
      </c>
      <c r="AA475" s="12">
        <f t="shared" si="62"/>
        <v>-5.3207795051455932E-2</v>
      </c>
      <c r="AB475" s="13">
        <f t="shared" si="63"/>
        <v>21.95673076923077</v>
      </c>
      <c r="AC475" t="s">
        <v>155</v>
      </c>
    </row>
    <row r="476" spans="1:29" ht="14.25" customHeight="1" x14ac:dyDescent="0.45">
      <c r="A476" t="s">
        <v>599</v>
      </c>
      <c r="B476" s="10">
        <v>46125</v>
      </c>
      <c r="C476">
        <v>2026</v>
      </c>
      <c r="D476">
        <v>4</v>
      </c>
      <c r="E476" t="s">
        <v>77</v>
      </c>
      <c r="F476" t="s">
        <v>104</v>
      </c>
      <c r="G476" t="s">
        <v>105</v>
      </c>
      <c r="H476" t="s">
        <v>127</v>
      </c>
      <c r="I476" t="s">
        <v>138</v>
      </c>
      <c r="J476" t="s">
        <v>139</v>
      </c>
      <c r="K476" t="s">
        <v>89</v>
      </c>
      <c r="L476" t="s">
        <v>140</v>
      </c>
      <c r="M476" s="11">
        <v>41.14</v>
      </c>
      <c r="N476" s="11">
        <v>9.15</v>
      </c>
      <c r="O476" s="11">
        <v>4.0199999999999996</v>
      </c>
      <c r="P476" s="11">
        <v>0.03</v>
      </c>
      <c r="Q476" s="11">
        <v>11.41</v>
      </c>
      <c r="R476" s="11">
        <v>2</v>
      </c>
      <c r="S476" s="11">
        <f t="shared" si="56"/>
        <v>82.28</v>
      </c>
      <c r="T476" s="11">
        <f t="shared" si="57"/>
        <v>18.3</v>
      </c>
      <c r="U476" s="11">
        <f t="shared" si="58"/>
        <v>8.0399999999999991</v>
      </c>
      <c r="V476" s="11">
        <f t="shared" si="59"/>
        <v>2.4700000000000002</v>
      </c>
      <c r="W476" s="11" t="s">
        <v>66</v>
      </c>
      <c r="X476" s="11">
        <v>0</v>
      </c>
      <c r="Y476" s="11">
        <f t="shared" si="60"/>
        <v>40.22</v>
      </c>
      <c r="Z476" s="11">
        <f t="shared" si="61"/>
        <v>42.06</v>
      </c>
      <c r="AA476" s="12">
        <f t="shared" si="62"/>
        <v>0.51118133203694704</v>
      </c>
      <c r="AB476" s="13">
        <f t="shared" si="63"/>
        <v>7.211218229623138</v>
      </c>
      <c r="AC476" t="s">
        <v>67</v>
      </c>
    </row>
    <row r="477" spans="1:29" ht="14.25" customHeight="1" x14ac:dyDescent="0.45">
      <c r="A477" t="s">
        <v>600</v>
      </c>
      <c r="B477" s="10">
        <v>46125</v>
      </c>
      <c r="C477">
        <v>2026</v>
      </c>
      <c r="D477">
        <v>4</v>
      </c>
      <c r="E477" t="s">
        <v>77</v>
      </c>
      <c r="F477" t="s">
        <v>102</v>
      </c>
      <c r="G477" t="s">
        <v>79</v>
      </c>
      <c r="H477" t="s">
        <v>61</v>
      </c>
      <c r="I477" t="s">
        <v>72</v>
      </c>
      <c r="J477" t="s">
        <v>73</v>
      </c>
      <c r="K477" t="s">
        <v>74</v>
      </c>
      <c r="L477" t="s">
        <v>75</v>
      </c>
      <c r="M477" s="11">
        <v>43.19</v>
      </c>
      <c r="N477" s="11">
        <v>14.03</v>
      </c>
      <c r="O477" s="11">
        <v>7.37</v>
      </c>
      <c r="P477" s="11">
        <v>0.03</v>
      </c>
      <c r="Q477" s="11">
        <v>1.37</v>
      </c>
      <c r="R477" s="11">
        <v>1</v>
      </c>
      <c r="S477" s="11">
        <f t="shared" si="56"/>
        <v>43.19</v>
      </c>
      <c r="T477" s="11">
        <f t="shared" si="57"/>
        <v>14.03</v>
      </c>
      <c r="U477" s="11">
        <f t="shared" si="58"/>
        <v>7.37</v>
      </c>
      <c r="V477" s="11">
        <f t="shared" si="59"/>
        <v>1.3</v>
      </c>
      <c r="W477" s="11" t="s">
        <v>66</v>
      </c>
      <c r="X477" s="11">
        <v>0</v>
      </c>
      <c r="Y477" s="11">
        <f t="shared" si="60"/>
        <v>24.07</v>
      </c>
      <c r="Z477" s="11">
        <f t="shared" si="61"/>
        <v>19.119999999999997</v>
      </c>
      <c r="AA477" s="12">
        <f t="shared" si="62"/>
        <v>0.44269506830284783</v>
      </c>
      <c r="AB477" s="13">
        <f t="shared" si="63"/>
        <v>31.525547445255469</v>
      </c>
      <c r="AC477" t="s">
        <v>67</v>
      </c>
    </row>
    <row r="478" spans="1:29" ht="14.25" customHeight="1" x14ac:dyDescent="0.45">
      <c r="A478" t="s">
        <v>601</v>
      </c>
      <c r="B478" s="10">
        <v>46126</v>
      </c>
      <c r="C478">
        <v>2026</v>
      </c>
      <c r="D478">
        <v>4</v>
      </c>
      <c r="E478" t="s">
        <v>69</v>
      </c>
      <c r="F478" t="s">
        <v>70</v>
      </c>
      <c r="G478" t="s">
        <v>71</v>
      </c>
      <c r="H478" t="s">
        <v>80</v>
      </c>
      <c r="I478" t="s">
        <v>138</v>
      </c>
      <c r="J478" t="s">
        <v>139</v>
      </c>
      <c r="K478" t="s">
        <v>89</v>
      </c>
      <c r="L478" t="s">
        <v>140</v>
      </c>
      <c r="M478" s="11">
        <v>44.11</v>
      </c>
      <c r="N478" s="11">
        <v>8.6199999999999992</v>
      </c>
      <c r="O478" s="11">
        <v>4.4000000000000004</v>
      </c>
      <c r="P478" s="11">
        <v>0.03</v>
      </c>
      <c r="Q478" s="11">
        <v>0</v>
      </c>
      <c r="R478" s="11">
        <v>2</v>
      </c>
      <c r="S478" s="11">
        <f t="shared" si="56"/>
        <v>88.22</v>
      </c>
      <c r="T478" s="11">
        <f t="shared" si="57"/>
        <v>17.239999999999998</v>
      </c>
      <c r="U478" s="11">
        <f t="shared" si="58"/>
        <v>8.8000000000000007</v>
      </c>
      <c r="V478" s="11">
        <f t="shared" si="59"/>
        <v>2.65</v>
      </c>
      <c r="W478" s="11" t="s">
        <v>66</v>
      </c>
      <c r="X478" s="11">
        <v>0</v>
      </c>
      <c r="Y478" s="11">
        <f t="shared" si="60"/>
        <v>28.689999999999998</v>
      </c>
      <c r="Z478" s="11">
        <f t="shared" si="61"/>
        <v>59.53</v>
      </c>
      <c r="AA478" s="12">
        <f t="shared" si="62"/>
        <v>0.67479029698481074</v>
      </c>
      <c r="AB478" s="13">
        <f t="shared" si="63"/>
        <v>0</v>
      </c>
      <c r="AC478" t="s">
        <v>67</v>
      </c>
    </row>
    <row r="479" spans="1:29" ht="14.25" customHeight="1" x14ac:dyDescent="0.45">
      <c r="A479" t="s">
        <v>602</v>
      </c>
      <c r="B479" s="10">
        <v>46126</v>
      </c>
      <c r="C479">
        <v>2026</v>
      </c>
      <c r="D479">
        <v>4</v>
      </c>
      <c r="E479" t="s">
        <v>95</v>
      </c>
      <c r="F479" t="s">
        <v>96</v>
      </c>
      <c r="G479" t="s">
        <v>71</v>
      </c>
      <c r="H479" t="s">
        <v>127</v>
      </c>
      <c r="I479" t="s">
        <v>113</v>
      </c>
      <c r="J479" t="s">
        <v>114</v>
      </c>
      <c r="K479" t="s">
        <v>115</v>
      </c>
      <c r="L479" t="s">
        <v>116</v>
      </c>
      <c r="M479" s="11">
        <v>48.92</v>
      </c>
      <c r="N479" s="11">
        <v>16.309999999999999</v>
      </c>
      <c r="O479" s="11">
        <v>6.33</v>
      </c>
      <c r="P479" s="11">
        <v>0.03</v>
      </c>
      <c r="Q479" s="11">
        <v>0</v>
      </c>
      <c r="R479" s="11">
        <v>2</v>
      </c>
      <c r="S479" s="11">
        <f t="shared" si="56"/>
        <v>97.84</v>
      </c>
      <c r="T479" s="11">
        <f t="shared" si="57"/>
        <v>32.619999999999997</v>
      </c>
      <c r="U479" s="11">
        <f t="shared" si="58"/>
        <v>12.66</v>
      </c>
      <c r="V479" s="11">
        <f t="shared" si="59"/>
        <v>2.94</v>
      </c>
      <c r="W479" s="11" t="s">
        <v>154</v>
      </c>
      <c r="X479" s="11">
        <v>44.67</v>
      </c>
      <c r="Y479" s="11">
        <f t="shared" si="60"/>
        <v>92.89</v>
      </c>
      <c r="Z479" s="11">
        <f t="shared" si="61"/>
        <v>4.9500000000000028</v>
      </c>
      <c r="AA479" s="12">
        <f t="shared" si="62"/>
        <v>5.059280457890436E-2</v>
      </c>
      <c r="AB479" s="13">
        <f t="shared" si="63"/>
        <v>0</v>
      </c>
      <c r="AC479" t="s">
        <v>155</v>
      </c>
    </row>
    <row r="480" spans="1:29" ht="14.25" customHeight="1" x14ac:dyDescent="0.45">
      <c r="A480" t="s">
        <v>603</v>
      </c>
      <c r="B480" s="10">
        <v>46127</v>
      </c>
      <c r="C480">
        <v>2026</v>
      </c>
      <c r="D480">
        <v>4</v>
      </c>
      <c r="E480" t="s">
        <v>77</v>
      </c>
      <c r="F480" t="s">
        <v>78</v>
      </c>
      <c r="G480" t="s">
        <v>60</v>
      </c>
      <c r="H480" t="s">
        <v>112</v>
      </c>
      <c r="I480" t="s">
        <v>81</v>
      </c>
      <c r="J480" t="s">
        <v>82</v>
      </c>
      <c r="K480" t="s">
        <v>83</v>
      </c>
      <c r="L480" t="s">
        <v>84</v>
      </c>
      <c r="M480" s="11">
        <v>27.36</v>
      </c>
      <c r="N480" s="11">
        <v>5.76</v>
      </c>
      <c r="O480" s="11">
        <v>3.98</v>
      </c>
      <c r="P480" s="11">
        <v>0.03</v>
      </c>
      <c r="Q480" s="11">
        <v>9.27</v>
      </c>
      <c r="R480" s="11">
        <v>1</v>
      </c>
      <c r="S480" s="11">
        <f t="shared" si="56"/>
        <v>27.36</v>
      </c>
      <c r="T480" s="11">
        <f t="shared" si="57"/>
        <v>5.76</v>
      </c>
      <c r="U480" s="11">
        <f t="shared" si="58"/>
        <v>3.98</v>
      </c>
      <c r="V480" s="11">
        <f t="shared" si="59"/>
        <v>0.82</v>
      </c>
      <c r="W480" s="11" t="s">
        <v>66</v>
      </c>
      <c r="X480" s="11">
        <v>0</v>
      </c>
      <c r="Y480" s="11">
        <f t="shared" si="60"/>
        <v>19.829999999999998</v>
      </c>
      <c r="Z480" s="11">
        <f t="shared" si="61"/>
        <v>7.5300000000000011</v>
      </c>
      <c r="AA480" s="12">
        <f t="shared" si="62"/>
        <v>0.27521929824561409</v>
      </c>
      <c r="AB480" s="13">
        <f t="shared" si="63"/>
        <v>2.9514563106796117</v>
      </c>
      <c r="AC480" t="s">
        <v>67</v>
      </c>
    </row>
    <row r="481" spans="1:29" ht="14.25" customHeight="1" x14ac:dyDescent="0.45">
      <c r="A481" t="s">
        <v>604</v>
      </c>
      <c r="B481" s="10">
        <v>46127</v>
      </c>
      <c r="C481">
        <v>2026</v>
      </c>
      <c r="D481">
        <v>4</v>
      </c>
      <c r="E481" t="s">
        <v>122</v>
      </c>
      <c r="F481" t="s">
        <v>123</v>
      </c>
      <c r="G481" t="s">
        <v>93</v>
      </c>
      <c r="H481" t="s">
        <v>112</v>
      </c>
      <c r="I481" t="s">
        <v>87</v>
      </c>
      <c r="J481" t="s">
        <v>88</v>
      </c>
      <c r="K481" t="s">
        <v>89</v>
      </c>
      <c r="L481" t="s">
        <v>90</v>
      </c>
      <c r="M481" s="11">
        <v>66.11</v>
      </c>
      <c r="N481" s="11">
        <v>21.01</v>
      </c>
      <c r="O481" s="11">
        <v>7.92</v>
      </c>
      <c r="P481" s="11">
        <v>0.03</v>
      </c>
      <c r="Q481" s="11">
        <v>4.09</v>
      </c>
      <c r="R481" s="11">
        <v>1</v>
      </c>
      <c r="S481" s="11">
        <f t="shared" si="56"/>
        <v>66.11</v>
      </c>
      <c r="T481" s="11">
        <f t="shared" si="57"/>
        <v>21.01</v>
      </c>
      <c r="U481" s="11">
        <f t="shared" si="58"/>
        <v>7.92</v>
      </c>
      <c r="V481" s="11">
        <f t="shared" si="59"/>
        <v>1.98</v>
      </c>
      <c r="W481" s="11" t="s">
        <v>66</v>
      </c>
      <c r="X481" s="11">
        <v>0</v>
      </c>
      <c r="Y481" s="11">
        <f t="shared" si="60"/>
        <v>35</v>
      </c>
      <c r="Z481" s="11">
        <f t="shared" si="61"/>
        <v>31.11</v>
      </c>
      <c r="AA481" s="12">
        <f t="shared" si="62"/>
        <v>0.47057933746785657</v>
      </c>
      <c r="AB481" s="13">
        <f t="shared" si="63"/>
        <v>16.163814180929094</v>
      </c>
      <c r="AC481" t="s">
        <v>67</v>
      </c>
    </row>
    <row r="482" spans="1:29" ht="14.25" customHeight="1" x14ac:dyDescent="0.45">
      <c r="A482" t="s">
        <v>605</v>
      </c>
      <c r="B482" s="10">
        <v>46128</v>
      </c>
      <c r="C482">
        <v>2026</v>
      </c>
      <c r="D482">
        <v>4</v>
      </c>
      <c r="E482" t="s">
        <v>95</v>
      </c>
      <c r="F482" t="s">
        <v>96</v>
      </c>
      <c r="G482" t="s">
        <v>60</v>
      </c>
      <c r="H482" t="s">
        <v>61</v>
      </c>
      <c r="I482" t="s">
        <v>72</v>
      </c>
      <c r="J482" t="s">
        <v>73</v>
      </c>
      <c r="K482" t="s">
        <v>74</v>
      </c>
      <c r="L482" t="s">
        <v>75</v>
      </c>
      <c r="M482" s="11">
        <v>42.14</v>
      </c>
      <c r="N482" s="11">
        <v>14.42</v>
      </c>
      <c r="O482" s="11">
        <v>6.18</v>
      </c>
      <c r="P482" s="11">
        <v>0.03</v>
      </c>
      <c r="Q482" s="11">
        <v>6.19</v>
      </c>
      <c r="R482" s="11">
        <v>1</v>
      </c>
      <c r="S482" s="11">
        <f t="shared" si="56"/>
        <v>42.14</v>
      </c>
      <c r="T482" s="11">
        <f t="shared" si="57"/>
        <v>14.42</v>
      </c>
      <c r="U482" s="11">
        <f t="shared" si="58"/>
        <v>6.18</v>
      </c>
      <c r="V482" s="11">
        <f t="shared" si="59"/>
        <v>1.26</v>
      </c>
      <c r="W482" s="11" t="s">
        <v>66</v>
      </c>
      <c r="X482" s="11">
        <v>0</v>
      </c>
      <c r="Y482" s="11">
        <f t="shared" si="60"/>
        <v>28.050000000000004</v>
      </c>
      <c r="Z482" s="11">
        <f t="shared" si="61"/>
        <v>14.089999999999996</v>
      </c>
      <c r="AA482" s="12">
        <f t="shared" si="62"/>
        <v>0.33436165163739906</v>
      </c>
      <c r="AB482" s="13">
        <f t="shared" si="63"/>
        <v>6.8077544426494345</v>
      </c>
      <c r="AC482" t="s">
        <v>67</v>
      </c>
    </row>
    <row r="483" spans="1:29" ht="14.25" customHeight="1" x14ac:dyDescent="0.45">
      <c r="A483" t="s">
        <v>606</v>
      </c>
      <c r="B483" s="10">
        <v>46129</v>
      </c>
      <c r="C483">
        <v>2026</v>
      </c>
      <c r="D483">
        <v>4</v>
      </c>
      <c r="E483" t="s">
        <v>58</v>
      </c>
      <c r="F483" t="s">
        <v>92</v>
      </c>
      <c r="G483" t="s">
        <v>105</v>
      </c>
      <c r="H483" t="s">
        <v>127</v>
      </c>
      <c r="I483" t="s">
        <v>133</v>
      </c>
      <c r="J483" t="s">
        <v>134</v>
      </c>
      <c r="K483" t="s">
        <v>135</v>
      </c>
      <c r="L483" t="s">
        <v>136</v>
      </c>
      <c r="M483" s="11">
        <v>15.75</v>
      </c>
      <c r="N483" s="11">
        <v>2.11</v>
      </c>
      <c r="O483" s="11">
        <v>2.08</v>
      </c>
      <c r="P483" s="11">
        <v>0.03</v>
      </c>
      <c r="Q483" s="11">
        <v>9.14</v>
      </c>
      <c r="R483" s="11">
        <v>1</v>
      </c>
      <c r="S483" s="11">
        <f t="shared" si="56"/>
        <v>15.75</v>
      </c>
      <c r="T483" s="11">
        <f t="shared" si="57"/>
        <v>2.11</v>
      </c>
      <c r="U483" s="11">
        <f t="shared" si="58"/>
        <v>2.08</v>
      </c>
      <c r="V483" s="11">
        <f t="shared" si="59"/>
        <v>0.47</v>
      </c>
      <c r="W483" s="11" t="s">
        <v>66</v>
      </c>
      <c r="X483" s="11">
        <v>0</v>
      </c>
      <c r="Y483" s="11">
        <f t="shared" si="60"/>
        <v>13.8</v>
      </c>
      <c r="Z483" s="11">
        <f t="shared" si="61"/>
        <v>1.9499999999999993</v>
      </c>
      <c r="AA483" s="12">
        <f t="shared" si="62"/>
        <v>0.12380952380952376</v>
      </c>
      <c r="AB483" s="13">
        <f t="shared" si="63"/>
        <v>1.7231947483588621</v>
      </c>
      <c r="AC483" t="s">
        <v>67</v>
      </c>
    </row>
    <row r="484" spans="1:29" ht="14.25" customHeight="1" x14ac:dyDescent="0.45">
      <c r="A484" t="s">
        <v>607</v>
      </c>
      <c r="B484" s="10">
        <v>46130</v>
      </c>
      <c r="C484">
        <v>2026</v>
      </c>
      <c r="D484">
        <v>4</v>
      </c>
      <c r="E484" t="s">
        <v>77</v>
      </c>
      <c r="F484" t="s">
        <v>78</v>
      </c>
      <c r="G484" t="s">
        <v>105</v>
      </c>
      <c r="H484" t="s">
        <v>112</v>
      </c>
      <c r="I484" t="s">
        <v>62</v>
      </c>
      <c r="J484" t="s">
        <v>63</v>
      </c>
      <c r="K484" t="s">
        <v>64</v>
      </c>
      <c r="L484" t="s">
        <v>65</v>
      </c>
      <c r="M484" s="11">
        <v>34.369999999999997</v>
      </c>
      <c r="N484" s="11">
        <v>10.41</v>
      </c>
      <c r="O484" s="11">
        <v>4.17</v>
      </c>
      <c r="P484" s="11">
        <v>0.03</v>
      </c>
      <c r="Q484" s="11">
        <v>16.47</v>
      </c>
      <c r="R484" s="11">
        <v>2</v>
      </c>
      <c r="S484" s="11">
        <f t="shared" si="56"/>
        <v>68.739999999999995</v>
      </c>
      <c r="T484" s="11">
        <f t="shared" si="57"/>
        <v>20.82</v>
      </c>
      <c r="U484" s="11">
        <f t="shared" si="58"/>
        <v>8.34</v>
      </c>
      <c r="V484" s="11">
        <f t="shared" si="59"/>
        <v>2.06</v>
      </c>
      <c r="W484" s="11" t="s">
        <v>66</v>
      </c>
      <c r="X484" s="11">
        <v>0</v>
      </c>
      <c r="Y484" s="11">
        <f t="shared" si="60"/>
        <v>47.69</v>
      </c>
      <c r="Z484" s="11">
        <f t="shared" si="61"/>
        <v>21.049999999999997</v>
      </c>
      <c r="AA484" s="12">
        <f t="shared" si="62"/>
        <v>0.30622636019784694</v>
      </c>
      <c r="AB484" s="13">
        <f t="shared" si="63"/>
        <v>4.1736490588949602</v>
      </c>
      <c r="AC484" t="s">
        <v>67</v>
      </c>
    </row>
    <row r="485" spans="1:29" ht="14.25" customHeight="1" x14ac:dyDescent="0.45">
      <c r="A485" t="s">
        <v>608</v>
      </c>
      <c r="B485" s="10">
        <v>46132</v>
      </c>
      <c r="C485">
        <v>2026</v>
      </c>
      <c r="D485">
        <v>4</v>
      </c>
      <c r="E485" t="s">
        <v>122</v>
      </c>
      <c r="F485" t="s">
        <v>123</v>
      </c>
      <c r="G485" t="s">
        <v>105</v>
      </c>
      <c r="H485" t="s">
        <v>112</v>
      </c>
      <c r="I485" t="s">
        <v>133</v>
      </c>
      <c r="J485" t="s">
        <v>134</v>
      </c>
      <c r="K485" t="s">
        <v>135</v>
      </c>
      <c r="L485" t="s">
        <v>136</v>
      </c>
      <c r="M485" s="11">
        <v>13.62</v>
      </c>
      <c r="N485" s="11">
        <v>2.06</v>
      </c>
      <c r="O485" s="11">
        <v>2.04</v>
      </c>
      <c r="P485" s="11">
        <v>0.03</v>
      </c>
      <c r="Q485" s="11">
        <v>3.98</v>
      </c>
      <c r="R485" s="11">
        <v>3</v>
      </c>
      <c r="S485" s="11">
        <f t="shared" si="56"/>
        <v>40.86</v>
      </c>
      <c r="T485" s="11">
        <f t="shared" si="57"/>
        <v>6.18</v>
      </c>
      <c r="U485" s="11">
        <f t="shared" si="58"/>
        <v>6.12</v>
      </c>
      <c r="V485" s="11">
        <f t="shared" si="59"/>
        <v>1.23</v>
      </c>
      <c r="W485" s="11" t="s">
        <v>66</v>
      </c>
      <c r="X485" s="11">
        <v>0</v>
      </c>
      <c r="Y485" s="11">
        <f t="shared" si="60"/>
        <v>17.510000000000002</v>
      </c>
      <c r="Z485" s="11">
        <f t="shared" si="61"/>
        <v>23.349999999999998</v>
      </c>
      <c r="AA485" s="12">
        <f t="shared" si="62"/>
        <v>0.57146353401860006</v>
      </c>
      <c r="AB485" s="13">
        <f t="shared" si="63"/>
        <v>10.266331658291458</v>
      </c>
      <c r="AC485" t="s">
        <v>67</v>
      </c>
    </row>
    <row r="486" spans="1:29" ht="14.25" customHeight="1" x14ac:dyDescent="0.45">
      <c r="A486" t="s">
        <v>609</v>
      </c>
      <c r="B486" s="10">
        <v>46132</v>
      </c>
      <c r="C486">
        <v>2026</v>
      </c>
      <c r="D486">
        <v>4</v>
      </c>
      <c r="E486" t="s">
        <v>77</v>
      </c>
      <c r="F486" t="s">
        <v>104</v>
      </c>
      <c r="G486" t="s">
        <v>60</v>
      </c>
      <c r="H486" t="s">
        <v>61</v>
      </c>
      <c r="I486" t="s">
        <v>62</v>
      </c>
      <c r="J486" t="s">
        <v>63</v>
      </c>
      <c r="K486" t="s">
        <v>64</v>
      </c>
      <c r="L486" t="s">
        <v>65</v>
      </c>
      <c r="M486" s="11">
        <v>35.36</v>
      </c>
      <c r="N486" s="11">
        <v>9.56</v>
      </c>
      <c r="O486" s="11">
        <v>4.0199999999999996</v>
      </c>
      <c r="P486" s="11">
        <v>0.03</v>
      </c>
      <c r="Q486" s="11">
        <v>4.4400000000000004</v>
      </c>
      <c r="R486" s="11">
        <v>1</v>
      </c>
      <c r="S486" s="11">
        <f t="shared" si="56"/>
        <v>35.36</v>
      </c>
      <c r="T486" s="11">
        <f t="shared" si="57"/>
        <v>9.56</v>
      </c>
      <c r="U486" s="11">
        <f t="shared" si="58"/>
        <v>4.0199999999999996</v>
      </c>
      <c r="V486" s="11">
        <f t="shared" si="59"/>
        <v>1.06</v>
      </c>
      <c r="W486" s="11" t="s">
        <v>66</v>
      </c>
      <c r="X486" s="11">
        <v>0</v>
      </c>
      <c r="Y486" s="11">
        <f t="shared" si="60"/>
        <v>19.080000000000002</v>
      </c>
      <c r="Z486" s="11">
        <f t="shared" si="61"/>
        <v>16.279999999999998</v>
      </c>
      <c r="AA486" s="12">
        <f t="shared" si="62"/>
        <v>0.46040723981900444</v>
      </c>
      <c r="AB486" s="13">
        <f t="shared" si="63"/>
        <v>7.9639639639639634</v>
      </c>
      <c r="AC486" t="s">
        <v>67</v>
      </c>
    </row>
    <row r="487" spans="1:29" ht="14.25" customHeight="1" x14ac:dyDescent="0.45">
      <c r="A487" t="s">
        <v>610</v>
      </c>
      <c r="B487" s="10">
        <v>46134</v>
      </c>
      <c r="C487">
        <v>2026</v>
      </c>
      <c r="D487">
        <v>4</v>
      </c>
      <c r="E487" t="s">
        <v>58</v>
      </c>
      <c r="F487" t="s">
        <v>59</v>
      </c>
      <c r="G487" t="s">
        <v>93</v>
      </c>
      <c r="H487" t="s">
        <v>86</v>
      </c>
      <c r="I487" t="s">
        <v>97</v>
      </c>
      <c r="J487" t="s">
        <v>98</v>
      </c>
      <c r="K487" t="s">
        <v>99</v>
      </c>
      <c r="L487" t="s">
        <v>100</v>
      </c>
      <c r="M487" s="11">
        <v>38.549999999999997</v>
      </c>
      <c r="N487" s="11">
        <v>9.4</v>
      </c>
      <c r="O487" s="11">
        <v>3.69</v>
      </c>
      <c r="P487" s="11">
        <v>0.03</v>
      </c>
      <c r="Q487" s="11">
        <v>3.29</v>
      </c>
      <c r="R487" s="11">
        <v>2</v>
      </c>
      <c r="S487" s="11">
        <f t="shared" si="56"/>
        <v>77.099999999999994</v>
      </c>
      <c r="T487" s="11">
        <f t="shared" si="57"/>
        <v>18.8</v>
      </c>
      <c r="U487" s="11">
        <f t="shared" si="58"/>
        <v>7.38</v>
      </c>
      <c r="V487" s="11">
        <f t="shared" si="59"/>
        <v>2.31</v>
      </c>
      <c r="W487" s="11" t="s">
        <v>66</v>
      </c>
      <c r="X487" s="11">
        <v>0</v>
      </c>
      <c r="Y487" s="11">
        <f t="shared" si="60"/>
        <v>31.779999999999998</v>
      </c>
      <c r="Z487" s="11">
        <f t="shared" si="61"/>
        <v>45.319999999999993</v>
      </c>
      <c r="AA487" s="12">
        <f t="shared" si="62"/>
        <v>0.58780804150453947</v>
      </c>
      <c r="AB487" s="13">
        <f t="shared" si="63"/>
        <v>23.434650455927049</v>
      </c>
      <c r="AC487" t="s">
        <v>67</v>
      </c>
    </row>
    <row r="488" spans="1:29" ht="14.25" customHeight="1" x14ac:dyDescent="0.45">
      <c r="A488" t="s">
        <v>611</v>
      </c>
      <c r="B488" s="10">
        <v>46134</v>
      </c>
      <c r="C488">
        <v>2026</v>
      </c>
      <c r="D488">
        <v>4</v>
      </c>
      <c r="E488" t="s">
        <v>58</v>
      </c>
      <c r="F488" t="s">
        <v>92</v>
      </c>
      <c r="G488" t="s">
        <v>71</v>
      </c>
      <c r="H488" t="s">
        <v>80</v>
      </c>
      <c r="I488" t="s">
        <v>138</v>
      </c>
      <c r="J488" t="s">
        <v>139</v>
      </c>
      <c r="K488" t="s">
        <v>89</v>
      </c>
      <c r="L488" t="s">
        <v>140</v>
      </c>
      <c r="M488" s="11">
        <v>40.130000000000003</v>
      </c>
      <c r="N488" s="11">
        <v>8.2799999999999994</v>
      </c>
      <c r="O488" s="11">
        <v>4.43</v>
      </c>
      <c r="P488" s="11">
        <v>0.03</v>
      </c>
      <c r="Q488" s="11">
        <v>0</v>
      </c>
      <c r="R488" s="11">
        <v>1</v>
      </c>
      <c r="S488" s="11">
        <f t="shared" si="56"/>
        <v>40.130000000000003</v>
      </c>
      <c r="T488" s="11">
        <f t="shared" si="57"/>
        <v>8.2799999999999994</v>
      </c>
      <c r="U488" s="11">
        <f t="shared" si="58"/>
        <v>4.43</v>
      </c>
      <c r="V488" s="11">
        <f t="shared" si="59"/>
        <v>1.2</v>
      </c>
      <c r="W488" s="11" t="s">
        <v>66</v>
      </c>
      <c r="X488" s="11">
        <v>0</v>
      </c>
      <c r="Y488" s="11">
        <f t="shared" si="60"/>
        <v>13.909999999999998</v>
      </c>
      <c r="Z488" s="11">
        <f t="shared" si="61"/>
        <v>26.220000000000006</v>
      </c>
      <c r="AA488" s="12">
        <f t="shared" si="62"/>
        <v>0.653376526289559</v>
      </c>
      <c r="AB488" s="13">
        <f t="shared" si="63"/>
        <v>0</v>
      </c>
      <c r="AC488" t="s">
        <v>67</v>
      </c>
    </row>
    <row r="489" spans="1:29" ht="14.25" customHeight="1" x14ac:dyDescent="0.45">
      <c r="A489" t="s">
        <v>612</v>
      </c>
      <c r="B489" s="10">
        <v>46135</v>
      </c>
      <c r="C489">
        <v>2026</v>
      </c>
      <c r="D489">
        <v>4</v>
      </c>
      <c r="E489" t="s">
        <v>69</v>
      </c>
      <c r="F489" t="s">
        <v>70</v>
      </c>
      <c r="G489" t="s">
        <v>126</v>
      </c>
      <c r="H489" t="s">
        <v>61</v>
      </c>
      <c r="I489" t="s">
        <v>138</v>
      </c>
      <c r="J489" t="s">
        <v>139</v>
      </c>
      <c r="K489" t="s">
        <v>89</v>
      </c>
      <c r="L489" t="s">
        <v>140</v>
      </c>
      <c r="M489" s="11">
        <v>42.89</v>
      </c>
      <c r="N489" s="11">
        <v>8.3000000000000007</v>
      </c>
      <c r="O489" s="11">
        <v>3.66</v>
      </c>
      <c r="P489" s="11">
        <v>0.03</v>
      </c>
      <c r="Q489" s="11">
        <v>5.64</v>
      </c>
      <c r="R489" s="11">
        <v>1</v>
      </c>
      <c r="S489" s="11">
        <f t="shared" si="56"/>
        <v>42.89</v>
      </c>
      <c r="T489" s="11">
        <f t="shared" si="57"/>
        <v>8.3000000000000007</v>
      </c>
      <c r="U489" s="11">
        <f t="shared" si="58"/>
        <v>3.66</v>
      </c>
      <c r="V489" s="11">
        <f t="shared" si="59"/>
        <v>1.29</v>
      </c>
      <c r="W489" s="11" t="s">
        <v>66</v>
      </c>
      <c r="X489" s="11">
        <v>0</v>
      </c>
      <c r="Y489" s="11">
        <f t="shared" si="60"/>
        <v>18.89</v>
      </c>
      <c r="Z489" s="11">
        <f t="shared" si="61"/>
        <v>24</v>
      </c>
      <c r="AA489" s="12">
        <f t="shared" si="62"/>
        <v>0.55957099557006296</v>
      </c>
      <c r="AB489" s="13">
        <f t="shared" si="63"/>
        <v>7.6046099290780145</v>
      </c>
      <c r="AC489" t="s">
        <v>67</v>
      </c>
    </row>
    <row r="490" spans="1:29" ht="14.25" customHeight="1" x14ac:dyDescent="0.45">
      <c r="A490" t="s">
        <v>613</v>
      </c>
      <c r="B490" s="10">
        <v>46135</v>
      </c>
      <c r="C490">
        <v>2026</v>
      </c>
      <c r="D490">
        <v>4</v>
      </c>
      <c r="E490" t="s">
        <v>58</v>
      </c>
      <c r="F490" t="s">
        <v>59</v>
      </c>
      <c r="G490" t="s">
        <v>93</v>
      </c>
      <c r="H490" t="s">
        <v>80</v>
      </c>
      <c r="I490" t="s">
        <v>133</v>
      </c>
      <c r="J490" t="s">
        <v>134</v>
      </c>
      <c r="K490" t="s">
        <v>135</v>
      </c>
      <c r="L490" t="s">
        <v>136</v>
      </c>
      <c r="M490" s="11">
        <v>14.04</v>
      </c>
      <c r="N490" s="11">
        <v>2.09</v>
      </c>
      <c r="O490" s="11">
        <v>1.96</v>
      </c>
      <c r="P490" s="11">
        <v>0.03</v>
      </c>
      <c r="Q490" s="11">
        <v>15.59</v>
      </c>
      <c r="R490" s="11">
        <v>2</v>
      </c>
      <c r="S490" s="11">
        <f t="shared" si="56"/>
        <v>28.08</v>
      </c>
      <c r="T490" s="11">
        <f t="shared" si="57"/>
        <v>4.18</v>
      </c>
      <c r="U490" s="11">
        <f t="shared" si="58"/>
        <v>3.92</v>
      </c>
      <c r="V490" s="11">
        <f t="shared" si="59"/>
        <v>0.84</v>
      </c>
      <c r="W490" s="11" t="s">
        <v>66</v>
      </c>
      <c r="X490" s="11">
        <v>0</v>
      </c>
      <c r="Y490" s="11">
        <f t="shared" si="60"/>
        <v>24.53</v>
      </c>
      <c r="Z490" s="11">
        <f t="shared" si="61"/>
        <v>3.5499999999999972</v>
      </c>
      <c r="AA490" s="12">
        <f t="shared" si="62"/>
        <v>0.12642450142450132</v>
      </c>
      <c r="AB490" s="13">
        <f t="shared" si="63"/>
        <v>1.8011545862732521</v>
      </c>
      <c r="AC490" t="s">
        <v>67</v>
      </c>
    </row>
    <row r="491" spans="1:29" ht="14.25" customHeight="1" x14ac:dyDescent="0.45">
      <c r="A491" t="s">
        <v>614</v>
      </c>
      <c r="B491" s="10">
        <v>46137</v>
      </c>
      <c r="C491">
        <v>2026</v>
      </c>
      <c r="D491">
        <v>4</v>
      </c>
      <c r="E491" t="s">
        <v>58</v>
      </c>
      <c r="F491" t="s">
        <v>92</v>
      </c>
      <c r="G491" t="s">
        <v>126</v>
      </c>
      <c r="H491" t="s">
        <v>86</v>
      </c>
      <c r="I491" t="s">
        <v>97</v>
      </c>
      <c r="J491" t="s">
        <v>98</v>
      </c>
      <c r="K491" t="s">
        <v>99</v>
      </c>
      <c r="L491" t="s">
        <v>100</v>
      </c>
      <c r="M491" s="11">
        <v>36.26</v>
      </c>
      <c r="N491" s="11">
        <v>9.6300000000000008</v>
      </c>
      <c r="O491" s="11">
        <v>4.03</v>
      </c>
      <c r="P491" s="11">
        <v>0.03</v>
      </c>
      <c r="Q491" s="11">
        <v>10.44</v>
      </c>
      <c r="R491" s="11">
        <v>1</v>
      </c>
      <c r="S491" s="11">
        <f t="shared" si="56"/>
        <v>36.26</v>
      </c>
      <c r="T491" s="11">
        <f t="shared" si="57"/>
        <v>9.6300000000000008</v>
      </c>
      <c r="U491" s="11">
        <f t="shared" si="58"/>
        <v>4.03</v>
      </c>
      <c r="V491" s="11">
        <f t="shared" si="59"/>
        <v>1.0900000000000001</v>
      </c>
      <c r="W491" s="11" t="s">
        <v>66</v>
      </c>
      <c r="X491" s="11">
        <v>0</v>
      </c>
      <c r="Y491" s="11">
        <f t="shared" si="60"/>
        <v>25.189999999999998</v>
      </c>
      <c r="Z491" s="11">
        <f t="shared" si="61"/>
        <v>11.07</v>
      </c>
      <c r="AA491" s="12">
        <f t="shared" si="62"/>
        <v>0.30529509100937674</v>
      </c>
      <c r="AB491" s="13">
        <f t="shared" si="63"/>
        <v>3.4731800766283523</v>
      </c>
      <c r="AC491" t="s">
        <v>67</v>
      </c>
    </row>
    <row r="492" spans="1:29" ht="14.25" customHeight="1" x14ac:dyDescent="0.45">
      <c r="A492" t="s">
        <v>615</v>
      </c>
      <c r="B492" s="10">
        <v>46137</v>
      </c>
      <c r="C492">
        <v>2026</v>
      </c>
      <c r="D492">
        <v>4</v>
      </c>
      <c r="E492" t="s">
        <v>122</v>
      </c>
      <c r="F492" t="s">
        <v>123</v>
      </c>
      <c r="G492" t="s">
        <v>126</v>
      </c>
      <c r="H492" t="s">
        <v>80</v>
      </c>
      <c r="I492" t="s">
        <v>72</v>
      </c>
      <c r="J492" t="s">
        <v>73</v>
      </c>
      <c r="K492" t="s">
        <v>74</v>
      </c>
      <c r="L492" t="s">
        <v>75</v>
      </c>
      <c r="M492" s="11">
        <v>43.82</v>
      </c>
      <c r="N492" s="11">
        <v>14.5</v>
      </c>
      <c r="O492" s="11">
        <v>7.01</v>
      </c>
      <c r="P492" s="11">
        <v>0.03</v>
      </c>
      <c r="Q492" s="11">
        <v>18.7</v>
      </c>
      <c r="R492" s="11">
        <v>2</v>
      </c>
      <c r="S492" s="11">
        <f t="shared" si="56"/>
        <v>87.64</v>
      </c>
      <c r="T492" s="11">
        <f t="shared" si="57"/>
        <v>29</v>
      </c>
      <c r="U492" s="11">
        <f t="shared" si="58"/>
        <v>14.02</v>
      </c>
      <c r="V492" s="11">
        <f t="shared" si="59"/>
        <v>2.63</v>
      </c>
      <c r="W492" s="11" t="s">
        <v>66</v>
      </c>
      <c r="X492" s="11">
        <v>0</v>
      </c>
      <c r="Y492" s="11">
        <f t="shared" si="60"/>
        <v>64.349999999999994</v>
      </c>
      <c r="Z492" s="11">
        <f t="shared" si="61"/>
        <v>23.290000000000006</v>
      </c>
      <c r="AA492" s="12">
        <f t="shared" si="62"/>
        <v>0.26574623459607494</v>
      </c>
      <c r="AB492" s="13">
        <f t="shared" si="63"/>
        <v>4.6866310160427807</v>
      </c>
      <c r="AC492" t="s">
        <v>67</v>
      </c>
    </row>
    <row r="493" spans="1:29" ht="14.25" customHeight="1" x14ac:dyDescent="0.45">
      <c r="A493" t="s">
        <v>616</v>
      </c>
      <c r="B493" s="10">
        <v>46138</v>
      </c>
      <c r="C493">
        <v>2026</v>
      </c>
      <c r="D493">
        <v>4</v>
      </c>
      <c r="E493" t="s">
        <v>77</v>
      </c>
      <c r="F493" t="s">
        <v>104</v>
      </c>
      <c r="G493" t="s">
        <v>93</v>
      </c>
      <c r="H493" t="s">
        <v>112</v>
      </c>
      <c r="I493" t="s">
        <v>138</v>
      </c>
      <c r="J493" t="s">
        <v>139</v>
      </c>
      <c r="K493" t="s">
        <v>89</v>
      </c>
      <c r="L493" t="s">
        <v>140</v>
      </c>
      <c r="M493" s="11">
        <v>41.55</v>
      </c>
      <c r="N493" s="11">
        <v>8.35</v>
      </c>
      <c r="O493" s="11">
        <v>3.9</v>
      </c>
      <c r="P493" s="11">
        <v>0.03</v>
      </c>
      <c r="Q493" s="11">
        <v>6.92</v>
      </c>
      <c r="R493" s="11">
        <v>2</v>
      </c>
      <c r="S493" s="11">
        <f t="shared" si="56"/>
        <v>83.1</v>
      </c>
      <c r="T493" s="11">
        <f t="shared" si="57"/>
        <v>16.7</v>
      </c>
      <c r="U493" s="11">
        <f t="shared" si="58"/>
        <v>7.8</v>
      </c>
      <c r="V493" s="11">
        <f t="shared" si="59"/>
        <v>2.4900000000000002</v>
      </c>
      <c r="W493" s="11" t="s">
        <v>66</v>
      </c>
      <c r="X493" s="11">
        <v>0</v>
      </c>
      <c r="Y493" s="11">
        <f t="shared" si="60"/>
        <v>33.910000000000004</v>
      </c>
      <c r="Z493" s="11">
        <f t="shared" si="61"/>
        <v>49.189999999999991</v>
      </c>
      <c r="AA493" s="12">
        <f t="shared" si="62"/>
        <v>0.59193742478941025</v>
      </c>
      <c r="AB493" s="13">
        <f t="shared" si="63"/>
        <v>12.008670520231213</v>
      </c>
      <c r="AC493" t="s">
        <v>67</v>
      </c>
    </row>
    <row r="494" spans="1:29" ht="14.25" customHeight="1" x14ac:dyDescent="0.45">
      <c r="A494" t="s">
        <v>617</v>
      </c>
      <c r="B494" s="10">
        <v>46138</v>
      </c>
      <c r="C494">
        <v>2026</v>
      </c>
      <c r="D494">
        <v>4</v>
      </c>
      <c r="E494" t="s">
        <v>95</v>
      </c>
      <c r="F494" t="s">
        <v>96</v>
      </c>
      <c r="G494" t="s">
        <v>60</v>
      </c>
      <c r="H494" t="s">
        <v>80</v>
      </c>
      <c r="I494" t="s">
        <v>81</v>
      </c>
      <c r="J494" t="s">
        <v>82</v>
      </c>
      <c r="K494" t="s">
        <v>83</v>
      </c>
      <c r="L494" t="s">
        <v>84</v>
      </c>
      <c r="M494" s="11">
        <v>27</v>
      </c>
      <c r="N494" s="11">
        <v>5.89</v>
      </c>
      <c r="O494" s="11">
        <v>3.5</v>
      </c>
      <c r="P494" s="11">
        <v>0.03</v>
      </c>
      <c r="Q494" s="11">
        <v>30.12</v>
      </c>
      <c r="R494" s="11">
        <v>3</v>
      </c>
      <c r="S494" s="11">
        <f t="shared" si="56"/>
        <v>81</v>
      </c>
      <c r="T494" s="11">
        <f t="shared" si="57"/>
        <v>17.669999999999998</v>
      </c>
      <c r="U494" s="11">
        <f t="shared" si="58"/>
        <v>10.5</v>
      </c>
      <c r="V494" s="11">
        <f t="shared" si="59"/>
        <v>2.4300000000000002</v>
      </c>
      <c r="W494" s="11" t="s">
        <v>66</v>
      </c>
      <c r="X494" s="11">
        <v>0</v>
      </c>
      <c r="Y494" s="11">
        <f t="shared" si="60"/>
        <v>60.72</v>
      </c>
      <c r="Z494" s="11">
        <f t="shared" si="61"/>
        <v>20.28</v>
      </c>
      <c r="AA494" s="12">
        <f t="shared" si="62"/>
        <v>0.25037037037037041</v>
      </c>
      <c r="AB494" s="13">
        <f t="shared" si="63"/>
        <v>2.689243027888446</v>
      </c>
      <c r="AC494" t="s">
        <v>67</v>
      </c>
    </row>
    <row r="495" spans="1:29" ht="14.25" customHeight="1" x14ac:dyDescent="0.45">
      <c r="A495" t="s">
        <v>618</v>
      </c>
      <c r="B495" s="10">
        <v>46139</v>
      </c>
      <c r="C495">
        <v>2026</v>
      </c>
      <c r="D495">
        <v>4</v>
      </c>
      <c r="E495" t="s">
        <v>58</v>
      </c>
      <c r="F495" t="s">
        <v>59</v>
      </c>
      <c r="G495" t="s">
        <v>126</v>
      </c>
      <c r="H495" t="s">
        <v>112</v>
      </c>
      <c r="I495" t="s">
        <v>81</v>
      </c>
      <c r="J495" t="s">
        <v>82</v>
      </c>
      <c r="K495" t="s">
        <v>83</v>
      </c>
      <c r="L495" t="s">
        <v>84</v>
      </c>
      <c r="M495" s="11">
        <v>23.08</v>
      </c>
      <c r="N495" s="11">
        <v>6.17</v>
      </c>
      <c r="O495" s="11">
        <v>3.79</v>
      </c>
      <c r="P495" s="11">
        <v>0.03</v>
      </c>
      <c r="Q495" s="11">
        <v>6.69</v>
      </c>
      <c r="R495" s="11">
        <v>2</v>
      </c>
      <c r="S495" s="11">
        <f t="shared" si="56"/>
        <v>46.16</v>
      </c>
      <c r="T495" s="11">
        <f t="shared" si="57"/>
        <v>12.34</v>
      </c>
      <c r="U495" s="11">
        <f t="shared" si="58"/>
        <v>7.58</v>
      </c>
      <c r="V495" s="11">
        <f t="shared" si="59"/>
        <v>1.38</v>
      </c>
      <c r="W495" s="11" t="s">
        <v>66</v>
      </c>
      <c r="X495" s="11">
        <v>0</v>
      </c>
      <c r="Y495" s="11">
        <f t="shared" si="60"/>
        <v>27.990000000000002</v>
      </c>
      <c r="Z495" s="11">
        <f t="shared" si="61"/>
        <v>18.169999999999995</v>
      </c>
      <c r="AA495" s="12">
        <f t="shared" si="62"/>
        <v>0.39363084922010388</v>
      </c>
      <c r="AB495" s="13">
        <f t="shared" si="63"/>
        <v>6.899850523168908</v>
      </c>
      <c r="AC495" t="s">
        <v>67</v>
      </c>
    </row>
    <row r="496" spans="1:29" ht="14.25" customHeight="1" x14ac:dyDescent="0.45">
      <c r="A496" t="s">
        <v>619</v>
      </c>
      <c r="B496" s="10">
        <v>46140</v>
      </c>
      <c r="C496">
        <v>2026</v>
      </c>
      <c r="D496">
        <v>4</v>
      </c>
      <c r="E496" t="s">
        <v>95</v>
      </c>
      <c r="F496" t="s">
        <v>96</v>
      </c>
      <c r="G496" t="s">
        <v>79</v>
      </c>
      <c r="H496" t="s">
        <v>61</v>
      </c>
      <c r="I496" t="s">
        <v>62</v>
      </c>
      <c r="J496" t="s">
        <v>63</v>
      </c>
      <c r="K496" t="s">
        <v>64</v>
      </c>
      <c r="L496" t="s">
        <v>65</v>
      </c>
      <c r="M496" s="11">
        <v>33.25</v>
      </c>
      <c r="N496" s="11">
        <v>10.35</v>
      </c>
      <c r="O496" s="11">
        <v>4.34</v>
      </c>
      <c r="P496" s="11">
        <v>0.03</v>
      </c>
      <c r="Q496" s="11">
        <v>15.31</v>
      </c>
      <c r="R496" s="11">
        <v>2</v>
      </c>
      <c r="S496" s="11">
        <f t="shared" si="56"/>
        <v>66.5</v>
      </c>
      <c r="T496" s="11">
        <f t="shared" si="57"/>
        <v>20.7</v>
      </c>
      <c r="U496" s="11">
        <f t="shared" si="58"/>
        <v>8.68</v>
      </c>
      <c r="V496" s="11">
        <f t="shared" si="59"/>
        <v>2</v>
      </c>
      <c r="W496" s="11" t="s">
        <v>66</v>
      </c>
      <c r="X496" s="11">
        <v>0</v>
      </c>
      <c r="Y496" s="11">
        <f t="shared" si="60"/>
        <v>46.69</v>
      </c>
      <c r="Z496" s="11">
        <f t="shared" si="61"/>
        <v>19.810000000000002</v>
      </c>
      <c r="AA496" s="12">
        <f t="shared" si="62"/>
        <v>0.29789473684210532</v>
      </c>
      <c r="AB496" s="13">
        <f t="shared" si="63"/>
        <v>4.34356629653821</v>
      </c>
      <c r="AC496" t="s">
        <v>67</v>
      </c>
    </row>
    <row r="497" spans="1:29" ht="14.25" customHeight="1" x14ac:dyDescent="0.45">
      <c r="A497" t="s">
        <v>620</v>
      </c>
      <c r="B497" s="10">
        <v>46140</v>
      </c>
      <c r="C497">
        <v>2026</v>
      </c>
      <c r="D497">
        <v>4</v>
      </c>
      <c r="E497" t="s">
        <v>69</v>
      </c>
      <c r="F497" t="s">
        <v>70</v>
      </c>
      <c r="G497" t="s">
        <v>60</v>
      </c>
      <c r="H497" t="s">
        <v>86</v>
      </c>
      <c r="I497" t="s">
        <v>138</v>
      </c>
      <c r="J497" t="s">
        <v>139</v>
      </c>
      <c r="K497" t="s">
        <v>89</v>
      </c>
      <c r="L497" t="s">
        <v>140</v>
      </c>
      <c r="M497" s="11">
        <v>41.49</v>
      </c>
      <c r="N497" s="11">
        <v>8.76</v>
      </c>
      <c r="O497" s="11">
        <v>4</v>
      </c>
      <c r="P497" s="11">
        <v>0.03</v>
      </c>
      <c r="Q497" s="11">
        <v>4.3899999999999997</v>
      </c>
      <c r="R497" s="11">
        <v>1</v>
      </c>
      <c r="S497" s="11">
        <f t="shared" si="56"/>
        <v>0</v>
      </c>
      <c r="T497" s="11">
        <f t="shared" si="57"/>
        <v>0</v>
      </c>
      <c r="U497" s="11">
        <f t="shared" si="58"/>
        <v>0</v>
      </c>
      <c r="V497" s="11">
        <f t="shared" si="59"/>
        <v>0</v>
      </c>
      <c r="W497" s="11" t="s">
        <v>66</v>
      </c>
      <c r="X497" s="11">
        <v>0</v>
      </c>
      <c r="Y497" s="11">
        <f t="shared" si="60"/>
        <v>0</v>
      </c>
      <c r="Z497" s="11">
        <f t="shared" si="61"/>
        <v>-4.3899999999999997</v>
      </c>
      <c r="AA497" s="12">
        <f t="shared" si="62"/>
        <v>0</v>
      </c>
      <c r="AB497" s="13">
        <f t="shared" si="63"/>
        <v>0</v>
      </c>
      <c r="AC497" t="s">
        <v>166</v>
      </c>
    </row>
    <row r="498" spans="1:29" ht="14.25" customHeight="1" x14ac:dyDescent="0.45">
      <c r="A498" t="s">
        <v>621</v>
      </c>
      <c r="B498" s="10">
        <v>46140</v>
      </c>
      <c r="C498">
        <v>2026</v>
      </c>
      <c r="D498">
        <v>4</v>
      </c>
      <c r="E498" t="s">
        <v>77</v>
      </c>
      <c r="F498" t="s">
        <v>102</v>
      </c>
      <c r="G498" t="s">
        <v>60</v>
      </c>
      <c r="H498" t="s">
        <v>80</v>
      </c>
      <c r="I498" t="s">
        <v>72</v>
      </c>
      <c r="J498" t="s">
        <v>73</v>
      </c>
      <c r="K498" t="s">
        <v>74</v>
      </c>
      <c r="L498" t="s">
        <v>75</v>
      </c>
      <c r="M498" s="11">
        <v>41.25</v>
      </c>
      <c r="N498" s="11">
        <v>14.16</v>
      </c>
      <c r="O498" s="11">
        <v>6.13</v>
      </c>
      <c r="P498" s="11">
        <v>0.03</v>
      </c>
      <c r="Q498" s="11">
        <v>8.59</v>
      </c>
      <c r="R498" s="11">
        <v>1</v>
      </c>
      <c r="S498" s="11">
        <f t="shared" si="56"/>
        <v>41.25</v>
      </c>
      <c r="T498" s="11">
        <f t="shared" si="57"/>
        <v>14.16</v>
      </c>
      <c r="U498" s="11">
        <f t="shared" si="58"/>
        <v>6.13</v>
      </c>
      <c r="V498" s="11">
        <f t="shared" si="59"/>
        <v>1.24</v>
      </c>
      <c r="W498" s="11" t="s">
        <v>66</v>
      </c>
      <c r="X498" s="11">
        <v>0</v>
      </c>
      <c r="Y498" s="11">
        <f t="shared" si="60"/>
        <v>30.119999999999997</v>
      </c>
      <c r="Z498" s="11">
        <f t="shared" si="61"/>
        <v>11.130000000000003</v>
      </c>
      <c r="AA498" s="12">
        <f t="shared" si="62"/>
        <v>0.2698181818181819</v>
      </c>
      <c r="AB498" s="13">
        <f t="shared" si="63"/>
        <v>4.8020954598370196</v>
      </c>
      <c r="AC498" t="s">
        <v>67</v>
      </c>
    </row>
    <row r="499" spans="1:29" ht="14.25" customHeight="1" x14ac:dyDescent="0.45">
      <c r="A499" t="s">
        <v>622</v>
      </c>
      <c r="B499" s="10">
        <v>46140</v>
      </c>
      <c r="C499">
        <v>2026</v>
      </c>
      <c r="D499">
        <v>4</v>
      </c>
      <c r="E499" t="s">
        <v>77</v>
      </c>
      <c r="F499" t="s">
        <v>78</v>
      </c>
      <c r="G499" t="s">
        <v>105</v>
      </c>
      <c r="H499" t="s">
        <v>127</v>
      </c>
      <c r="I499" t="s">
        <v>113</v>
      </c>
      <c r="J499" t="s">
        <v>114</v>
      </c>
      <c r="K499" t="s">
        <v>115</v>
      </c>
      <c r="L499" t="s">
        <v>116</v>
      </c>
      <c r="M499" s="11">
        <v>45.67</v>
      </c>
      <c r="N499" s="11">
        <v>15.66</v>
      </c>
      <c r="O499" s="11">
        <v>6.41</v>
      </c>
      <c r="P499" s="11">
        <v>0.03</v>
      </c>
      <c r="Q499" s="11">
        <v>6.63</v>
      </c>
      <c r="R499" s="11">
        <v>2</v>
      </c>
      <c r="S499" s="11">
        <f t="shared" si="56"/>
        <v>91.34</v>
      </c>
      <c r="T499" s="11">
        <f t="shared" si="57"/>
        <v>31.32</v>
      </c>
      <c r="U499" s="11">
        <f t="shared" si="58"/>
        <v>12.82</v>
      </c>
      <c r="V499" s="11">
        <f t="shared" si="59"/>
        <v>2.74</v>
      </c>
      <c r="W499" s="11" t="s">
        <v>66</v>
      </c>
      <c r="X499" s="11">
        <v>0</v>
      </c>
      <c r="Y499" s="11">
        <f t="shared" si="60"/>
        <v>53.510000000000005</v>
      </c>
      <c r="Z499" s="11">
        <f t="shared" si="61"/>
        <v>37.83</v>
      </c>
      <c r="AA499" s="12">
        <f t="shared" si="62"/>
        <v>0.4141668491350996</v>
      </c>
      <c r="AB499" s="13">
        <f t="shared" si="63"/>
        <v>13.776772247360483</v>
      </c>
      <c r="AC499" t="s">
        <v>67</v>
      </c>
    </row>
    <row r="500" spans="1:29" ht="14.25" customHeight="1" x14ac:dyDescent="0.45">
      <c r="A500" t="s">
        <v>623</v>
      </c>
      <c r="B500" s="10">
        <v>46141</v>
      </c>
      <c r="C500">
        <v>2026</v>
      </c>
      <c r="D500">
        <v>4</v>
      </c>
      <c r="E500" t="s">
        <v>58</v>
      </c>
      <c r="F500" t="s">
        <v>59</v>
      </c>
      <c r="G500" t="s">
        <v>126</v>
      </c>
      <c r="H500" t="s">
        <v>112</v>
      </c>
      <c r="I500" t="s">
        <v>81</v>
      </c>
      <c r="J500" t="s">
        <v>82</v>
      </c>
      <c r="K500" t="s">
        <v>83</v>
      </c>
      <c r="L500" t="s">
        <v>84</v>
      </c>
      <c r="M500" s="11">
        <v>25.37</v>
      </c>
      <c r="N500" s="11">
        <v>6.41</v>
      </c>
      <c r="O500" s="11">
        <v>3.52</v>
      </c>
      <c r="P500" s="11">
        <v>0.03</v>
      </c>
      <c r="Q500" s="11">
        <v>10.63</v>
      </c>
      <c r="R500" s="11">
        <v>3</v>
      </c>
      <c r="S500" s="11">
        <f t="shared" si="56"/>
        <v>76.11</v>
      </c>
      <c r="T500" s="11">
        <f t="shared" si="57"/>
        <v>19.23</v>
      </c>
      <c r="U500" s="11">
        <f t="shared" si="58"/>
        <v>10.56</v>
      </c>
      <c r="V500" s="11">
        <f t="shared" si="59"/>
        <v>2.2799999999999998</v>
      </c>
      <c r="W500" s="11" t="s">
        <v>66</v>
      </c>
      <c r="X500" s="11">
        <v>0</v>
      </c>
      <c r="Y500" s="11">
        <f t="shared" si="60"/>
        <v>42.7</v>
      </c>
      <c r="Z500" s="11">
        <f t="shared" si="61"/>
        <v>33.409999999999997</v>
      </c>
      <c r="AA500" s="12">
        <f t="shared" si="62"/>
        <v>0.43896991196951773</v>
      </c>
      <c r="AB500" s="13">
        <f t="shared" si="63"/>
        <v>7.1599247412982123</v>
      </c>
      <c r="AC500" t="s">
        <v>67</v>
      </c>
    </row>
    <row r="501" spans="1:29" ht="14.25" customHeight="1" x14ac:dyDescent="0.45">
      <c r="A501" t="s">
        <v>624</v>
      </c>
      <c r="B501" s="10">
        <v>46141</v>
      </c>
      <c r="C501">
        <v>2026</v>
      </c>
      <c r="D501">
        <v>4</v>
      </c>
      <c r="E501" t="s">
        <v>58</v>
      </c>
      <c r="F501" t="s">
        <v>92</v>
      </c>
      <c r="G501" t="s">
        <v>93</v>
      </c>
      <c r="H501" t="s">
        <v>80</v>
      </c>
      <c r="I501" t="s">
        <v>147</v>
      </c>
      <c r="J501" t="s">
        <v>148</v>
      </c>
      <c r="K501" t="s">
        <v>149</v>
      </c>
      <c r="L501" t="s">
        <v>150</v>
      </c>
      <c r="M501" s="11">
        <v>30.3</v>
      </c>
      <c r="N501" s="11">
        <v>6.84</v>
      </c>
      <c r="O501" s="11">
        <v>4.26</v>
      </c>
      <c r="P501" s="11">
        <v>0.03</v>
      </c>
      <c r="Q501" s="11">
        <v>7.6</v>
      </c>
      <c r="R501" s="11">
        <v>2</v>
      </c>
      <c r="S501" s="11">
        <f t="shared" si="56"/>
        <v>0</v>
      </c>
      <c r="T501" s="11">
        <f t="shared" si="57"/>
        <v>0</v>
      </c>
      <c r="U501" s="11">
        <f t="shared" si="58"/>
        <v>0</v>
      </c>
      <c r="V501" s="11">
        <f t="shared" si="59"/>
        <v>0</v>
      </c>
      <c r="W501" s="11" t="s">
        <v>66</v>
      </c>
      <c r="X501" s="11">
        <v>0</v>
      </c>
      <c r="Y501" s="11">
        <f t="shared" si="60"/>
        <v>0</v>
      </c>
      <c r="Z501" s="11">
        <f t="shared" si="61"/>
        <v>-7.6</v>
      </c>
      <c r="AA501" s="12">
        <f t="shared" si="62"/>
        <v>0</v>
      </c>
      <c r="AB501" s="13">
        <f t="shared" si="63"/>
        <v>0</v>
      </c>
      <c r="AC501" t="s">
        <v>166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1"/>
  <sheetViews>
    <sheetView zoomScaleNormal="100" workbookViewId="0">
      <selection activeCell="X17" sqref="X17"/>
    </sheetView>
  </sheetViews>
  <sheetFormatPr defaultColWidth="8.6640625" defaultRowHeight="14.25" x14ac:dyDescent="0.45"/>
  <cols>
    <col min="1" max="1" width="11.33203125" customWidth="1"/>
    <col min="2" max="2" width="16" customWidth="1"/>
    <col min="3" max="3" width="9.9296875" customWidth="1"/>
    <col min="4" max="4" width="18.1328125" customWidth="1"/>
    <col min="5" max="5" width="9.9296875" customWidth="1"/>
    <col min="6" max="6" width="9.6640625" customWidth="1"/>
    <col min="7" max="7" width="13.73046875" customWidth="1"/>
    <col min="8" max="8" width="7.3984375" customWidth="1"/>
    <col min="9" max="9" width="14.73046875" customWidth="1"/>
  </cols>
  <sheetData>
    <row r="1" spans="1:29" ht="14.25" customHeight="1" x14ac:dyDescent="0.45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625</v>
      </c>
      <c r="J1" s="9" t="s">
        <v>54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4.25" customHeight="1" x14ac:dyDescent="0.45">
      <c r="A2" t="s">
        <v>138</v>
      </c>
      <c r="B2" t="s">
        <v>139</v>
      </c>
      <c r="C2" t="s">
        <v>89</v>
      </c>
      <c r="D2" t="s">
        <v>140</v>
      </c>
      <c r="E2">
        <v>39.99</v>
      </c>
      <c r="F2">
        <v>8.5</v>
      </c>
      <c r="G2">
        <v>4</v>
      </c>
      <c r="H2">
        <v>0.03</v>
      </c>
      <c r="I2" s="13">
        <f t="shared" ref="I2:I11" si="0">E2-F2-G2-(E2*H2)</f>
        <v>26.290300000000002</v>
      </c>
      <c r="J2" s="13">
        <f t="shared" ref="J2:J11" si="1">I2/E2</f>
        <v>0.657421855463866</v>
      </c>
    </row>
    <row r="3" spans="1:29" ht="14.25" customHeight="1" x14ac:dyDescent="0.45">
      <c r="A3" t="s">
        <v>133</v>
      </c>
      <c r="B3" t="s">
        <v>134</v>
      </c>
      <c r="C3" t="s">
        <v>135</v>
      </c>
      <c r="D3" t="s">
        <v>136</v>
      </c>
      <c r="E3">
        <v>14.99</v>
      </c>
      <c r="F3">
        <v>2</v>
      </c>
      <c r="G3">
        <v>2</v>
      </c>
      <c r="H3">
        <v>0.03</v>
      </c>
      <c r="I3" s="13">
        <f t="shared" si="0"/>
        <v>10.5403</v>
      </c>
      <c r="J3" s="13">
        <f t="shared" si="1"/>
        <v>0.703155436957972</v>
      </c>
    </row>
    <row r="4" spans="1:29" ht="14.25" customHeight="1" x14ac:dyDescent="0.45">
      <c r="A4" t="s">
        <v>81</v>
      </c>
      <c r="B4" t="s">
        <v>82</v>
      </c>
      <c r="C4" t="s">
        <v>83</v>
      </c>
      <c r="D4" t="s">
        <v>84</v>
      </c>
      <c r="E4">
        <v>24.99</v>
      </c>
      <c r="F4">
        <v>6</v>
      </c>
      <c r="G4">
        <v>3.5</v>
      </c>
      <c r="H4">
        <v>0.03</v>
      </c>
      <c r="I4" s="13">
        <f t="shared" si="0"/>
        <v>14.740299999999998</v>
      </c>
      <c r="J4" s="13">
        <f t="shared" si="1"/>
        <v>0.58984793917567024</v>
      </c>
    </row>
    <row r="5" spans="1:29" ht="14.25" customHeight="1" x14ac:dyDescent="0.45">
      <c r="A5" t="s">
        <v>147</v>
      </c>
      <c r="B5" t="s">
        <v>148</v>
      </c>
      <c r="C5" t="s">
        <v>149</v>
      </c>
      <c r="D5" t="s">
        <v>150</v>
      </c>
      <c r="E5">
        <v>29.99</v>
      </c>
      <c r="F5">
        <v>7</v>
      </c>
      <c r="G5">
        <v>4.5</v>
      </c>
      <c r="H5">
        <v>0.03</v>
      </c>
      <c r="I5" s="13">
        <f t="shared" si="0"/>
        <v>17.590299999999999</v>
      </c>
      <c r="J5" s="13">
        <f t="shared" si="1"/>
        <v>0.58653884628209407</v>
      </c>
    </row>
    <row r="6" spans="1:29" ht="14.25" customHeight="1" x14ac:dyDescent="0.45">
      <c r="A6" t="s">
        <v>87</v>
      </c>
      <c r="B6" t="s">
        <v>88</v>
      </c>
      <c r="C6" t="s">
        <v>89</v>
      </c>
      <c r="D6" t="s">
        <v>90</v>
      </c>
      <c r="E6">
        <v>59.99</v>
      </c>
      <c r="F6">
        <v>22</v>
      </c>
      <c r="G6">
        <v>7</v>
      </c>
      <c r="H6">
        <v>0.03</v>
      </c>
      <c r="I6" s="13">
        <f t="shared" si="0"/>
        <v>29.190300000000001</v>
      </c>
      <c r="J6" s="13">
        <f t="shared" si="1"/>
        <v>0.48658609768294714</v>
      </c>
    </row>
    <row r="7" spans="1:29" ht="14.25" customHeight="1" x14ac:dyDescent="0.45">
      <c r="A7" t="s">
        <v>97</v>
      </c>
      <c r="B7" t="s">
        <v>98</v>
      </c>
      <c r="C7" t="s">
        <v>99</v>
      </c>
      <c r="D7" t="s">
        <v>100</v>
      </c>
      <c r="E7">
        <v>34.99</v>
      </c>
      <c r="F7">
        <v>9</v>
      </c>
      <c r="G7">
        <v>4</v>
      </c>
      <c r="H7">
        <v>0.03</v>
      </c>
      <c r="I7" s="13">
        <f t="shared" si="0"/>
        <v>20.940300000000001</v>
      </c>
      <c r="J7" s="13">
        <f t="shared" si="1"/>
        <v>0.59846527579308373</v>
      </c>
    </row>
    <row r="8" spans="1:29" ht="14.25" customHeight="1" x14ac:dyDescent="0.45">
      <c r="A8" t="s">
        <v>107</v>
      </c>
      <c r="B8" t="s">
        <v>108</v>
      </c>
      <c r="C8" t="s">
        <v>109</v>
      </c>
      <c r="D8" t="s">
        <v>110</v>
      </c>
      <c r="E8">
        <v>19.989999999999998</v>
      </c>
      <c r="F8">
        <v>3.5</v>
      </c>
      <c r="G8">
        <v>2.5</v>
      </c>
      <c r="H8">
        <v>0.03</v>
      </c>
      <c r="I8" s="13">
        <f t="shared" si="0"/>
        <v>13.390299999999998</v>
      </c>
      <c r="J8" s="13">
        <f t="shared" si="1"/>
        <v>0.66984992496248119</v>
      </c>
    </row>
    <row r="9" spans="1:29" ht="14.25" customHeight="1" x14ac:dyDescent="0.45">
      <c r="A9" t="s">
        <v>113</v>
      </c>
      <c r="B9" t="s">
        <v>114</v>
      </c>
      <c r="C9" t="s">
        <v>115</v>
      </c>
      <c r="D9" t="s">
        <v>116</v>
      </c>
      <c r="E9">
        <v>49.99</v>
      </c>
      <c r="F9">
        <v>16</v>
      </c>
      <c r="G9">
        <v>6</v>
      </c>
      <c r="H9">
        <v>0.03</v>
      </c>
      <c r="I9" s="13">
        <f t="shared" si="0"/>
        <v>26.490300000000001</v>
      </c>
      <c r="J9" s="13">
        <f t="shared" si="1"/>
        <v>0.5299119823964793</v>
      </c>
    </row>
    <row r="10" spans="1:29" ht="14.25" customHeight="1" x14ac:dyDescent="0.45">
      <c r="A10" t="s">
        <v>72</v>
      </c>
      <c r="B10" t="s">
        <v>73</v>
      </c>
      <c r="C10" t="s">
        <v>74</v>
      </c>
      <c r="D10" t="s">
        <v>75</v>
      </c>
      <c r="E10">
        <v>44.99</v>
      </c>
      <c r="F10">
        <v>14</v>
      </c>
      <c r="G10">
        <v>6.5</v>
      </c>
      <c r="H10">
        <v>0.03</v>
      </c>
      <c r="I10" s="13">
        <f t="shared" si="0"/>
        <v>23.140300000000003</v>
      </c>
      <c r="J10" s="13">
        <f t="shared" si="1"/>
        <v>0.51434318737497231</v>
      </c>
    </row>
    <row r="11" spans="1:29" ht="14.25" customHeight="1" x14ac:dyDescent="0.45">
      <c r="A11" t="s">
        <v>62</v>
      </c>
      <c r="B11" t="s">
        <v>63</v>
      </c>
      <c r="C11" t="s">
        <v>64</v>
      </c>
      <c r="D11" t="s">
        <v>65</v>
      </c>
      <c r="E11">
        <v>32.99</v>
      </c>
      <c r="F11">
        <v>10</v>
      </c>
      <c r="G11">
        <v>4</v>
      </c>
      <c r="H11">
        <v>0.03</v>
      </c>
      <c r="I11" s="13">
        <f t="shared" si="0"/>
        <v>18.000300000000003</v>
      </c>
      <c r="J11" s="13">
        <f t="shared" si="1"/>
        <v>0.54562897847832681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43"/>
  <sheetViews>
    <sheetView showGridLines="0" zoomScaleNormal="100" workbookViewId="0">
      <selection activeCell="C7" sqref="C7"/>
    </sheetView>
  </sheetViews>
  <sheetFormatPr defaultColWidth="8.6640625" defaultRowHeight="14.25" x14ac:dyDescent="0.45"/>
  <cols>
    <col min="1" max="1" width="3" customWidth="1"/>
    <col min="2" max="2" width="48" customWidth="1"/>
    <col min="3" max="5" width="18" customWidth="1"/>
    <col min="6" max="6" width="4" customWidth="1"/>
    <col min="7" max="7" width="28" customWidth="1"/>
    <col min="8" max="8" width="26" customWidth="1"/>
  </cols>
  <sheetData>
    <row r="2" spans="2:8" ht="14.25" customHeight="1" x14ac:dyDescent="0.45">
      <c r="B2" s="4" t="e">
        <f>IF(SelectedIndustry="SaaS","SaaS Profitability &amp; Marketing Analysis Model",IF(SelectedIndustry="Retail","Retail Profitability &amp; Marketing Analysis Model","Dropshipping Profitability &amp; Marketing Analysis Model"))</f>
        <v>#REF!</v>
      </c>
      <c r="C2" s="4"/>
      <c r="D2" s="4"/>
      <c r="E2" s="4"/>
      <c r="F2" s="4"/>
      <c r="G2" s="4"/>
      <c r="H2" s="4"/>
    </row>
    <row r="3" spans="2:8" ht="14.25" customHeight="1" x14ac:dyDescent="0.45">
      <c r="B3" s="4"/>
      <c r="C3" s="4"/>
      <c r="D3" s="4"/>
      <c r="E3" s="4"/>
      <c r="F3" s="4"/>
      <c r="G3" s="4"/>
      <c r="H3" s="4"/>
    </row>
    <row r="4" spans="2:8" ht="14.25" customHeight="1" x14ac:dyDescent="0.45">
      <c r="B4" s="14" t="s">
        <v>626</v>
      </c>
    </row>
    <row r="6" spans="2:8" ht="15" customHeight="1" x14ac:dyDescent="0.45">
      <c r="B6" s="3" t="s">
        <v>627</v>
      </c>
      <c r="C6" s="3"/>
      <c r="D6" s="3"/>
      <c r="E6" s="3"/>
      <c r="G6" s="15" t="s">
        <v>628</v>
      </c>
    </row>
    <row r="7" spans="2:8" ht="14.25" customHeight="1" x14ac:dyDescent="0.45">
      <c r="B7" s="16" t="e">
        <f>IF(SelectedIndustry="SaaS","MRR per Customer ($)",IF(SelectedIndustry="Retail","Retail Price per Unit ($)","Selling Price per Unit ($)"))</f>
        <v>#REF!</v>
      </c>
      <c r="C7" s="17">
        <v>49.99</v>
      </c>
      <c r="D7" s="6" t="s">
        <v>629</v>
      </c>
      <c r="G7" s="16" t="s">
        <v>630</v>
      </c>
      <c r="H7" s="18">
        <f>MIN(100,MAX(0,(C27/0.3)*100))</f>
        <v>100</v>
      </c>
    </row>
    <row r="8" spans="2:8" ht="14.25" customHeight="1" x14ac:dyDescent="0.45">
      <c r="B8" s="16" t="e">
        <f>IF(SelectedIndustry="SaaS","Customers (MRR)",IF(SelectedIndustry="Retail","Units Sold per Month","Units Sold per Month"))</f>
        <v>#REF!</v>
      </c>
      <c r="C8" s="17">
        <v>100</v>
      </c>
      <c r="D8" s="6" t="s">
        <v>631</v>
      </c>
      <c r="G8" s="16" t="s">
        <v>632</v>
      </c>
      <c r="H8" s="18">
        <f>MIN(100,MAX(0,(C34/C40)*50))</f>
        <v>100</v>
      </c>
    </row>
    <row r="9" spans="2:8" ht="14.25" customHeight="1" x14ac:dyDescent="0.45">
      <c r="B9" s="16" t="s">
        <v>633</v>
      </c>
      <c r="C9" s="19">
        <v>0.2</v>
      </c>
      <c r="D9" s="6" t="s">
        <v>634</v>
      </c>
      <c r="G9" s="16" t="s">
        <v>635</v>
      </c>
      <c r="H9" s="20">
        <f>MIN(100,MAX(0,(C25/0.55)*100))</f>
        <v>99.985451635781686</v>
      </c>
    </row>
    <row r="10" spans="2:8" ht="14.25" customHeight="1" x14ac:dyDescent="0.45">
      <c r="B10" s="16" t="e">
        <f>IF(SelectedIndustry="SaaS","MRR ($)",IF(SelectedIndustry="Retail","Gross Sales ($)","Total Revenue ($)"))</f>
        <v>#REF!</v>
      </c>
      <c r="C10" s="21">
        <f>C7*C8</f>
        <v>4999</v>
      </c>
      <c r="G10" s="16" t="s">
        <v>636</v>
      </c>
      <c r="H10" s="18">
        <f>MAX(0,100-(C19*300)-(IF(C36&lt;3,30,0)))</f>
        <v>94</v>
      </c>
    </row>
    <row r="11" spans="2:8" ht="14.25" customHeight="1" x14ac:dyDescent="0.45">
      <c r="B11" s="16" t="s">
        <v>637</v>
      </c>
      <c r="C11" s="21">
        <f>C10*(1-C9)</f>
        <v>3999.2000000000003</v>
      </c>
      <c r="G11" s="16" t="s">
        <v>638</v>
      </c>
      <c r="H11" s="22">
        <f>ROUND(AVERAGE(H7:H10),0)</f>
        <v>98</v>
      </c>
    </row>
    <row r="12" spans="2:8" ht="14.25" customHeight="1" x14ac:dyDescent="0.45">
      <c r="B12" s="23"/>
      <c r="C12" s="23"/>
      <c r="G12" s="16" t="s">
        <v>639</v>
      </c>
      <c r="H12" s="24" t="str">
        <f>IF(C26&lt;=0,"❌ Avoid Product",IF(H11&gt;=80,"✅ Test / Scale",IF(H11&gt;=60,"⚠️ Optimize First","❌ Avoid / Rework")))</f>
        <v>✅ Test / Scale</v>
      </c>
    </row>
    <row r="13" spans="2:8" ht="15" customHeight="1" x14ac:dyDescent="0.45">
      <c r="B13" s="2" t="s">
        <v>640</v>
      </c>
      <c r="C13" s="2"/>
      <c r="D13" s="2"/>
      <c r="E13" s="2"/>
      <c r="G13" s="16" t="s">
        <v>641</v>
      </c>
      <c r="H13" s="24" t="str">
        <f>IF(C34&gt;=C40,"✅ Above break-even","⚠️ Below break-even")</f>
        <v>✅ Above break-even</v>
      </c>
    </row>
    <row r="14" spans="2:8" ht="14.25" customHeight="1" x14ac:dyDescent="0.45">
      <c r="B14" s="16" t="e">
        <f>IF(SelectedIndustry="SaaS","Cost to Serve per Unit ($)",IF(SelectedIndustry="Retail","COGS per Unit ($)","Product Cost per Unit ($)"))</f>
        <v>#REF!</v>
      </c>
      <c r="C14" s="25">
        <v>15</v>
      </c>
      <c r="G14" s="23"/>
      <c r="H14" s="23"/>
    </row>
    <row r="15" spans="2:8" ht="14.25" customHeight="1" x14ac:dyDescent="0.45">
      <c r="B15" s="16" t="e">
        <f>IF(SelectedIndustry="SaaS","Infrastructure Cost per Unit ($)",IF(SelectedIndustry="Retail","Fulfillment Cost per Unit ($)","Shipping Cost per Unit ($)"))</f>
        <v>#REF!</v>
      </c>
      <c r="C15" s="25">
        <v>5</v>
      </c>
      <c r="G15" s="26" t="s">
        <v>642</v>
      </c>
      <c r="H15" s="23"/>
    </row>
    <row r="16" spans="2:8" ht="15" customHeight="1" x14ac:dyDescent="0.45">
      <c r="B16" s="16" t="s">
        <v>643</v>
      </c>
      <c r="C16" s="19">
        <v>0.03</v>
      </c>
      <c r="G16" s="1" t="s">
        <v>644</v>
      </c>
      <c r="H16" s="1"/>
    </row>
    <row r="17" spans="2:8" ht="14.25" customHeight="1" x14ac:dyDescent="0.45">
      <c r="B17" s="16" t="e">
        <f>IF(SelectedIndustry="SaaS","Growth Spend ($)",IF(SelectedIndustry="Retail","Marketing Spend ($)","Ad Spend ($)"))</f>
        <v>#REF!</v>
      </c>
      <c r="C17" s="25">
        <v>300</v>
      </c>
      <c r="G17" s="1"/>
      <c r="H17" s="1"/>
    </row>
    <row r="18" spans="2:8" ht="14.25" customHeight="1" x14ac:dyDescent="0.45">
      <c r="B18" s="16" t="s">
        <v>645</v>
      </c>
      <c r="C18" s="25">
        <v>50</v>
      </c>
      <c r="G18" s="1"/>
      <c r="H18" s="1"/>
    </row>
    <row r="19" spans="2:8" ht="14.25" customHeight="1" x14ac:dyDescent="0.45">
      <c r="B19" s="16" t="e">
        <f>IF(SelectedIndustry="SaaS","Churn Rate %",IF(SelectedIndustry="Retail","Return Rate %","Refund / Return Rate %"))</f>
        <v>#REF!</v>
      </c>
      <c r="C19" s="19">
        <v>0.02</v>
      </c>
      <c r="G19" s="23"/>
      <c r="H19" s="23"/>
    </row>
    <row r="20" spans="2:8" ht="14.25" customHeight="1" x14ac:dyDescent="0.45">
      <c r="B20" s="16" t="e">
        <f>IF(SelectedIndustry="SaaS","Churn Revenue Loss ($)",IF(SelectedIndustry="Retail","Return Handling Cost ($)","Refund Cost Estimate ($)"))</f>
        <v>#REF!</v>
      </c>
      <c r="C20" s="21">
        <f>C10*C19</f>
        <v>99.98</v>
      </c>
      <c r="G20" s="23"/>
      <c r="H20" s="23"/>
    </row>
    <row r="21" spans="2:8" ht="14.25" customHeight="1" x14ac:dyDescent="0.45">
      <c r="B21" s="16" t="s">
        <v>646</v>
      </c>
      <c r="C21" s="21">
        <f>((C14+C15)*C8)+(C16*C10)+C17+C18+C20</f>
        <v>2599.9499999999998</v>
      </c>
      <c r="G21" s="23"/>
      <c r="H21" s="23"/>
    </row>
    <row r="22" spans="2:8" ht="14.25" customHeight="1" x14ac:dyDescent="0.45">
      <c r="B22" s="23"/>
      <c r="C22" s="23"/>
      <c r="G22" s="23"/>
      <c r="H22" s="23"/>
    </row>
    <row r="23" spans="2:8" ht="15" customHeight="1" x14ac:dyDescent="0.45">
      <c r="B23" s="2" t="s">
        <v>647</v>
      </c>
      <c r="C23" s="2"/>
      <c r="D23" s="2"/>
      <c r="E23" s="2"/>
      <c r="G23" s="23"/>
      <c r="H23" s="23"/>
    </row>
    <row r="24" spans="2:8" ht="14.25" customHeight="1" x14ac:dyDescent="0.45">
      <c r="B24" s="16" t="e">
        <f>IF(SelectedIndustry="SaaS","Gross Margin Before Growth Spend ($)",IF(SelectedIndustry="Retail","Gross Profit Before Ads ($)","Contribution Margin Before Ads ($)"))</f>
        <v>#REF!</v>
      </c>
      <c r="C24" s="27">
        <f>C7-C14-C15-(C16*C7)-(C19*C7)</f>
        <v>27.490500000000001</v>
      </c>
      <c r="G24" s="23"/>
      <c r="H24" s="23"/>
    </row>
    <row r="25" spans="2:8" ht="14.25" customHeight="1" x14ac:dyDescent="0.45">
      <c r="B25" s="16" t="s">
        <v>648</v>
      </c>
      <c r="C25" s="28">
        <f>IF(C7=0,0,C24/C7)</f>
        <v>0.54991998399679931</v>
      </c>
      <c r="G25" s="23"/>
      <c r="H25" s="23"/>
    </row>
    <row r="26" spans="2:8" ht="14.25" customHeight="1" x14ac:dyDescent="0.45">
      <c r="B26" s="16" t="s">
        <v>649</v>
      </c>
      <c r="C26" s="27">
        <f>C10-C21</f>
        <v>2399.0500000000002</v>
      </c>
      <c r="G26" s="23"/>
      <c r="H26" s="23"/>
    </row>
    <row r="27" spans="2:8" ht="14.25" customHeight="1" x14ac:dyDescent="0.45">
      <c r="B27" s="16" t="s">
        <v>650</v>
      </c>
      <c r="C27" s="28">
        <f>IF(C10=0,0,C26/C10)</f>
        <v>0.47990598119623928</v>
      </c>
      <c r="G27" s="23"/>
      <c r="H27" s="23"/>
    </row>
    <row r="28" spans="2:8" ht="14.25" customHeight="1" x14ac:dyDescent="0.45">
      <c r="B28" s="16" t="s">
        <v>651</v>
      </c>
      <c r="C28" s="27">
        <f>IF(C8=0,0,C26/C8)</f>
        <v>23.990500000000001</v>
      </c>
      <c r="G28" s="23"/>
      <c r="H28" s="23"/>
    </row>
    <row r="29" spans="2:8" ht="14.25" customHeight="1" x14ac:dyDescent="0.45">
      <c r="B29" s="23"/>
      <c r="C29" s="23"/>
      <c r="G29" s="23"/>
      <c r="H29" s="23"/>
    </row>
    <row r="30" spans="2:8" ht="15" customHeight="1" x14ac:dyDescent="0.45">
      <c r="B30" s="2" t="s">
        <v>652</v>
      </c>
      <c r="C30" s="2"/>
      <c r="D30" s="2"/>
      <c r="E30" s="2"/>
      <c r="G30" s="23"/>
      <c r="H30" s="23"/>
    </row>
    <row r="31" spans="2:8" ht="14.25" customHeight="1" x14ac:dyDescent="0.45">
      <c r="B31" s="16" t="s">
        <v>653</v>
      </c>
      <c r="C31" s="17">
        <v>40</v>
      </c>
      <c r="G31" s="23"/>
      <c r="H31" s="23"/>
    </row>
    <row r="32" spans="2:8" ht="14.25" customHeight="1" x14ac:dyDescent="0.45">
      <c r="B32" s="16" t="s">
        <v>654</v>
      </c>
      <c r="C32" s="18">
        <f>C7</f>
        <v>49.99</v>
      </c>
      <c r="G32" s="23"/>
      <c r="H32" s="23"/>
    </row>
    <row r="33" spans="2:8" ht="14.25" customHeight="1" x14ac:dyDescent="0.45">
      <c r="B33" s="16" t="e">
        <f>IF(SelectedIndustry="SaaS","LTV / MRR Ratio ($)",IF(SelectedIndustry="Retail","Customer Lifetime Value / LTV ($)","Customer Lifetime Value / LTV ($)"))</f>
        <v>#REF!</v>
      </c>
      <c r="C33" s="18">
        <f>C7*3</f>
        <v>149.97</v>
      </c>
      <c r="G33" s="23"/>
      <c r="H33" s="23"/>
    </row>
    <row r="34" spans="2:8" ht="14.25" customHeight="1" x14ac:dyDescent="0.45">
      <c r="B34" s="16" t="e">
        <f>IF(SelectedIndustry="SaaS","CAC Payback Ratio",IF(SelectedIndustry="Retail","ROAS from Paid Ads","ROAS from Paid Ads"))</f>
        <v>#REF!</v>
      </c>
      <c r="C34" s="29">
        <f>IF(C17=0,0,C11/C17)</f>
        <v>13.330666666666668</v>
      </c>
      <c r="G34" s="23"/>
      <c r="H34" s="23"/>
    </row>
    <row r="35" spans="2:8" ht="14.25" customHeight="1" x14ac:dyDescent="0.45">
      <c r="B35" s="16" t="s">
        <v>655</v>
      </c>
      <c r="C35" s="27">
        <f>IF(C31=0,0,C17/C31)</f>
        <v>7.5</v>
      </c>
      <c r="G35" s="23"/>
      <c r="H35" s="23"/>
    </row>
    <row r="36" spans="2:8" ht="14.25" customHeight="1" x14ac:dyDescent="0.45">
      <c r="B36" s="16" t="s">
        <v>656</v>
      </c>
      <c r="C36" s="29">
        <f>IF(C35=0,0,C33/C35)</f>
        <v>19.995999999999999</v>
      </c>
      <c r="G36" s="23"/>
      <c r="H36" s="23"/>
    </row>
    <row r="37" spans="2:8" ht="14.25" customHeight="1" x14ac:dyDescent="0.45">
      <c r="B37" s="23"/>
      <c r="C37" s="23"/>
      <c r="G37" s="23"/>
      <c r="H37" s="23"/>
    </row>
    <row r="38" spans="2:8" ht="15" customHeight="1" x14ac:dyDescent="0.45">
      <c r="B38" s="2" t="s">
        <v>657</v>
      </c>
      <c r="C38" s="2"/>
      <c r="D38" s="2"/>
      <c r="E38" s="2"/>
      <c r="G38" s="23"/>
      <c r="H38" s="23"/>
    </row>
    <row r="39" spans="2:8" ht="14.25" customHeight="1" x14ac:dyDescent="0.45">
      <c r="B39" s="16" t="s">
        <v>658</v>
      </c>
      <c r="C39" s="30">
        <f>MAX(0,C24)</f>
        <v>27.490500000000001</v>
      </c>
      <c r="G39" s="23"/>
      <c r="H39" s="23"/>
    </row>
    <row r="40" spans="2:8" ht="14.25" customHeight="1" x14ac:dyDescent="0.45">
      <c r="B40" s="16" t="s">
        <v>659</v>
      </c>
      <c r="C40" s="31">
        <f>IF(C24&lt;=0,"N/A",C7/C24)</f>
        <v>1.818446372383187</v>
      </c>
      <c r="G40" s="23"/>
      <c r="H40" s="23"/>
    </row>
    <row r="41" spans="2:8" ht="14.25" customHeight="1" x14ac:dyDescent="0.45">
      <c r="B41" s="16" t="s">
        <v>660</v>
      </c>
      <c r="C41" s="30">
        <f>MAX(0,C24)</f>
        <v>27.490500000000001</v>
      </c>
      <c r="G41" s="23"/>
      <c r="H41" s="23"/>
    </row>
    <row r="42" spans="2:8" ht="14.25" customHeight="1" x14ac:dyDescent="0.45">
      <c r="B42" s="16" t="s">
        <v>661</v>
      </c>
      <c r="C42" s="32">
        <f>IF(C24&lt;=0,"N/A",CEILING((C17+C18)/C24,1))</f>
        <v>13</v>
      </c>
      <c r="G42" s="23"/>
      <c r="H42" s="23"/>
    </row>
    <row r="43" spans="2:8" ht="14.25" customHeight="1" x14ac:dyDescent="0.45">
      <c r="B43" s="16" t="s">
        <v>662</v>
      </c>
      <c r="C43" s="30">
        <f>IF(ISNUMBER(C42),C42*C7,"N/A")</f>
        <v>649.87</v>
      </c>
      <c r="G43" s="23"/>
      <c r="H43" s="23"/>
    </row>
  </sheetData>
  <mergeCells count="7">
    <mergeCell ref="B30:E30"/>
    <mergeCell ref="B38:E38"/>
    <mergeCell ref="B2:H3"/>
    <mergeCell ref="B6:E6"/>
    <mergeCell ref="B13:E13"/>
    <mergeCell ref="G16:H18"/>
    <mergeCell ref="B23:E23"/>
  </mergeCells>
  <conditionalFormatting sqref="C26">
    <cfRule type="cellIs" dxfId="11" priority="4" operator="lessThan">
      <formula>0</formula>
    </cfRule>
    <cfRule type="cellIs" dxfId="10" priority="5" operator="greaterThan">
      <formula>0</formula>
    </cfRule>
  </conditionalFormatting>
  <conditionalFormatting sqref="H11">
    <cfRule type="dataBar" priority="2">
      <dataBar>
        <cfvo type="num" val="0"/>
        <cfvo type="num" val="100"/>
        <color rgb="FF00A6A6"/>
      </dataBar>
      <extLst>
        <ext xmlns:x14="http://schemas.microsoft.com/office/spreadsheetml/2009/9/main" uri="{B025F937-C7B1-47D3-B67F-A62EFF666E3E}">
          <x14:id>{3194389A-637E-4EDC-A0E5-34B4956BBFB0}</x14:id>
        </ext>
      </extLst>
    </cfRule>
    <cfRule type="dataBar" priority="3">
      <dataBar>
        <cfvo type="num" val="0"/>
        <cfvo type="num" val="100"/>
        <color rgb="FF00A6A6"/>
      </dataBar>
      <extLst>
        <ext xmlns:x14="http://schemas.microsoft.com/office/spreadsheetml/2009/9/main" uri="{B025F937-C7B1-47D3-B67F-A62EFF666E3E}">
          <x14:id>{B9A35D56-903D-4530-8A70-2510A3D4BD53}</x14:id>
        </ext>
      </extLst>
    </cfRule>
  </conditionalFormatting>
  <conditionalFormatting sqref="H12">
    <cfRule type="expression" dxfId="9" priority="6">
      <formula>ISNUMBER(SEARCH("Scale",H12))</formula>
    </cfRule>
    <cfRule type="expression" dxfId="8" priority="7">
      <formula>ISNUMBER(SEARCH("Optimize",H12))</formula>
    </cfRule>
    <cfRule type="expression" dxfId="7" priority="8">
      <formula>ISNUMBER(SEARCH("Avoid",H12))</formula>
    </cfRule>
  </conditionalFormatting>
  <dataValidations count="1">
    <dataValidation type="decimal" allowBlank="1" errorTitle="Invalid percentage" error="Enter a percentage between 0% and 100%." sqref="C9 C16 C19" xr:uid="{00000000-0002-0000-0400-000000000000}">
      <formula1>0</formula1>
      <formula2>1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94389A-637E-4EDC-A0E5-34B4956BBFB0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00A6A6"/>
            </x14:dataBar>
          </x14:cfRule>
          <x14:cfRule type="dataBar" id="{B9A35D56-903D-4530-8A70-2510A3D4BD53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00A6A6"/>
            </x14:dataBar>
          </x14:cfRule>
          <xm:sqref>H11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1"/>
  <sheetViews>
    <sheetView showGridLines="0" zoomScaleNormal="100" workbookViewId="0">
      <selection activeCell="F32" sqref="F32"/>
    </sheetView>
  </sheetViews>
  <sheetFormatPr defaultColWidth="8.6640625" defaultRowHeight="14.25" x14ac:dyDescent="0.45"/>
  <cols>
    <col min="1" max="1" width="3" customWidth="1"/>
    <col min="2" max="2" width="34" customWidth="1"/>
    <col min="3" max="7" width="18" customWidth="1"/>
  </cols>
  <sheetData>
    <row r="2" spans="2:7" ht="14.25" customHeight="1" x14ac:dyDescent="0.45">
      <c r="B2" s="4" t="s">
        <v>663</v>
      </c>
      <c r="C2" s="4"/>
      <c r="D2" s="4"/>
      <c r="E2" s="4"/>
      <c r="F2" s="4"/>
      <c r="G2" s="4"/>
    </row>
    <row r="3" spans="2:7" ht="14.25" customHeight="1" x14ac:dyDescent="0.45">
      <c r="B3" s="4"/>
      <c r="C3" s="4"/>
      <c r="D3" s="4"/>
      <c r="E3" s="4"/>
      <c r="F3" s="4"/>
      <c r="G3" s="4"/>
    </row>
    <row r="5" spans="2:7" ht="14.25" customHeight="1" x14ac:dyDescent="0.45">
      <c r="B5" s="33" t="s">
        <v>664</v>
      </c>
      <c r="C5" s="33" t="s">
        <v>665</v>
      </c>
      <c r="D5" s="33" t="s">
        <v>666</v>
      </c>
      <c r="E5" s="33" t="s">
        <v>667</v>
      </c>
      <c r="F5" s="33" t="s">
        <v>668</v>
      </c>
    </row>
    <row r="6" spans="2:7" ht="14.25" customHeight="1" x14ac:dyDescent="0.45">
      <c r="B6" s="16" t="s">
        <v>669</v>
      </c>
      <c r="C6" s="21">
        <f>'Profit Calculator'!C7</f>
        <v>49.99</v>
      </c>
      <c r="D6" s="25">
        <v>49.99</v>
      </c>
      <c r="E6" s="25">
        <v>49.99</v>
      </c>
      <c r="F6" s="25">
        <v>49.99</v>
      </c>
    </row>
    <row r="7" spans="2:7" ht="14.25" customHeight="1" x14ac:dyDescent="0.45">
      <c r="B7" s="16" t="s">
        <v>670</v>
      </c>
      <c r="C7" s="21">
        <f>'Profit Calculator'!C14</f>
        <v>15</v>
      </c>
      <c r="D7" s="25">
        <v>15</v>
      </c>
      <c r="E7" s="25">
        <v>15</v>
      </c>
      <c r="F7" s="25">
        <v>16</v>
      </c>
    </row>
    <row r="8" spans="2:7" ht="14.25" customHeight="1" x14ac:dyDescent="0.45">
      <c r="B8" s="16" t="s">
        <v>671</v>
      </c>
      <c r="C8" s="21">
        <f>'Profit Calculator'!C15</f>
        <v>5</v>
      </c>
      <c r="D8" s="25">
        <v>5</v>
      </c>
      <c r="E8" s="25">
        <v>6</v>
      </c>
      <c r="F8" s="25">
        <v>6</v>
      </c>
    </row>
    <row r="9" spans="2:7" ht="14.25" customHeight="1" x14ac:dyDescent="0.45">
      <c r="B9" s="16" t="s">
        <v>43</v>
      </c>
      <c r="C9" s="34">
        <f>'Profit Calculator'!C16</f>
        <v>0.03</v>
      </c>
      <c r="D9" s="19">
        <v>0.03</v>
      </c>
      <c r="E9" s="19">
        <v>0.03</v>
      </c>
      <c r="F9" s="19">
        <v>3.5000000000000003E-2</v>
      </c>
    </row>
    <row r="10" spans="2:7" ht="14.25" customHeight="1" x14ac:dyDescent="0.45">
      <c r="B10" s="16" t="s">
        <v>0</v>
      </c>
      <c r="C10" s="21">
        <f>'Profit Calculator'!C17</f>
        <v>300</v>
      </c>
      <c r="D10" s="25">
        <v>300</v>
      </c>
      <c r="E10" s="25">
        <v>500</v>
      </c>
      <c r="F10" s="25">
        <v>800</v>
      </c>
    </row>
    <row r="11" spans="2:7" ht="14.25" customHeight="1" x14ac:dyDescent="0.45">
      <c r="B11" s="16" t="s">
        <v>672</v>
      </c>
      <c r="C11" s="18">
        <f>'Profit Calculator'!C8</f>
        <v>100</v>
      </c>
      <c r="D11" s="17">
        <v>100</v>
      </c>
      <c r="E11" s="17">
        <v>150</v>
      </c>
      <c r="F11" s="17">
        <v>220</v>
      </c>
    </row>
    <row r="12" spans="2:7" ht="14.25" customHeight="1" x14ac:dyDescent="0.45">
      <c r="B12" s="16" t="s">
        <v>633</v>
      </c>
      <c r="C12" s="34">
        <f>'Profit Calculator'!C9</f>
        <v>0.2</v>
      </c>
      <c r="D12" s="19">
        <v>0.2</v>
      </c>
      <c r="E12" s="19">
        <v>0.15</v>
      </c>
      <c r="F12" s="19">
        <v>0.1</v>
      </c>
    </row>
    <row r="13" spans="2:7" ht="14.25" customHeight="1" x14ac:dyDescent="0.45">
      <c r="B13" s="16" t="s">
        <v>673</v>
      </c>
      <c r="C13" s="27">
        <f>C6*C11</f>
        <v>4999</v>
      </c>
      <c r="D13" s="27">
        <f>D6*D11</f>
        <v>4999</v>
      </c>
      <c r="E13" s="27">
        <f>E6*E11</f>
        <v>7498.5</v>
      </c>
      <c r="F13" s="27">
        <f>F6*F11</f>
        <v>10997.800000000001</v>
      </c>
    </row>
    <row r="14" spans="2:7" ht="14.25" customHeight="1" x14ac:dyDescent="0.45">
      <c r="B14" s="16" t="s">
        <v>674</v>
      </c>
      <c r="C14" s="27">
        <f>C13*(1-C12)</f>
        <v>3999.2000000000003</v>
      </c>
      <c r="D14" s="27">
        <f>D13*(1-D12)</f>
        <v>3999.2000000000003</v>
      </c>
      <c r="E14" s="27">
        <f>E13*(1-E12)</f>
        <v>6373.7249999999995</v>
      </c>
      <c r="F14" s="27">
        <f>F13*(1-F12)</f>
        <v>9898.02</v>
      </c>
    </row>
    <row r="15" spans="2:7" ht="14.25" customHeight="1" x14ac:dyDescent="0.45">
      <c r="B15" s="16" t="s">
        <v>1</v>
      </c>
      <c r="C15" s="27">
        <f>C6-C7-C8-(C9*C6)</f>
        <v>28.490300000000001</v>
      </c>
      <c r="D15" s="27">
        <f>D6-D7-D8-(D9*D6)</f>
        <v>28.490300000000001</v>
      </c>
      <c r="E15" s="27">
        <f>E6-E7-E8-(E9*E6)</f>
        <v>27.490300000000001</v>
      </c>
      <c r="F15" s="27">
        <f>F6-F7-F8-(F9*F6)</f>
        <v>26.240350000000003</v>
      </c>
    </row>
    <row r="16" spans="2:7" ht="14.25" customHeight="1" x14ac:dyDescent="0.45">
      <c r="B16" s="16" t="s">
        <v>646</v>
      </c>
      <c r="C16" s="27">
        <f>((C7+C8)*C11)+(C9*C13)+C10</f>
        <v>2449.9699999999998</v>
      </c>
      <c r="D16" s="27">
        <f>((D7+D8)*D11)+(D9*D13)+D10</f>
        <v>2449.9699999999998</v>
      </c>
      <c r="E16" s="27">
        <f>((E7+E8)*E11)+(E9*E13)+E10</f>
        <v>3874.9549999999999</v>
      </c>
      <c r="F16" s="27">
        <f>((F7+F8)*F11)+(F9*F13)+F10</f>
        <v>6024.9229999999998</v>
      </c>
    </row>
    <row r="17" spans="2:6" ht="14.25" customHeight="1" x14ac:dyDescent="0.45">
      <c r="B17" s="16" t="s">
        <v>649</v>
      </c>
      <c r="C17" s="27">
        <f>C13-C16</f>
        <v>2549.0300000000002</v>
      </c>
      <c r="D17" s="27">
        <f>D13-D16</f>
        <v>2549.0300000000002</v>
      </c>
      <c r="E17" s="27">
        <f>E13-E16</f>
        <v>3623.5450000000001</v>
      </c>
      <c r="F17" s="27">
        <f>F13-F16</f>
        <v>4972.8770000000013</v>
      </c>
    </row>
    <row r="18" spans="2:6" ht="14.25" customHeight="1" x14ac:dyDescent="0.45">
      <c r="B18" s="16" t="s">
        <v>675</v>
      </c>
      <c r="C18" s="28">
        <f>IF(C13=0,0,C17/C13)</f>
        <v>0.50990798159631934</v>
      </c>
      <c r="D18" s="28">
        <f>IF(D13=0,0,D17/D13)</f>
        <v>0.50990798159631934</v>
      </c>
      <c r="E18" s="28">
        <f>IF(E13=0,0,E17/E13)</f>
        <v>0.48323598052943922</v>
      </c>
      <c r="F18" s="28">
        <f>IF(F13=0,0,F17/F13)</f>
        <v>0.45217016130498833</v>
      </c>
    </row>
    <row r="19" spans="2:6" ht="14.25" customHeight="1" x14ac:dyDescent="0.45">
      <c r="B19" s="16" t="s">
        <v>55</v>
      </c>
      <c r="C19" s="29">
        <f>IF(C10=0,0,C14/C10)</f>
        <v>13.330666666666668</v>
      </c>
      <c r="D19" s="29">
        <f>IF(D10=0,0,D14/D10)</f>
        <v>13.330666666666668</v>
      </c>
      <c r="E19" s="29">
        <f>IF(E10=0,0,E14/E10)</f>
        <v>12.747449999999999</v>
      </c>
      <c r="F19" s="29">
        <f>IF(F10=0,0,F14/F10)</f>
        <v>12.372525000000001</v>
      </c>
    </row>
    <row r="20" spans="2:6" ht="14.25" customHeight="1" x14ac:dyDescent="0.45">
      <c r="B20" s="16" t="s">
        <v>676</v>
      </c>
      <c r="C20" s="29">
        <f>IF(C15&lt;=0,"N/A",C6/C15)</f>
        <v>1.7546322783543873</v>
      </c>
      <c r="D20" s="29">
        <f>IF(D15&lt;=0,"N/A",D6/D15)</f>
        <v>1.7546322783543873</v>
      </c>
      <c r="E20" s="29">
        <f>IF(E15&lt;=0,"N/A",E6/E15)</f>
        <v>1.8184596021142003</v>
      </c>
      <c r="F20" s="29">
        <f>IF(F15&lt;=0,"N/A",F6/F15)</f>
        <v>1.9050812965528279</v>
      </c>
    </row>
    <row r="21" spans="2:6" ht="14.25" customHeight="1" x14ac:dyDescent="0.45">
      <c r="B21" s="16" t="s">
        <v>677</v>
      </c>
      <c r="C21" s="35" t="str">
        <f>IF(C17&gt;0,IF(C19&gt;=C20,"Good","Risky")," Loss")</f>
        <v>Good</v>
      </c>
      <c r="D21" s="35" t="str">
        <f>IF(D17&gt;0,IF(D19&gt;=D20,"Good","Risky"),"Loss")</f>
        <v>Good</v>
      </c>
      <c r="E21" s="35" t="str">
        <f>IF(E17&gt;0,IF(E19&gt;=E20,"Good","Risky"),"Loss")</f>
        <v>Good</v>
      </c>
      <c r="F21" s="35" t="str">
        <f>IF(F17&gt;0,IF(F19&gt;=F20,"Good","Risky"),"Loss")</f>
        <v>Good</v>
      </c>
    </row>
  </sheetData>
  <mergeCells count="1">
    <mergeCell ref="B2:G3"/>
  </mergeCells>
  <conditionalFormatting sqref="C21:F21">
    <cfRule type="expression" dxfId="6" priority="2">
      <formula>ISNUMBER(SEARCH("Good",C21))</formula>
    </cfRule>
    <cfRule type="expression" dxfId="5" priority="3">
      <formula>ISNUMBER(SEARCH("Risky",C21))</formula>
    </cfRule>
    <cfRule type="expression" dxfId="4" priority="4">
      <formula>ISNUMBER(SEARCH("Loss",C21))</formula>
    </cfRule>
  </conditionalFormatting>
  <dataValidations count="1">
    <dataValidation type="decimal" allowBlank="1" errorTitle="Invalid percentage" error="Enter a percentage between 0% and 100%." sqref="D9:F9 D12:F12" xr:uid="{00000000-0002-0000-0500-000000000000}">
      <formula1>0</formula1>
      <formula2>1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22"/>
  <sheetViews>
    <sheetView showGridLines="0" zoomScaleNormal="100" workbookViewId="0">
      <selection activeCell="F6" sqref="F6"/>
    </sheetView>
  </sheetViews>
  <sheetFormatPr defaultColWidth="8.6640625" defaultRowHeight="14.25" x14ac:dyDescent="0.45"/>
  <cols>
    <col min="1" max="1" width="3" customWidth="1"/>
    <col min="2" max="2" width="22" customWidth="1"/>
    <col min="3" max="6" width="18" customWidth="1"/>
    <col min="7" max="7" width="4" customWidth="1"/>
    <col min="8" max="8" width="26" customWidth="1"/>
    <col min="9" max="10" width="18" customWidth="1"/>
  </cols>
  <sheetData>
    <row r="2" spans="2:10" ht="14.25" customHeight="1" x14ac:dyDescent="0.45">
      <c r="B2" s="4" t="s">
        <v>678</v>
      </c>
      <c r="C2" s="4"/>
      <c r="D2" s="4"/>
      <c r="E2" s="4"/>
      <c r="F2" s="4"/>
      <c r="G2" s="4"/>
      <c r="H2" s="4"/>
      <c r="I2" s="4"/>
      <c r="J2" s="4"/>
    </row>
    <row r="3" spans="2:10" ht="14.25" customHeight="1" x14ac:dyDescent="0.45">
      <c r="B3" s="4"/>
      <c r="C3" s="4"/>
      <c r="D3" s="4"/>
      <c r="E3" s="4"/>
      <c r="F3" s="4"/>
      <c r="G3" s="4"/>
      <c r="H3" s="4"/>
      <c r="I3" s="4"/>
      <c r="J3" s="4"/>
    </row>
    <row r="5" spans="2:10" ht="14.25" customHeight="1" x14ac:dyDescent="0.45">
      <c r="B5" s="33" t="s">
        <v>46</v>
      </c>
      <c r="D5" s="33" t="s">
        <v>53</v>
      </c>
      <c r="F5" s="33" t="s">
        <v>55</v>
      </c>
      <c r="H5" s="33" t="s">
        <v>679</v>
      </c>
    </row>
    <row r="6" spans="2:10" ht="17.25" customHeight="1" x14ac:dyDescent="0.45">
      <c r="B6" s="36">
        <f>'Profit Calculator'!C10</f>
        <v>4999</v>
      </c>
      <c r="D6" s="36">
        <f>'Profit Calculator'!C26</f>
        <v>2399.0500000000002</v>
      </c>
      <c r="F6" s="37">
        <f>'Profit Calculator'!C34</f>
        <v>13.330666666666668</v>
      </c>
      <c r="H6" s="38">
        <f>'Profit Calculator'!H11</f>
        <v>98</v>
      </c>
    </row>
    <row r="9" spans="2:10" ht="15" customHeight="1" x14ac:dyDescent="0.45">
      <c r="B9" s="3" t="s">
        <v>680</v>
      </c>
      <c r="C9" s="3"/>
      <c r="D9" s="3"/>
      <c r="E9" s="3"/>
    </row>
    <row r="10" spans="2:10" ht="14.25" customHeight="1" x14ac:dyDescent="0.45">
      <c r="B10" s="16" t="s">
        <v>639</v>
      </c>
      <c r="C10" s="35" t="str">
        <f>'Profit Calculator'!H12</f>
        <v>✅ Test / Scale</v>
      </c>
    </row>
    <row r="11" spans="2:10" ht="14.25" customHeight="1" x14ac:dyDescent="0.45">
      <c r="B11" s="16" t="s">
        <v>681</v>
      </c>
      <c r="C11" s="35" t="str">
        <f>'Profit Calculator'!H13</f>
        <v>✅ Above break-even</v>
      </c>
    </row>
    <row r="12" spans="2:10" ht="14.25" customHeight="1" x14ac:dyDescent="0.45">
      <c r="B12" s="16" t="s">
        <v>676</v>
      </c>
      <c r="C12" s="29">
        <f>'Profit Calculator'!C40</f>
        <v>1.818446372383187</v>
      </c>
    </row>
    <row r="13" spans="2:10" ht="14.25" customHeight="1" x14ac:dyDescent="0.45">
      <c r="B13" s="16" t="s">
        <v>682</v>
      </c>
      <c r="C13" s="27">
        <f>'Profit Calculator'!C41</f>
        <v>27.490500000000001</v>
      </c>
    </row>
    <row r="14" spans="2:10" ht="14.25" customHeight="1" x14ac:dyDescent="0.45">
      <c r="B14" s="16" t="s">
        <v>675</v>
      </c>
      <c r="C14" s="28">
        <f>'Profit Calculator'!C27</f>
        <v>0.47990598119623928</v>
      </c>
    </row>
    <row r="15" spans="2:10" ht="14.25" customHeight="1" x14ac:dyDescent="0.45">
      <c r="B15" s="16" t="s">
        <v>683</v>
      </c>
      <c r="C15" s="29">
        <f>'Profit Calculator'!C36</f>
        <v>19.995999999999999</v>
      </c>
    </row>
    <row r="18" spans="2:3" ht="14.25" customHeight="1" x14ac:dyDescent="0.45">
      <c r="B18" s="6" t="s">
        <v>664</v>
      </c>
      <c r="C18" s="6" t="s">
        <v>684</v>
      </c>
    </row>
    <row r="19" spans="2:3" ht="14.25" customHeight="1" x14ac:dyDescent="0.45">
      <c r="B19" s="6" t="s">
        <v>46</v>
      </c>
      <c r="C19" s="39">
        <f>'Profit Calculator'!C10</f>
        <v>4999</v>
      </c>
    </row>
    <row r="20" spans="2:3" ht="14.25" customHeight="1" x14ac:dyDescent="0.45">
      <c r="B20" s="6" t="s">
        <v>685</v>
      </c>
      <c r="C20" s="39">
        <f>'Profit Calculator'!C21</f>
        <v>2599.9499999999998</v>
      </c>
    </row>
    <row r="21" spans="2:3" ht="14.25" customHeight="1" x14ac:dyDescent="0.45">
      <c r="B21" s="6" t="s">
        <v>53</v>
      </c>
      <c r="C21" s="39">
        <f>'Profit Calculator'!C26</f>
        <v>2399.0500000000002</v>
      </c>
    </row>
    <row r="22" spans="2:3" ht="14.25" customHeight="1" x14ac:dyDescent="0.45">
      <c r="B22" s="6" t="s">
        <v>686</v>
      </c>
      <c r="C22" s="39">
        <f>'Profit Calculator'!C17</f>
        <v>300</v>
      </c>
    </row>
  </sheetData>
  <mergeCells count="2">
    <mergeCell ref="B2:J3"/>
    <mergeCell ref="B9:E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A020-ABA4-430F-AFBF-8E3A9941026F}">
  <dimension ref="A1:S501"/>
  <sheetViews>
    <sheetView workbookViewId="0"/>
  </sheetViews>
  <sheetFormatPr defaultRowHeight="14.25" x14ac:dyDescent="0.45"/>
  <cols>
    <col min="1" max="1" width="10.46484375" bestFit="1" customWidth="1"/>
    <col min="2" max="2" width="18.59765625" bestFit="1" customWidth="1"/>
    <col min="3" max="3" width="10.19921875" bestFit="1" customWidth="1"/>
    <col min="4" max="4" width="10" bestFit="1" customWidth="1"/>
    <col min="5" max="5" width="14" bestFit="1" customWidth="1"/>
    <col min="6" max="6" width="7.6640625" bestFit="1" customWidth="1"/>
    <col min="7" max="7" width="9.19921875" bestFit="1" customWidth="1"/>
    <col min="8" max="8" width="7.19921875" bestFit="1" customWidth="1"/>
    <col min="9" max="9" width="10.06640625" bestFit="1" customWidth="1"/>
    <col min="10" max="10" width="13.265625" bestFit="1" customWidth="1"/>
    <col min="11" max="11" width="14.53125" bestFit="1" customWidth="1"/>
    <col min="12" max="12" width="10.59765625" bestFit="1" customWidth="1"/>
    <col min="13" max="13" width="12.46484375" bestFit="1" customWidth="1"/>
    <col min="14" max="14" width="12.796875" bestFit="1" customWidth="1"/>
    <col min="15" max="15" width="11" bestFit="1" customWidth="1"/>
    <col min="16" max="16" width="10.796875" bestFit="1" customWidth="1"/>
    <col min="17" max="17" width="10.53125" bestFit="1" customWidth="1"/>
    <col min="18" max="18" width="7.46484375" bestFit="1" customWidth="1"/>
    <col min="19" max="19" width="13.19921875" bestFit="1" customWidth="1"/>
  </cols>
  <sheetData>
    <row r="1" spans="1:19" x14ac:dyDescent="0.4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</row>
    <row r="2" spans="1:19" x14ac:dyDescent="0.45">
      <c r="A2" s="40" t="s">
        <v>64</v>
      </c>
      <c r="B2" s="40" t="s">
        <v>65</v>
      </c>
      <c r="C2">
        <v>36.229999999999997</v>
      </c>
      <c r="D2">
        <v>10.63</v>
      </c>
      <c r="E2">
        <v>3.93</v>
      </c>
      <c r="F2">
        <v>0.03</v>
      </c>
      <c r="G2">
        <v>18.350000000000001</v>
      </c>
      <c r="H2">
        <v>2</v>
      </c>
      <c r="I2">
        <v>72.459999999999994</v>
      </c>
      <c r="J2">
        <v>21.26</v>
      </c>
      <c r="K2">
        <v>7.86</v>
      </c>
      <c r="L2">
        <v>2.17</v>
      </c>
      <c r="M2" s="40" t="s">
        <v>66</v>
      </c>
      <c r="N2">
        <v>0</v>
      </c>
      <c r="O2">
        <v>49.64</v>
      </c>
      <c r="P2">
        <v>22.82</v>
      </c>
      <c r="Q2">
        <v>0.315</v>
      </c>
      <c r="R2">
        <v>3.95</v>
      </c>
      <c r="S2" s="40" t="s">
        <v>67</v>
      </c>
    </row>
    <row r="3" spans="1:19" x14ac:dyDescent="0.45">
      <c r="A3" s="40" t="s">
        <v>74</v>
      </c>
      <c r="B3" s="40" t="s">
        <v>75</v>
      </c>
      <c r="C3">
        <v>46.71</v>
      </c>
      <c r="D3">
        <v>13.78</v>
      </c>
      <c r="E3">
        <v>6</v>
      </c>
      <c r="F3">
        <v>0.03</v>
      </c>
      <c r="G3">
        <v>0</v>
      </c>
      <c r="H3">
        <v>3</v>
      </c>
      <c r="I3">
        <v>140.13</v>
      </c>
      <c r="J3">
        <v>41.34</v>
      </c>
      <c r="K3">
        <v>18</v>
      </c>
      <c r="L3">
        <v>4.2</v>
      </c>
      <c r="M3" s="40" t="s">
        <v>66</v>
      </c>
      <c r="N3">
        <v>0</v>
      </c>
      <c r="O3">
        <v>63.54</v>
      </c>
      <c r="P3">
        <v>76.59</v>
      </c>
      <c r="Q3">
        <v>0.54700000000000004</v>
      </c>
      <c r="R3">
        <v>0</v>
      </c>
      <c r="S3" s="40" t="s">
        <v>67</v>
      </c>
    </row>
    <row r="4" spans="1:19" x14ac:dyDescent="0.45">
      <c r="A4" s="40" t="s">
        <v>83</v>
      </c>
      <c r="B4" s="40" t="s">
        <v>84</v>
      </c>
      <c r="C4">
        <v>27.16</v>
      </c>
      <c r="D4">
        <v>5.99</v>
      </c>
      <c r="E4">
        <v>3.73</v>
      </c>
      <c r="F4">
        <v>0.03</v>
      </c>
      <c r="G4">
        <v>22.04</v>
      </c>
      <c r="H4">
        <v>3</v>
      </c>
      <c r="I4">
        <v>81.48</v>
      </c>
      <c r="J4">
        <v>17.97</v>
      </c>
      <c r="K4">
        <v>11.19</v>
      </c>
      <c r="L4">
        <v>2.44</v>
      </c>
      <c r="M4" s="40" t="s">
        <v>66</v>
      </c>
      <c r="N4">
        <v>0</v>
      </c>
      <c r="O4">
        <v>53.64</v>
      </c>
      <c r="P4">
        <v>27.84</v>
      </c>
      <c r="Q4">
        <v>0.34200000000000003</v>
      </c>
      <c r="R4">
        <v>3.7</v>
      </c>
      <c r="S4" s="40" t="s">
        <v>67</v>
      </c>
    </row>
    <row r="5" spans="1:19" x14ac:dyDescent="0.45">
      <c r="A5" s="40" t="s">
        <v>89</v>
      </c>
      <c r="B5" s="40" t="s">
        <v>90</v>
      </c>
      <c r="C5">
        <v>65.77</v>
      </c>
      <c r="D5">
        <v>21.01</v>
      </c>
      <c r="E5">
        <v>7.19</v>
      </c>
      <c r="F5">
        <v>0.03</v>
      </c>
      <c r="G5">
        <v>9.6199999999999992</v>
      </c>
      <c r="H5">
        <v>1</v>
      </c>
      <c r="I5">
        <v>65.77</v>
      </c>
      <c r="J5">
        <v>21.01</v>
      </c>
      <c r="K5">
        <v>7.19</v>
      </c>
      <c r="L5">
        <v>1.97</v>
      </c>
      <c r="M5" s="40" t="s">
        <v>66</v>
      </c>
      <c r="N5">
        <v>0</v>
      </c>
      <c r="O5">
        <v>39.79</v>
      </c>
      <c r="P5">
        <v>25.98</v>
      </c>
      <c r="Q5">
        <v>0.39500000000000002</v>
      </c>
      <c r="R5">
        <v>6.84</v>
      </c>
      <c r="S5" s="40" t="s">
        <v>67</v>
      </c>
    </row>
    <row r="6" spans="1:19" x14ac:dyDescent="0.45">
      <c r="A6" s="40" t="s">
        <v>74</v>
      </c>
      <c r="B6" s="40" t="s">
        <v>75</v>
      </c>
      <c r="C6">
        <v>41.33</v>
      </c>
      <c r="D6">
        <v>15.02</v>
      </c>
      <c r="E6">
        <v>7.07</v>
      </c>
      <c r="F6">
        <v>0.03</v>
      </c>
      <c r="G6">
        <v>27.25</v>
      </c>
      <c r="H6">
        <v>3</v>
      </c>
      <c r="I6">
        <v>123.99</v>
      </c>
      <c r="J6">
        <v>45.06</v>
      </c>
      <c r="K6">
        <v>21.21</v>
      </c>
      <c r="L6">
        <v>3.72</v>
      </c>
      <c r="M6" s="40" t="s">
        <v>66</v>
      </c>
      <c r="N6">
        <v>0</v>
      </c>
      <c r="O6">
        <v>97.24</v>
      </c>
      <c r="P6">
        <v>26.75</v>
      </c>
      <c r="Q6">
        <v>0.216</v>
      </c>
      <c r="R6">
        <v>4.55</v>
      </c>
      <c r="S6" s="40" t="s">
        <v>67</v>
      </c>
    </row>
    <row r="7" spans="1:19" x14ac:dyDescent="0.45">
      <c r="A7" s="40" t="s">
        <v>99</v>
      </c>
      <c r="B7" s="40" t="s">
        <v>100</v>
      </c>
      <c r="C7">
        <v>36.04</v>
      </c>
      <c r="D7">
        <v>8.56</v>
      </c>
      <c r="E7">
        <v>3.75</v>
      </c>
      <c r="F7">
        <v>0.03</v>
      </c>
      <c r="G7">
        <v>8.57</v>
      </c>
      <c r="H7">
        <v>1</v>
      </c>
      <c r="I7">
        <v>36.04</v>
      </c>
      <c r="J7">
        <v>8.56</v>
      </c>
      <c r="K7">
        <v>3.75</v>
      </c>
      <c r="L7">
        <v>1.08</v>
      </c>
      <c r="M7" s="40" t="s">
        <v>66</v>
      </c>
      <c r="N7">
        <v>0</v>
      </c>
      <c r="O7">
        <v>21.96</v>
      </c>
      <c r="P7">
        <v>14.08</v>
      </c>
      <c r="Q7">
        <v>0.39100000000000001</v>
      </c>
      <c r="R7">
        <v>4.21</v>
      </c>
      <c r="S7" s="40" t="s">
        <v>67</v>
      </c>
    </row>
    <row r="8" spans="1:19" x14ac:dyDescent="0.45">
      <c r="A8" s="40" t="s">
        <v>83</v>
      </c>
      <c r="B8" s="40" t="s">
        <v>84</v>
      </c>
      <c r="C8">
        <v>26.71</v>
      </c>
      <c r="D8">
        <v>6.12</v>
      </c>
      <c r="E8">
        <v>3.4</v>
      </c>
      <c r="F8">
        <v>0.03</v>
      </c>
      <c r="G8">
        <v>6.87</v>
      </c>
      <c r="H8">
        <v>1</v>
      </c>
      <c r="I8">
        <v>26.71</v>
      </c>
      <c r="J8">
        <v>6.12</v>
      </c>
      <c r="K8">
        <v>3.4</v>
      </c>
      <c r="L8">
        <v>0.8</v>
      </c>
      <c r="M8" s="40" t="s">
        <v>66</v>
      </c>
      <c r="N8">
        <v>0</v>
      </c>
      <c r="O8">
        <v>17.190000000000001</v>
      </c>
      <c r="P8">
        <v>9.52</v>
      </c>
      <c r="Q8">
        <v>0.35599999999999998</v>
      </c>
      <c r="R8">
        <v>3.89</v>
      </c>
      <c r="S8" s="40" t="s">
        <v>67</v>
      </c>
    </row>
    <row r="9" spans="1:19" x14ac:dyDescent="0.45">
      <c r="A9" s="40" t="s">
        <v>99</v>
      </c>
      <c r="B9" s="40" t="s">
        <v>100</v>
      </c>
      <c r="C9">
        <v>33.08</v>
      </c>
      <c r="D9">
        <v>9.7100000000000009</v>
      </c>
      <c r="E9">
        <v>3.77</v>
      </c>
      <c r="F9">
        <v>0.03</v>
      </c>
      <c r="G9">
        <v>3.96</v>
      </c>
      <c r="H9">
        <v>2</v>
      </c>
      <c r="I9">
        <v>66.16</v>
      </c>
      <c r="J9">
        <v>19.420000000000002</v>
      </c>
      <c r="K9">
        <v>7.54</v>
      </c>
      <c r="L9">
        <v>1.98</v>
      </c>
      <c r="M9" s="40" t="s">
        <v>66</v>
      </c>
      <c r="N9">
        <v>0</v>
      </c>
      <c r="O9">
        <v>32.9</v>
      </c>
      <c r="P9">
        <v>33.26</v>
      </c>
      <c r="Q9">
        <v>0.503</v>
      </c>
      <c r="R9">
        <v>16.71</v>
      </c>
      <c r="S9" s="40" t="s">
        <v>67</v>
      </c>
    </row>
    <row r="10" spans="1:19" x14ac:dyDescent="0.45">
      <c r="A10" s="40" t="s">
        <v>109</v>
      </c>
      <c r="B10" s="40" t="s">
        <v>110</v>
      </c>
      <c r="C10">
        <v>20.420000000000002</v>
      </c>
      <c r="D10">
        <v>3.35</v>
      </c>
      <c r="E10">
        <v>2.4900000000000002</v>
      </c>
      <c r="F10">
        <v>0.03</v>
      </c>
      <c r="G10">
        <v>16.079999999999998</v>
      </c>
      <c r="H10">
        <v>3</v>
      </c>
      <c r="I10">
        <v>61.26</v>
      </c>
      <c r="J10">
        <v>10.050000000000001</v>
      </c>
      <c r="K10">
        <v>7.47</v>
      </c>
      <c r="L10">
        <v>1.84</v>
      </c>
      <c r="M10" s="40" t="s">
        <v>66</v>
      </c>
      <c r="N10">
        <v>0</v>
      </c>
      <c r="O10">
        <v>35.44</v>
      </c>
      <c r="P10">
        <v>25.82</v>
      </c>
      <c r="Q10">
        <v>0.42099999999999999</v>
      </c>
      <c r="R10">
        <v>3.81</v>
      </c>
      <c r="S10" s="40" t="s">
        <v>67</v>
      </c>
    </row>
    <row r="11" spans="1:19" x14ac:dyDescent="0.45">
      <c r="A11" s="40" t="s">
        <v>115</v>
      </c>
      <c r="B11" s="40" t="s">
        <v>116</v>
      </c>
      <c r="C11">
        <v>53.18</v>
      </c>
      <c r="D11">
        <v>16.82</v>
      </c>
      <c r="E11">
        <v>5.87</v>
      </c>
      <c r="F11">
        <v>0.03</v>
      </c>
      <c r="G11">
        <v>5.9</v>
      </c>
      <c r="H11">
        <v>1</v>
      </c>
      <c r="I11">
        <v>53.18</v>
      </c>
      <c r="J11">
        <v>16.82</v>
      </c>
      <c r="K11">
        <v>5.87</v>
      </c>
      <c r="L11">
        <v>1.6</v>
      </c>
      <c r="M11" s="40" t="s">
        <v>66</v>
      </c>
      <c r="N11">
        <v>0</v>
      </c>
      <c r="O11">
        <v>30.19</v>
      </c>
      <c r="P11">
        <v>22.99</v>
      </c>
      <c r="Q11">
        <v>0.432</v>
      </c>
      <c r="R11">
        <v>9.01</v>
      </c>
      <c r="S11" s="40" t="s">
        <v>67</v>
      </c>
    </row>
    <row r="12" spans="1:19" x14ac:dyDescent="0.45">
      <c r="A12" s="40" t="s">
        <v>83</v>
      </c>
      <c r="B12" s="40" t="s">
        <v>84</v>
      </c>
      <c r="C12">
        <v>24.36</v>
      </c>
      <c r="D12">
        <v>6.05</v>
      </c>
      <c r="E12">
        <v>3.32</v>
      </c>
      <c r="F12">
        <v>0.03</v>
      </c>
      <c r="G12">
        <v>3.24</v>
      </c>
      <c r="H12">
        <v>1</v>
      </c>
      <c r="I12">
        <v>24.36</v>
      </c>
      <c r="J12">
        <v>6.05</v>
      </c>
      <c r="K12">
        <v>3.32</v>
      </c>
      <c r="L12">
        <v>0.73</v>
      </c>
      <c r="M12" s="40" t="s">
        <v>66</v>
      </c>
      <c r="N12">
        <v>0</v>
      </c>
      <c r="O12">
        <v>13.34</v>
      </c>
      <c r="P12">
        <v>11.02</v>
      </c>
      <c r="Q12">
        <v>0.45200000000000001</v>
      </c>
      <c r="R12">
        <v>7.52</v>
      </c>
      <c r="S12" s="40" t="s">
        <v>67</v>
      </c>
    </row>
    <row r="13" spans="1:19" x14ac:dyDescent="0.45">
      <c r="A13" s="40" t="s">
        <v>74</v>
      </c>
      <c r="B13" s="40" t="s">
        <v>75</v>
      </c>
      <c r="C13">
        <v>45.62</v>
      </c>
      <c r="D13">
        <v>13.94</v>
      </c>
      <c r="E13">
        <v>7.25</v>
      </c>
      <c r="F13">
        <v>0.03</v>
      </c>
      <c r="G13">
        <v>4.62</v>
      </c>
      <c r="H13">
        <v>2</v>
      </c>
      <c r="I13">
        <v>91.24</v>
      </c>
      <c r="J13">
        <v>27.88</v>
      </c>
      <c r="K13">
        <v>14.5</v>
      </c>
      <c r="L13">
        <v>2.74</v>
      </c>
      <c r="M13" s="40" t="s">
        <v>66</v>
      </c>
      <c r="N13">
        <v>0</v>
      </c>
      <c r="O13">
        <v>49.74</v>
      </c>
      <c r="P13">
        <v>41.5</v>
      </c>
      <c r="Q13">
        <v>0.45500000000000002</v>
      </c>
      <c r="R13">
        <v>19.75</v>
      </c>
      <c r="S13" s="40" t="s">
        <v>67</v>
      </c>
    </row>
    <row r="14" spans="1:19" x14ac:dyDescent="0.45">
      <c r="A14" s="40" t="s">
        <v>115</v>
      </c>
      <c r="B14" s="40" t="s">
        <v>116</v>
      </c>
      <c r="C14">
        <v>53.29</v>
      </c>
      <c r="D14">
        <v>15.27</v>
      </c>
      <c r="E14">
        <v>6.29</v>
      </c>
      <c r="F14">
        <v>0.03</v>
      </c>
      <c r="G14">
        <v>0</v>
      </c>
      <c r="H14">
        <v>2</v>
      </c>
      <c r="I14">
        <v>106.58</v>
      </c>
      <c r="J14">
        <v>30.54</v>
      </c>
      <c r="K14">
        <v>12.58</v>
      </c>
      <c r="L14">
        <v>3.2</v>
      </c>
      <c r="M14" s="40" t="s">
        <v>66</v>
      </c>
      <c r="N14">
        <v>0</v>
      </c>
      <c r="O14">
        <v>46.32</v>
      </c>
      <c r="P14">
        <v>60.26</v>
      </c>
      <c r="Q14">
        <v>0.56499999999999995</v>
      </c>
      <c r="R14">
        <v>0</v>
      </c>
      <c r="S14" s="40" t="s">
        <v>67</v>
      </c>
    </row>
    <row r="15" spans="1:19" x14ac:dyDescent="0.45">
      <c r="A15" s="40" t="s">
        <v>109</v>
      </c>
      <c r="B15" s="40" t="s">
        <v>110</v>
      </c>
      <c r="C15">
        <v>19.670000000000002</v>
      </c>
      <c r="D15">
        <v>3.4</v>
      </c>
      <c r="E15">
        <v>2.82</v>
      </c>
      <c r="F15">
        <v>0.03</v>
      </c>
      <c r="G15">
        <v>4.76</v>
      </c>
      <c r="H15">
        <v>2</v>
      </c>
      <c r="I15">
        <v>39.340000000000003</v>
      </c>
      <c r="J15">
        <v>6.8</v>
      </c>
      <c r="K15">
        <v>5.64</v>
      </c>
      <c r="L15">
        <v>1.18</v>
      </c>
      <c r="M15" s="40" t="s">
        <v>66</v>
      </c>
      <c r="N15">
        <v>0</v>
      </c>
      <c r="O15">
        <v>18.38</v>
      </c>
      <c r="P15">
        <v>20.96</v>
      </c>
      <c r="Q15">
        <v>0.53300000000000003</v>
      </c>
      <c r="R15">
        <v>8.26</v>
      </c>
      <c r="S15" s="40" t="s">
        <v>67</v>
      </c>
    </row>
    <row r="16" spans="1:19" x14ac:dyDescent="0.45">
      <c r="A16" s="40" t="s">
        <v>83</v>
      </c>
      <c r="B16" s="40" t="s">
        <v>84</v>
      </c>
      <c r="C16">
        <v>23.74</v>
      </c>
      <c r="D16">
        <v>6.17</v>
      </c>
      <c r="E16">
        <v>3.56</v>
      </c>
      <c r="F16">
        <v>0.03</v>
      </c>
      <c r="G16">
        <v>16.489999999999998</v>
      </c>
      <c r="H16">
        <v>2</v>
      </c>
      <c r="I16">
        <v>47.48</v>
      </c>
      <c r="J16">
        <v>12.34</v>
      </c>
      <c r="K16">
        <v>7.12</v>
      </c>
      <c r="L16">
        <v>1.42</v>
      </c>
      <c r="M16" s="40" t="s">
        <v>66</v>
      </c>
      <c r="N16">
        <v>0</v>
      </c>
      <c r="O16">
        <v>37.369999999999997</v>
      </c>
      <c r="P16">
        <v>10.11</v>
      </c>
      <c r="Q16">
        <v>0.21299999999999999</v>
      </c>
      <c r="R16">
        <v>2.88</v>
      </c>
      <c r="S16" s="40" t="s">
        <v>67</v>
      </c>
    </row>
    <row r="17" spans="1:19" x14ac:dyDescent="0.45">
      <c r="A17" s="40" t="s">
        <v>115</v>
      </c>
      <c r="B17" s="40" t="s">
        <v>116</v>
      </c>
      <c r="C17">
        <v>48.78</v>
      </c>
      <c r="D17">
        <v>17.16</v>
      </c>
      <c r="E17">
        <v>5.65</v>
      </c>
      <c r="F17">
        <v>0.03</v>
      </c>
      <c r="G17">
        <v>0</v>
      </c>
      <c r="H17">
        <v>3</v>
      </c>
      <c r="I17">
        <v>146.34</v>
      </c>
      <c r="J17">
        <v>51.48</v>
      </c>
      <c r="K17">
        <v>16.95</v>
      </c>
      <c r="L17">
        <v>4.3899999999999997</v>
      </c>
      <c r="M17" s="40" t="s">
        <v>66</v>
      </c>
      <c r="N17">
        <v>0</v>
      </c>
      <c r="O17">
        <v>72.819999999999993</v>
      </c>
      <c r="P17">
        <v>73.52</v>
      </c>
      <c r="Q17">
        <v>0.502</v>
      </c>
      <c r="R17">
        <v>0</v>
      </c>
      <c r="S17" s="40" t="s">
        <v>67</v>
      </c>
    </row>
    <row r="18" spans="1:19" x14ac:dyDescent="0.45">
      <c r="A18" s="40" t="s">
        <v>89</v>
      </c>
      <c r="B18" s="40" t="s">
        <v>90</v>
      </c>
      <c r="C18">
        <v>60.22</v>
      </c>
      <c r="D18">
        <v>21.76</v>
      </c>
      <c r="E18">
        <v>7.97</v>
      </c>
      <c r="F18">
        <v>0.03</v>
      </c>
      <c r="G18">
        <v>5.71</v>
      </c>
      <c r="H18">
        <v>1</v>
      </c>
      <c r="I18">
        <v>60.22</v>
      </c>
      <c r="J18">
        <v>21.76</v>
      </c>
      <c r="K18">
        <v>7.97</v>
      </c>
      <c r="L18">
        <v>1.81</v>
      </c>
      <c r="M18" s="40" t="s">
        <v>66</v>
      </c>
      <c r="N18">
        <v>0</v>
      </c>
      <c r="O18">
        <v>37.25</v>
      </c>
      <c r="P18">
        <v>22.97</v>
      </c>
      <c r="Q18">
        <v>0.38100000000000001</v>
      </c>
      <c r="R18">
        <v>10.55</v>
      </c>
      <c r="S18" s="40" t="s">
        <v>67</v>
      </c>
    </row>
    <row r="19" spans="1:19" x14ac:dyDescent="0.45">
      <c r="A19" s="40" t="s">
        <v>64</v>
      </c>
      <c r="B19" s="40" t="s">
        <v>65</v>
      </c>
      <c r="C19">
        <v>34.03</v>
      </c>
      <c r="D19">
        <v>10.130000000000001</v>
      </c>
      <c r="E19">
        <v>3.84</v>
      </c>
      <c r="F19">
        <v>0.03</v>
      </c>
      <c r="G19">
        <v>6.13</v>
      </c>
      <c r="H19">
        <v>1</v>
      </c>
      <c r="I19">
        <v>34.03</v>
      </c>
      <c r="J19">
        <v>10.130000000000001</v>
      </c>
      <c r="K19">
        <v>3.84</v>
      </c>
      <c r="L19">
        <v>1.02</v>
      </c>
      <c r="M19" s="40" t="s">
        <v>66</v>
      </c>
      <c r="N19">
        <v>0</v>
      </c>
      <c r="O19">
        <v>21.12</v>
      </c>
      <c r="P19">
        <v>12.91</v>
      </c>
      <c r="Q19">
        <v>0.379</v>
      </c>
      <c r="R19">
        <v>5.55</v>
      </c>
      <c r="S19" s="40" t="s">
        <v>67</v>
      </c>
    </row>
    <row r="20" spans="1:19" x14ac:dyDescent="0.45">
      <c r="A20" s="40" t="s">
        <v>74</v>
      </c>
      <c r="B20" s="40" t="s">
        <v>75</v>
      </c>
      <c r="C20">
        <v>49.68</v>
      </c>
      <c r="D20">
        <v>13.59</v>
      </c>
      <c r="E20">
        <v>6.24</v>
      </c>
      <c r="F20">
        <v>0.03</v>
      </c>
      <c r="G20">
        <v>1.98</v>
      </c>
      <c r="H20">
        <v>1</v>
      </c>
      <c r="I20">
        <v>49.68</v>
      </c>
      <c r="J20">
        <v>13.59</v>
      </c>
      <c r="K20">
        <v>6.24</v>
      </c>
      <c r="L20">
        <v>1.49</v>
      </c>
      <c r="M20" s="40" t="s">
        <v>66</v>
      </c>
      <c r="N20">
        <v>0</v>
      </c>
      <c r="O20">
        <v>23.3</v>
      </c>
      <c r="P20">
        <v>26.38</v>
      </c>
      <c r="Q20">
        <v>0.53100000000000003</v>
      </c>
      <c r="R20">
        <v>25.09</v>
      </c>
      <c r="S20" s="40" t="s">
        <v>67</v>
      </c>
    </row>
    <row r="21" spans="1:19" x14ac:dyDescent="0.45">
      <c r="A21" s="40" t="s">
        <v>109</v>
      </c>
      <c r="B21" s="40" t="s">
        <v>110</v>
      </c>
      <c r="C21">
        <v>18.7</v>
      </c>
      <c r="D21">
        <v>3.67</v>
      </c>
      <c r="E21">
        <v>2.54</v>
      </c>
      <c r="F21">
        <v>0.03</v>
      </c>
      <c r="G21">
        <v>19.91</v>
      </c>
      <c r="H21">
        <v>3</v>
      </c>
      <c r="I21">
        <v>56.1</v>
      </c>
      <c r="J21">
        <v>11.01</v>
      </c>
      <c r="K21">
        <v>7.62</v>
      </c>
      <c r="L21">
        <v>1.68</v>
      </c>
      <c r="M21" s="40" t="s">
        <v>66</v>
      </c>
      <c r="N21">
        <v>0</v>
      </c>
      <c r="O21">
        <v>40.22</v>
      </c>
      <c r="P21">
        <v>15.88</v>
      </c>
      <c r="Q21">
        <v>0.28299999999999997</v>
      </c>
      <c r="R21">
        <v>2.82</v>
      </c>
      <c r="S21" s="40" t="s">
        <v>67</v>
      </c>
    </row>
    <row r="22" spans="1:19" x14ac:dyDescent="0.45">
      <c r="A22" s="40" t="s">
        <v>83</v>
      </c>
      <c r="B22" s="40" t="s">
        <v>84</v>
      </c>
      <c r="C22">
        <v>23.6</v>
      </c>
      <c r="D22">
        <v>6.07</v>
      </c>
      <c r="E22">
        <v>3.61</v>
      </c>
      <c r="F22">
        <v>0.03</v>
      </c>
      <c r="G22">
        <v>2.25</v>
      </c>
      <c r="H22">
        <v>2</v>
      </c>
      <c r="I22">
        <v>47.2</v>
      </c>
      <c r="J22">
        <v>12.14</v>
      </c>
      <c r="K22">
        <v>7.22</v>
      </c>
      <c r="L22">
        <v>1.42</v>
      </c>
      <c r="M22" s="40" t="s">
        <v>66</v>
      </c>
      <c r="N22">
        <v>0</v>
      </c>
      <c r="O22">
        <v>23.03</v>
      </c>
      <c r="P22">
        <v>24.17</v>
      </c>
      <c r="Q22">
        <v>0.51200000000000001</v>
      </c>
      <c r="R22">
        <v>20.98</v>
      </c>
      <c r="S22" s="40" t="s">
        <v>67</v>
      </c>
    </row>
    <row r="23" spans="1:19" x14ac:dyDescent="0.45">
      <c r="A23" s="40" t="s">
        <v>135</v>
      </c>
      <c r="B23" s="40" t="s">
        <v>136</v>
      </c>
      <c r="C23">
        <v>16.170000000000002</v>
      </c>
      <c r="D23">
        <v>1.98</v>
      </c>
      <c r="E23">
        <v>1.97</v>
      </c>
      <c r="F23">
        <v>0.03</v>
      </c>
      <c r="G23">
        <v>5.8</v>
      </c>
      <c r="H23">
        <v>1</v>
      </c>
      <c r="I23">
        <v>16.170000000000002</v>
      </c>
      <c r="J23">
        <v>1.98</v>
      </c>
      <c r="K23">
        <v>1.97</v>
      </c>
      <c r="L23">
        <v>0.49</v>
      </c>
      <c r="M23" s="40" t="s">
        <v>66</v>
      </c>
      <c r="N23">
        <v>0</v>
      </c>
      <c r="O23">
        <v>10.24</v>
      </c>
      <c r="P23">
        <v>5.93</v>
      </c>
      <c r="Q23">
        <v>0.36699999999999999</v>
      </c>
      <c r="R23">
        <v>2.79</v>
      </c>
      <c r="S23" s="40" t="s">
        <v>67</v>
      </c>
    </row>
    <row r="24" spans="1:19" x14ac:dyDescent="0.45">
      <c r="A24" s="40" t="s">
        <v>89</v>
      </c>
      <c r="B24" s="40" t="s">
        <v>140</v>
      </c>
      <c r="C24">
        <v>43.81</v>
      </c>
      <c r="D24">
        <v>8.61</v>
      </c>
      <c r="E24">
        <v>4.21</v>
      </c>
      <c r="F24">
        <v>0.03</v>
      </c>
      <c r="G24">
        <v>2.85</v>
      </c>
      <c r="H24">
        <v>1</v>
      </c>
      <c r="I24">
        <v>43.81</v>
      </c>
      <c r="J24">
        <v>8.61</v>
      </c>
      <c r="K24">
        <v>4.21</v>
      </c>
      <c r="L24">
        <v>1.31</v>
      </c>
      <c r="M24" s="40" t="s">
        <v>66</v>
      </c>
      <c r="N24">
        <v>0</v>
      </c>
      <c r="O24">
        <v>16.98</v>
      </c>
      <c r="P24">
        <v>26.83</v>
      </c>
      <c r="Q24">
        <v>0.61199999999999999</v>
      </c>
      <c r="R24">
        <v>15.37</v>
      </c>
      <c r="S24" s="40" t="s">
        <v>67</v>
      </c>
    </row>
    <row r="25" spans="1:19" x14ac:dyDescent="0.45">
      <c r="A25" s="40" t="s">
        <v>74</v>
      </c>
      <c r="B25" s="40" t="s">
        <v>75</v>
      </c>
      <c r="C25">
        <v>44.19</v>
      </c>
      <c r="D25">
        <v>14.17</v>
      </c>
      <c r="E25">
        <v>6.31</v>
      </c>
      <c r="F25">
        <v>0.03</v>
      </c>
      <c r="G25">
        <v>20.54</v>
      </c>
      <c r="H25">
        <v>2</v>
      </c>
      <c r="I25">
        <v>88.38</v>
      </c>
      <c r="J25">
        <v>28.34</v>
      </c>
      <c r="K25">
        <v>12.62</v>
      </c>
      <c r="L25">
        <v>2.65</v>
      </c>
      <c r="M25" s="40" t="s">
        <v>66</v>
      </c>
      <c r="N25">
        <v>0</v>
      </c>
      <c r="O25">
        <v>64.150000000000006</v>
      </c>
      <c r="P25">
        <v>24.23</v>
      </c>
      <c r="Q25">
        <v>0.27400000000000002</v>
      </c>
      <c r="R25">
        <v>4.3</v>
      </c>
      <c r="S25" s="40" t="s">
        <v>67</v>
      </c>
    </row>
    <row r="26" spans="1:19" x14ac:dyDescent="0.45">
      <c r="A26" s="40" t="s">
        <v>135</v>
      </c>
      <c r="B26" s="40" t="s">
        <v>136</v>
      </c>
      <c r="C26">
        <v>16.73</v>
      </c>
      <c r="D26">
        <v>2.02</v>
      </c>
      <c r="E26">
        <v>2.1800000000000002</v>
      </c>
      <c r="F26">
        <v>0.03</v>
      </c>
      <c r="G26">
        <v>3.74</v>
      </c>
      <c r="H26">
        <v>2</v>
      </c>
      <c r="I26">
        <v>33.46</v>
      </c>
      <c r="J26">
        <v>4.04</v>
      </c>
      <c r="K26">
        <v>4.3600000000000003</v>
      </c>
      <c r="L26">
        <v>1</v>
      </c>
      <c r="M26" s="40" t="s">
        <v>66</v>
      </c>
      <c r="N26">
        <v>0</v>
      </c>
      <c r="O26">
        <v>13.14</v>
      </c>
      <c r="P26">
        <v>20.32</v>
      </c>
      <c r="Q26">
        <v>0.60699999999999998</v>
      </c>
      <c r="R26">
        <v>8.9499999999999993</v>
      </c>
      <c r="S26" s="40" t="s">
        <v>67</v>
      </c>
    </row>
    <row r="27" spans="1:19" x14ac:dyDescent="0.45">
      <c r="A27" s="40" t="s">
        <v>89</v>
      </c>
      <c r="B27" s="40" t="s">
        <v>140</v>
      </c>
      <c r="C27">
        <v>43.14</v>
      </c>
      <c r="D27">
        <v>8.83</v>
      </c>
      <c r="E27">
        <v>4.57</v>
      </c>
      <c r="F27">
        <v>0.03</v>
      </c>
      <c r="G27">
        <v>9.57</v>
      </c>
      <c r="H27">
        <v>1</v>
      </c>
      <c r="I27">
        <v>43.14</v>
      </c>
      <c r="J27">
        <v>8.83</v>
      </c>
      <c r="K27">
        <v>4.57</v>
      </c>
      <c r="L27">
        <v>1.29</v>
      </c>
      <c r="M27" s="40" t="s">
        <v>66</v>
      </c>
      <c r="N27">
        <v>0</v>
      </c>
      <c r="O27">
        <v>24.26</v>
      </c>
      <c r="P27">
        <v>18.88</v>
      </c>
      <c r="Q27">
        <v>0.438</v>
      </c>
      <c r="R27">
        <v>4.51</v>
      </c>
      <c r="S27" s="40" t="s">
        <v>67</v>
      </c>
    </row>
    <row r="28" spans="1:19" x14ac:dyDescent="0.45">
      <c r="A28" s="40" t="s">
        <v>89</v>
      </c>
      <c r="B28" s="40" t="s">
        <v>140</v>
      </c>
      <c r="C28">
        <v>42.78</v>
      </c>
      <c r="D28">
        <v>8.43</v>
      </c>
      <c r="E28">
        <v>4.0599999999999996</v>
      </c>
      <c r="F28">
        <v>0.03</v>
      </c>
      <c r="G28">
        <v>0</v>
      </c>
      <c r="H28">
        <v>1</v>
      </c>
      <c r="I28">
        <v>42.78</v>
      </c>
      <c r="J28">
        <v>8.43</v>
      </c>
      <c r="K28">
        <v>4.0599999999999996</v>
      </c>
      <c r="L28">
        <v>1.28</v>
      </c>
      <c r="M28" s="40" t="s">
        <v>66</v>
      </c>
      <c r="N28">
        <v>0</v>
      </c>
      <c r="O28">
        <v>13.77</v>
      </c>
      <c r="P28">
        <v>29.01</v>
      </c>
      <c r="Q28">
        <v>0.67800000000000005</v>
      </c>
      <c r="R28">
        <v>0</v>
      </c>
      <c r="S28" s="40" t="s">
        <v>67</v>
      </c>
    </row>
    <row r="29" spans="1:19" x14ac:dyDescent="0.45">
      <c r="A29" s="40" t="s">
        <v>83</v>
      </c>
      <c r="B29" s="40" t="s">
        <v>84</v>
      </c>
      <c r="C29">
        <v>23.41</v>
      </c>
      <c r="D29">
        <v>5.95</v>
      </c>
      <c r="E29">
        <v>3.59</v>
      </c>
      <c r="F29">
        <v>0.03</v>
      </c>
      <c r="G29">
        <v>2.68</v>
      </c>
      <c r="H29">
        <v>2</v>
      </c>
      <c r="I29">
        <v>46.82</v>
      </c>
      <c r="J29">
        <v>11.9</v>
      </c>
      <c r="K29">
        <v>7.18</v>
      </c>
      <c r="L29">
        <v>1.4</v>
      </c>
      <c r="M29" s="40" t="s">
        <v>66</v>
      </c>
      <c r="N29">
        <v>0</v>
      </c>
      <c r="O29">
        <v>23.16</v>
      </c>
      <c r="P29">
        <v>23.66</v>
      </c>
      <c r="Q29">
        <v>0.505</v>
      </c>
      <c r="R29">
        <v>17.47</v>
      </c>
      <c r="S29" s="40" t="s">
        <v>67</v>
      </c>
    </row>
    <row r="30" spans="1:19" x14ac:dyDescent="0.45">
      <c r="A30" s="40" t="s">
        <v>149</v>
      </c>
      <c r="B30" s="40" t="s">
        <v>150</v>
      </c>
      <c r="C30">
        <v>31.55</v>
      </c>
      <c r="D30">
        <v>7.03</v>
      </c>
      <c r="E30">
        <v>5.0199999999999996</v>
      </c>
      <c r="F30">
        <v>0.03</v>
      </c>
      <c r="G30">
        <v>9.11</v>
      </c>
      <c r="H30">
        <v>2</v>
      </c>
      <c r="I30">
        <v>63.1</v>
      </c>
      <c r="J30">
        <v>14.06</v>
      </c>
      <c r="K30">
        <v>10.039999999999999</v>
      </c>
      <c r="L30">
        <v>1.89</v>
      </c>
      <c r="M30" s="40" t="s">
        <v>66</v>
      </c>
      <c r="N30">
        <v>0</v>
      </c>
      <c r="O30">
        <v>35.1</v>
      </c>
      <c r="P30">
        <v>28</v>
      </c>
      <c r="Q30">
        <v>0.44400000000000001</v>
      </c>
      <c r="R30">
        <v>6.93</v>
      </c>
      <c r="S30" s="40" t="s">
        <v>67</v>
      </c>
    </row>
    <row r="31" spans="1:19" x14ac:dyDescent="0.45">
      <c r="A31" s="40" t="s">
        <v>135</v>
      </c>
      <c r="B31" s="40" t="s">
        <v>136</v>
      </c>
      <c r="C31">
        <v>15.35</v>
      </c>
      <c r="D31">
        <v>2.02</v>
      </c>
      <c r="E31">
        <v>2.02</v>
      </c>
      <c r="F31">
        <v>0.03</v>
      </c>
      <c r="G31">
        <v>12.66</v>
      </c>
      <c r="H31">
        <v>3</v>
      </c>
      <c r="I31">
        <v>46.05</v>
      </c>
      <c r="J31">
        <v>6.06</v>
      </c>
      <c r="K31">
        <v>6.06</v>
      </c>
      <c r="L31">
        <v>1.38</v>
      </c>
      <c r="M31" s="40" t="s">
        <v>66</v>
      </c>
      <c r="N31">
        <v>0</v>
      </c>
      <c r="O31">
        <v>26.16</v>
      </c>
      <c r="P31">
        <v>19.89</v>
      </c>
      <c r="Q31">
        <v>0.432</v>
      </c>
      <c r="R31">
        <v>3.64</v>
      </c>
      <c r="S31" s="40" t="s">
        <v>67</v>
      </c>
    </row>
    <row r="32" spans="1:19" x14ac:dyDescent="0.45">
      <c r="A32" s="40" t="s">
        <v>64</v>
      </c>
      <c r="B32" s="40" t="s">
        <v>65</v>
      </c>
      <c r="C32">
        <v>31.41</v>
      </c>
      <c r="D32">
        <v>9.76</v>
      </c>
      <c r="E32">
        <v>3.84</v>
      </c>
      <c r="F32">
        <v>0.03</v>
      </c>
      <c r="G32">
        <v>16.43</v>
      </c>
      <c r="H32">
        <v>2</v>
      </c>
      <c r="I32">
        <v>62.82</v>
      </c>
      <c r="J32">
        <v>19.52</v>
      </c>
      <c r="K32">
        <v>7.68</v>
      </c>
      <c r="L32">
        <v>1.88</v>
      </c>
      <c r="M32" s="40" t="s">
        <v>66</v>
      </c>
      <c r="N32">
        <v>0</v>
      </c>
      <c r="O32">
        <v>45.51</v>
      </c>
      <c r="P32">
        <v>17.309999999999999</v>
      </c>
      <c r="Q32">
        <v>0.27600000000000002</v>
      </c>
      <c r="R32">
        <v>3.82</v>
      </c>
      <c r="S32" s="40" t="s">
        <v>67</v>
      </c>
    </row>
    <row r="33" spans="1:19" x14ac:dyDescent="0.45">
      <c r="A33" s="40" t="s">
        <v>135</v>
      </c>
      <c r="B33" s="40" t="s">
        <v>136</v>
      </c>
      <c r="C33">
        <v>15.14</v>
      </c>
      <c r="D33">
        <v>2.1</v>
      </c>
      <c r="E33">
        <v>1.87</v>
      </c>
      <c r="F33">
        <v>0.03</v>
      </c>
      <c r="G33">
        <v>9.65</v>
      </c>
      <c r="H33">
        <v>1</v>
      </c>
      <c r="I33">
        <v>15.14</v>
      </c>
      <c r="J33">
        <v>2.1</v>
      </c>
      <c r="K33">
        <v>1.87</v>
      </c>
      <c r="L33">
        <v>0.45</v>
      </c>
      <c r="M33" s="40" t="s">
        <v>154</v>
      </c>
      <c r="N33">
        <v>7.2</v>
      </c>
      <c r="O33">
        <v>21.27</v>
      </c>
      <c r="P33">
        <v>-6.13</v>
      </c>
      <c r="Q33">
        <v>-0.40500000000000003</v>
      </c>
      <c r="R33">
        <v>1.57</v>
      </c>
      <c r="S33" s="40" t="s">
        <v>155</v>
      </c>
    </row>
    <row r="34" spans="1:19" x14ac:dyDescent="0.45">
      <c r="A34" s="40" t="s">
        <v>64</v>
      </c>
      <c r="B34" s="40" t="s">
        <v>65</v>
      </c>
      <c r="C34">
        <v>32.03</v>
      </c>
      <c r="D34">
        <v>10.46</v>
      </c>
      <c r="E34">
        <v>4.21</v>
      </c>
      <c r="F34">
        <v>0.03</v>
      </c>
      <c r="G34">
        <v>11.05</v>
      </c>
      <c r="H34">
        <v>3</v>
      </c>
      <c r="I34">
        <v>96.09</v>
      </c>
      <c r="J34">
        <v>31.38</v>
      </c>
      <c r="K34">
        <v>12.63</v>
      </c>
      <c r="L34">
        <v>2.88</v>
      </c>
      <c r="M34" s="40" t="s">
        <v>66</v>
      </c>
      <c r="N34">
        <v>0</v>
      </c>
      <c r="O34">
        <v>57.94</v>
      </c>
      <c r="P34">
        <v>38.15</v>
      </c>
      <c r="Q34">
        <v>0.39700000000000002</v>
      </c>
      <c r="R34">
        <v>8.6999999999999993</v>
      </c>
      <c r="S34" s="40" t="s">
        <v>67</v>
      </c>
    </row>
    <row r="35" spans="1:19" x14ac:dyDescent="0.45">
      <c r="A35" s="40" t="s">
        <v>74</v>
      </c>
      <c r="B35" s="40" t="s">
        <v>75</v>
      </c>
      <c r="C35">
        <v>41.78</v>
      </c>
      <c r="D35">
        <v>14.5</v>
      </c>
      <c r="E35">
        <v>6.59</v>
      </c>
      <c r="F35">
        <v>0.03</v>
      </c>
      <c r="G35">
        <v>0</v>
      </c>
      <c r="H35">
        <v>3</v>
      </c>
      <c r="I35">
        <v>125.34</v>
      </c>
      <c r="J35">
        <v>43.5</v>
      </c>
      <c r="K35">
        <v>19.77</v>
      </c>
      <c r="L35">
        <v>3.76</v>
      </c>
      <c r="M35" s="40" t="s">
        <v>66</v>
      </c>
      <c r="N35">
        <v>0</v>
      </c>
      <c r="O35">
        <v>67.03</v>
      </c>
      <c r="P35">
        <v>58.31</v>
      </c>
      <c r="Q35">
        <v>0.46500000000000002</v>
      </c>
      <c r="R35">
        <v>0</v>
      </c>
      <c r="S35" s="40" t="s">
        <v>67</v>
      </c>
    </row>
    <row r="36" spans="1:19" x14ac:dyDescent="0.45">
      <c r="A36" s="40" t="s">
        <v>64</v>
      </c>
      <c r="B36" s="40" t="s">
        <v>65</v>
      </c>
      <c r="C36">
        <v>32.19</v>
      </c>
      <c r="D36">
        <v>9.83</v>
      </c>
      <c r="E36">
        <v>4.0999999999999996</v>
      </c>
      <c r="F36">
        <v>0.03</v>
      </c>
      <c r="G36">
        <v>10.31</v>
      </c>
      <c r="H36">
        <v>1</v>
      </c>
      <c r="I36">
        <v>32.19</v>
      </c>
      <c r="J36">
        <v>9.83</v>
      </c>
      <c r="K36">
        <v>4.0999999999999996</v>
      </c>
      <c r="L36">
        <v>0.97</v>
      </c>
      <c r="M36" s="40" t="s">
        <v>66</v>
      </c>
      <c r="N36">
        <v>0</v>
      </c>
      <c r="O36">
        <v>25.21</v>
      </c>
      <c r="P36">
        <v>6.98</v>
      </c>
      <c r="Q36">
        <v>0.217</v>
      </c>
      <c r="R36">
        <v>3.12</v>
      </c>
      <c r="S36" s="40" t="s">
        <v>67</v>
      </c>
    </row>
    <row r="37" spans="1:19" x14ac:dyDescent="0.45">
      <c r="A37" s="40" t="s">
        <v>83</v>
      </c>
      <c r="B37" s="40" t="s">
        <v>84</v>
      </c>
      <c r="C37">
        <v>25.43</v>
      </c>
      <c r="D37">
        <v>6.39</v>
      </c>
      <c r="E37">
        <v>3.55</v>
      </c>
      <c r="F37">
        <v>0.03</v>
      </c>
      <c r="G37">
        <v>6.71</v>
      </c>
      <c r="H37">
        <v>1</v>
      </c>
      <c r="I37">
        <v>25.43</v>
      </c>
      <c r="J37">
        <v>6.39</v>
      </c>
      <c r="K37">
        <v>3.55</v>
      </c>
      <c r="L37">
        <v>0.76</v>
      </c>
      <c r="M37" s="40" t="s">
        <v>66</v>
      </c>
      <c r="N37">
        <v>0</v>
      </c>
      <c r="O37">
        <v>17.41</v>
      </c>
      <c r="P37">
        <v>8.02</v>
      </c>
      <c r="Q37">
        <v>0.315</v>
      </c>
      <c r="R37">
        <v>3.79</v>
      </c>
      <c r="S37" s="40" t="s">
        <v>67</v>
      </c>
    </row>
    <row r="38" spans="1:19" x14ac:dyDescent="0.45">
      <c r="A38" s="40" t="s">
        <v>99</v>
      </c>
      <c r="B38" s="40" t="s">
        <v>100</v>
      </c>
      <c r="C38">
        <v>31.5</v>
      </c>
      <c r="D38">
        <v>8.85</v>
      </c>
      <c r="E38">
        <v>3.85</v>
      </c>
      <c r="F38">
        <v>0.03</v>
      </c>
      <c r="G38">
        <v>14.87</v>
      </c>
      <c r="H38">
        <v>2</v>
      </c>
      <c r="I38">
        <v>63</v>
      </c>
      <c r="J38">
        <v>17.7</v>
      </c>
      <c r="K38">
        <v>7.7</v>
      </c>
      <c r="L38">
        <v>1.89</v>
      </c>
      <c r="M38" s="40" t="s">
        <v>66</v>
      </c>
      <c r="N38">
        <v>0</v>
      </c>
      <c r="O38">
        <v>42.16</v>
      </c>
      <c r="P38">
        <v>20.84</v>
      </c>
      <c r="Q38">
        <v>0.33100000000000002</v>
      </c>
      <c r="R38">
        <v>4.24</v>
      </c>
      <c r="S38" s="40" t="s">
        <v>67</v>
      </c>
    </row>
    <row r="39" spans="1:19" x14ac:dyDescent="0.45">
      <c r="A39" s="40" t="s">
        <v>89</v>
      </c>
      <c r="B39" s="40" t="s">
        <v>140</v>
      </c>
      <c r="C39">
        <v>44.13</v>
      </c>
      <c r="D39">
        <v>8.48</v>
      </c>
      <c r="E39">
        <v>3.92</v>
      </c>
      <c r="F39">
        <v>0.03</v>
      </c>
      <c r="G39">
        <v>3.98</v>
      </c>
      <c r="H39">
        <v>1</v>
      </c>
      <c r="I39">
        <v>44.13</v>
      </c>
      <c r="J39">
        <v>8.48</v>
      </c>
      <c r="K39">
        <v>3.92</v>
      </c>
      <c r="L39">
        <v>1.32</v>
      </c>
      <c r="M39" s="40" t="s">
        <v>66</v>
      </c>
      <c r="N39">
        <v>0</v>
      </c>
      <c r="O39">
        <v>17.7</v>
      </c>
      <c r="P39">
        <v>26.43</v>
      </c>
      <c r="Q39">
        <v>0.59899999999999998</v>
      </c>
      <c r="R39">
        <v>11.09</v>
      </c>
      <c r="S39" s="40" t="s">
        <v>67</v>
      </c>
    </row>
    <row r="40" spans="1:19" x14ac:dyDescent="0.45">
      <c r="A40" s="40" t="s">
        <v>149</v>
      </c>
      <c r="B40" s="40" t="s">
        <v>150</v>
      </c>
      <c r="C40">
        <v>28.29</v>
      </c>
      <c r="D40">
        <v>7.51</v>
      </c>
      <c r="E40">
        <v>5.14</v>
      </c>
      <c r="F40">
        <v>0.03</v>
      </c>
      <c r="G40">
        <v>0</v>
      </c>
      <c r="H40">
        <v>2</v>
      </c>
      <c r="I40">
        <v>56.58</v>
      </c>
      <c r="J40">
        <v>15.02</v>
      </c>
      <c r="K40">
        <v>10.28</v>
      </c>
      <c r="L40">
        <v>1.7</v>
      </c>
      <c r="M40" s="40" t="s">
        <v>66</v>
      </c>
      <c r="N40">
        <v>0</v>
      </c>
      <c r="O40">
        <v>27</v>
      </c>
      <c r="P40">
        <v>29.58</v>
      </c>
      <c r="Q40">
        <v>0.52300000000000002</v>
      </c>
      <c r="R40">
        <v>0</v>
      </c>
      <c r="S40" s="40" t="s">
        <v>67</v>
      </c>
    </row>
    <row r="41" spans="1:19" x14ac:dyDescent="0.45">
      <c r="A41" s="40" t="s">
        <v>109</v>
      </c>
      <c r="B41" s="40" t="s">
        <v>110</v>
      </c>
      <c r="C41">
        <v>21.66</v>
      </c>
      <c r="D41">
        <v>3.41</v>
      </c>
      <c r="E41">
        <v>2.2799999999999998</v>
      </c>
      <c r="F41">
        <v>0.03</v>
      </c>
      <c r="G41">
        <v>4.08</v>
      </c>
      <c r="H41">
        <v>1</v>
      </c>
      <c r="I41">
        <v>21.66</v>
      </c>
      <c r="J41">
        <v>3.41</v>
      </c>
      <c r="K41">
        <v>2.2799999999999998</v>
      </c>
      <c r="L41">
        <v>0.65</v>
      </c>
      <c r="M41" s="40" t="s">
        <v>66</v>
      </c>
      <c r="N41">
        <v>0</v>
      </c>
      <c r="O41">
        <v>10.42</v>
      </c>
      <c r="P41">
        <v>11.24</v>
      </c>
      <c r="Q41">
        <v>0.51900000000000002</v>
      </c>
      <c r="R41">
        <v>5.31</v>
      </c>
      <c r="S41" s="40" t="s">
        <v>67</v>
      </c>
    </row>
    <row r="42" spans="1:19" x14ac:dyDescent="0.45">
      <c r="A42" s="40" t="s">
        <v>135</v>
      </c>
      <c r="B42" s="40" t="s">
        <v>136</v>
      </c>
      <c r="C42">
        <v>15.65</v>
      </c>
      <c r="D42">
        <v>2.12</v>
      </c>
      <c r="E42">
        <v>2.1</v>
      </c>
      <c r="F42">
        <v>0.03</v>
      </c>
      <c r="G42">
        <v>0</v>
      </c>
      <c r="H42">
        <v>2</v>
      </c>
      <c r="I42">
        <v>31.3</v>
      </c>
      <c r="J42">
        <v>4.24</v>
      </c>
      <c r="K42">
        <v>4.2</v>
      </c>
      <c r="L42">
        <v>0.94</v>
      </c>
      <c r="M42" s="40" t="s">
        <v>66</v>
      </c>
      <c r="N42">
        <v>0</v>
      </c>
      <c r="O42">
        <v>9.3800000000000008</v>
      </c>
      <c r="P42">
        <v>21.92</v>
      </c>
      <c r="Q42">
        <v>0.7</v>
      </c>
      <c r="R42">
        <v>0</v>
      </c>
      <c r="S42" s="40" t="s">
        <v>67</v>
      </c>
    </row>
    <row r="43" spans="1:19" x14ac:dyDescent="0.45">
      <c r="A43" s="40" t="s">
        <v>74</v>
      </c>
      <c r="B43" s="40" t="s">
        <v>75</v>
      </c>
      <c r="C43">
        <v>42.47</v>
      </c>
      <c r="D43">
        <v>14.9</v>
      </c>
      <c r="E43">
        <v>7.41</v>
      </c>
      <c r="F43">
        <v>0.03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 s="40" t="s">
        <v>66</v>
      </c>
      <c r="N43">
        <v>0</v>
      </c>
      <c r="O43">
        <v>0</v>
      </c>
      <c r="P43">
        <v>0</v>
      </c>
      <c r="Q43">
        <v>0</v>
      </c>
      <c r="R43">
        <v>0</v>
      </c>
      <c r="S43" s="40" t="s">
        <v>166</v>
      </c>
    </row>
    <row r="44" spans="1:19" x14ac:dyDescent="0.45">
      <c r="A44" s="40" t="s">
        <v>135</v>
      </c>
      <c r="B44" s="40" t="s">
        <v>136</v>
      </c>
      <c r="C44">
        <v>15.87</v>
      </c>
      <c r="D44">
        <v>2.12</v>
      </c>
      <c r="E44">
        <v>2.23</v>
      </c>
      <c r="F44">
        <v>0.03</v>
      </c>
      <c r="G44">
        <v>8.1300000000000008</v>
      </c>
      <c r="H44">
        <v>1</v>
      </c>
      <c r="I44">
        <v>15.87</v>
      </c>
      <c r="J44">
        <v>2.12</v>
      </c>
      <c r="K44">
        <v>2.23</v>
      </c>
      <c r="L44">
        <v>0.48</v>
      </c>
      <c r="M44" s="40" t="s">
        <v>66</v>
      </c>
      <c r="N44">
        <v>0</v>
      </c>
      <c r="O44">
        <v>12.96</v>
      </c>
      <c r="P44">
        <v>2.91</v>
      </c>
      <c r="Q44">
        <v>0.183</v>
      </c>
      <c r="R44">
        <v>1.95</v>
      </c>
      <c r="S44" s="40" t="s">
        <v>67</v>
      </c>
    </row>
    <row r="45" spans="1:19" x14ac:dyDescent="0.45">
      <c r="A45" s="40" t="s">
        <v>135</v>
      </c>
      <c r="B45" s="40" t="s">
        <v>136</v>
      </c>
      <c r="C45">
        <v>13.99</v>
      </c>
      <c r="D45">
        <v>2.14</v>
      </c>
      <c r="E45">
        <v>1.99</v>
      </c>
      <c r="F45">
        <v>0.03</v>
      </c>
      <c r="G45">
        <v>4.37</v>
      </c>
      <c r="H45">
        <v>1</v>
      </c>
      <c r="I45">
        <v>13.99</v>
      </c>
      <c r="J45">
        <v>2.14</v>
      </c>
      <c r="K45">
        <v>1.99</v>
      </c>
      <c r="L45">
        <v>0.42</v>
      </c>
      <c r="M45" s="40" t="s">
        <v>66</v>
      </c>
      <c r="N45">
        <v>0</v>
      </c>
      <c r="O45">
        <v>8.92</v>
      </c>
      <c r="P45">
        <v>5.07</v>
      </c>
      <c r="Q45">
        <v>0.36199999999999999</v>
      </c>
      <c r="R45">
        <v>3.2</v>
      </c>
      <c r="S45" s="40" t="s">
        <v>67</v>
      </c>
    </row>
    <row r="46" spans="1:19" x14ac:dyDescent="0.45">
      <c r="A46" s="40" t="s">
        <v>135</v>
      </c>
      <c r="B46" s="40" t="s">
        <v>136</v>
      </c>
      <c r="C46">
        <v>13.93</v>
      </c>
      <c r="D46">
        <v>2.0699999999999998</v>
      </c>
      <c r="E46">
        <v>1.92</v>
      </c>
      <c r="F46">
        <v>0.03</v>
      </c>
      <c r="G46">
        <v>18.97</v>
      </c>
      <c r="H46">
        <v>2</v>
      </c>
      <c r="I46">
        <v>27.86</v>
      </c>
      <c r="J46">
        <v>4.1399999999999997</v>
      </c>
      <c r="K46">
        <v>3.84</v>
      </c>
      <c r="L46">
        <v>0.84</v>
      </c>
      <c r="M46" s="40" t="s">
        <v>66</v>
      </c>
      <c r="N46">
        <v>0</v>
      </c>
      <c r="O46">
        <v>27.79</v>
      </c>
      <c r="P46">
        <v>7.0000000000000007E-2</v>
      </c>
      <c r="Q46">
        <v>3.0000000000000001E-3</v>
      </c>
      <c r="R46">
        <v>1.47</v>
      </c>
      <c r="S46" s="40" t="s">
        <v>67</v>
      </c>
    </row>
    <row r="47" spans="1:19" x14ac:dyDescent="0.45">
      <c r="A47" s="40" t="s">
        <v>89</v>
      </c>
      <c r="B47" s="40" t="s">
        <v>90</v>
      </c>
      <c r="C47">
        <v>62.56</v>
      </c>
      <c r="D47">
        <v>21.72</v>
      </c>
      <c r="E47">
        <v>7.15</v>
      </c>
      <c r="F47">
        <v>0.03</v>
      </c>
      <c r="G47">
        <v>1.08</v>
      </c>
      <c r="H47">
        <v>1</v>
      </c>
      <c r="I47">
        <v>62.56</v>
      </c>
      <c r="J47">
        <v>21.72</v>
      </c>
      <c r="K47">
        <v>7.15</v>
      </c>
      <c r="L47">
        <v>1.88</v>
      </c>
      <c r="M47" s="40" t="s">
        <v>66</v>
      </c>
      <c r="N47">
        <v>0</v>
      </c>
      <c r="O47">
        <v>31.83</v>
      </c>
      <c r="P47">
        <v>30.73</v>
      </c>
      <c r="Q47">
        <v>0.49099999999999999</v>
      </c>
      <c r="R47">
        <v>57.93</v>
      </c>
      <c r="S47" s="40" t="s">
        <v>67</v>
      </c>
    </row>
    <row r="48" spans="1:19" x14ac:dyDescent="0.45">
      <c r="A48" s="40" t="s">
        <v>99</v>
      </c>
      <c r="B48" s="40" t="s">
        <v>100</v>
      </c>
      <c r="C48">
        <v>31.97</v>
      </c>
      <c r="D48">
        <v>9.08</v>
      </c>
      <c r="E48">
        <v>4.13</v>
      </c>
      <c r="F48">
        <v>0.03</v>
      </c>
      <c r="G48">
        <v>9.5500000000000007</v>
      </c>
      <c r="H48">
        <v>1</v>
      </c>
      <c r="I48">
        <v>31.97</v>
      </c>
      <c r="J48">
        <v>9.08</v>
      </c>
      <c r="K48">
        <v>4.13</v>
      </c>
      <c r="L48">
        <v>0.96</v>
      </c>
      <c r="M48" s="40" t="s">
        <v>66</v>
      </c>
      <c r="N48">
        <v>0</v>
      </c>
      <c r="O48">
        <v>23.72</v>
      </c>
      <c r="P48">
        <v>8.25</v>
      </c>
      <c r="Q48">
        <v>0.25800000000000001</v>
      </c>
      <c r="R48">
        <v>3.35</v>
      </c>
      <c r="S48" s="40" t="s">
        <v>67</v>
      </c>
    </row>
    <row r="49" spans="1:19" x14ac:dyDescent="0.45">
      <c r="A49" s="40" t="s">
        <v>89</v>
      </c>
      <c r="B49" s="40" t="s">
        <v>90</v>
      </c>
      <c r="C49">
        <v>66.59</v>
      </c>
      <c r="D49">
        <v>22.27</v>
      </c>
      <c r="E49">
        <v>7.2</v>
      </c>
      <c r="F49">
        <v>0.03</v>
      </c>
      <c r="G49">
        <v>8.1300000000000008</v>
      </c>
      <c r="H49">
        <v>1</v>
      </c>
      <c r="I49">
        <v>66.59</v>
      </c>
      <c r="J49">
        <v>22.27</v>
      </c>
      <c r="K49">
        <v>7.2</v>
      </c>
      <c r="L49">
        <v>2</v>
      </c>
      <c r="M49" s="40" t="s">
        <v>66</v>
      </c>
      <c r="N49">
        <v>0</v>
      </c>
      <c r="O49">
        <v>39.6</v>
      </c>
      <c r="P49">
        <v>26.99</v>
      </c>
      <c r="Q49">
        <v>0.40500000000000003</v>
      </c>
      <c r="R49">
        <v>8.19</v>
      </c>
      <c r="S49" s="40" t="s">
        <v>67</v>
      </c>
    </row>
    <row r="50" spans="1:19" x14ac:dyDescent="0.45">
      <c r="A50" s="40" t="s">
        <v>64</v>
      </c>
      <c r="B50" s="40" t="s">
        <v>65</v>
      </c>
      <c r="C50">
        <v>33.14</v>
      </c>
      <c r="D50">
        <v>9.92</v>
      </c>
      <c r="E50">
        <v>4.43</v>
      </c>
      <c r="F50">
        <v>0.03</v>
      </c>
      <c r="G50">
        <v>15.14</v>
      </c>
      <c r="H50">
        <v>3</v>
      </c>
      <c r="I50">
        <v>99.42</v>
      </c>
      <c r="J50">
        <v>29.76</v>
      </c>
      <c r="K50">
        <v>13.29</v>
      </c>
      <c r="L50">
        <v>2.98</v>
      </c>
      <c r="M50" s="40" t="s">
        <v>66</v>
      </c>
      <c r="N50">
        <v>0</v>
      </c>
      <c r="O50">
        <v>61.17</v>
      </c>
      <c r="P50">
        <v>38.25</v>
      </c>
      <c r="Q50">
        <v>0.38500000000000001</v>
      </c>
      <c r="R50">
        <v>6.57</v>
      </c>
      <c r="S50" s="40" t="s">
        <v>67</v>
      </c>
    </row>
    <row r="51" spans="1:19" x14ac:dyDescent="0.45">
      <c r="A51" s="40" t="s">
        <v>74</v>
      </c>
      <c r="B51" s="40" t="s">
        <v>75</v>
      </c>
      <c r="C51">
        <v>46.1</v>
      </c>
      <c r="D51">
        <v>13.88</v>
      </c>
      <c r="E51">
        <v>6.07</v>
      </c>
      <c r="F51">
        <v>0.03</v>
      </c>
      <c r="G51">
        <v>19.95</v>
      </c>
      <c r="H51">
        <v>3</v>
      </c>
      <c r="I51">
        <v>138.30000000000001</v>
      </c>
      <c r="J51">
        <v>41.64</v>
      </c>
      <c r="K51">
        <v>18.21</v>
      </c>
      <c r="L51">
        <v>4.1500000000000004</v>
      </c>
      <c r="M51" s="40" t="s">
        <v>66</v>
      </c>
      <c r="N51">
        <v>0</v>
      </c>
      <c r="O51">
        <v>83.95</v>
      </c>
      <c r="P51">
        <v>54.35</v>
      </c>
      <c r="Q51">
        <v>0.39300000000000002</v>
      </c>
      <c r="R51">
        <v>6.93</v>
      </c>
      <c r="S51" s="40" t="s">
        <v>67</v>
      </c>
    </row>
    <row r="52" spans="1:19" x14ac:dyDescent="0.45">
      <c r="A52" s="40" t="s">
        <v>89</v>
      </c>
      <c r="B52" s="40" t="s">
        <v>90</v>
      </c>
      <c r="C52">
        <v>56.74</v>
      </c>
      <c r="D52">
        <v>22.61</v>
      </c>
      <c r="E52">
        <v>6.5</v>
      </c>
      <c r="F52">
        <v>0.03</v>
      </c>
      <c r="G52">
        <v>16.87</v>
      </c>
      <c r="H52">
        <v>2</v>
      </c>
      <c r="I52">
        <v>113.48</v>
      </c>
      <c r="J52">
        <v>45.22</v>
      </c>
      <c r="K52">
        <v>13</v>
      </c>
      <c r="L52">
        <v>3.4</v>
      </c>
      <c r="M52" s="40" t="s">
        <v>66</v>
      </c>
      <c r="N52">
        <v>0</v>
      </c>
      <c r="O52">
        <v>78.489999999999995</v>
      </c>
      <c r="P52">
        <v>34.99</v>
      </c>
      <c r="Q52">
        <v>0.308</v>
      </c>
      <c r="R52">
        <v>6.73</v>
      </c>
      <c r="S52" s="40" t="s">
        <v>67</v>
      </c>
    </row>
    <row r="53" spans="1:19" x14ac:dyDescent="0.45">
      <c r="A53" s="40" t="s">
        <v>115</v>
      </c>
      <c r="B53" s="40" t="s">
        <v>116</v>
      </c>
      <c r="C53">
        <v>55.3</v>
      </c>
      <c r="D53">
        <v>17.059999999999999</v>
      </c>
      <c r="E53">
        <v>6.13</v>
      </c>
      <c r="F53">
        <v>0.03</v>
      </c>
      <c r="G53">
        <v>10.97</v>
      </c>
      <c r="H53">
        <v>3</v>
      </c>
      <c r="I53">
        <v>165.9</v>
      </c>
      <c r="J53">
        <v>51.18</v>
      </c>
      <c r="K53">
        <v>18.39</v>
      </c>
      <c r="L53">
        <v>4.9800000000000004</v>
      </c>
      <c r="M53" s="40" t="s">
        <v>66</v>
      </c>
      <c r="N53">
        <v>0</v>
      </c>
      <c r="O53">
        <v>85.52</v>
      </c>
      <c r="P53">
        <v>80.38</v>
      </c>
      <c r="Q53">
        <v>0.48499999999999999</v>
      </c>
      <c r="R53">
        <v>15.12</v>
      </c>
      <c r="S53" s="40" t="s">
        <v>67</v>
      </c>
    </row>
    <row r="54" spans="1:19" x14ac:dyDescent="0.45">
      <c r="A54" s="40" t="s">
        <v>83</v>
      </c>
      <c r="B54" s="40" t="s">
        <v>84</v>
      </c>
      <c r="C54">
        <v>25.06</v>
      </c>
      <c r="D54">
        <v>6.33</v>
      </c>
      <c r="E54">
        <v>3.39</v>
      </c>
      <c r="F54">
        <v>0.03</v>
      </c>
      <c r="G54">
        <v>3.93</v>
      </c>
      <c r="H54">
        <v>2</v>
      </c>
      <c r="I54">
        <v>50.12</v>
      </c>
      <c r="J54">
        <v>12.66</v>
      </c>
      <c r="K54">
        <v>6.78</v>
      </c>
      <c r="L54">
        <v>1.5</v>
      </c>
      <c r="M54" s="40" t="s">
        <v>66</v>
      </c>
      <c r="N54">
        <v>0</v>
      </c>
      <c r="O54">
        <v>24.87</v>
      </c>
      <c r="P54">
        <v>25.25</v>
      </c>
      <c r="Q54">
        <v>0.504</v>
      </c>
      <c r="R54">
        <v>12.75</v>
      </c>
      <c r="S54" s="40" t="s">
        <v>67</v>
      </c>
    </row>
    <row r="55" spans="1:19" x14ac:dyDescent="0.45">
      <c r="A55" s="40" t="s">
        <v>89</v>
      </c>
      <c r="B55" s="40" t="s">
        <v>140</v>
      </c>
      <c r="C55">
        <v>39.18</v>
      </c>
      <c r="D55">
        <v>8.7899999999999991</v>
      </c>
      <c r="E55">
        <v>4.12</v>
      </c>
      <c r="F55">
        <v>0.03</v>
      </c>
      <c r="G55">
        <v>10.14</v>
      </c>
      <c r="H55">
        <v>2</v>
      </c>
      <c r="I55">
        <v>78.36</v>
      </c>
      <c r="J55">
        <v>17.579999999999998</v>
      </c>
      <c r="K55">
        <v>8.24</v>
      </c>
      <c r="L55">
        <v>2.35</v>
      </c>
      <c r="M55" s="40" t="s">
        <v>66</v>
      </c>
      <c r="N55">
        <v>0</v>
      </c>
      <c r="O55">
        <v>38.31</v>
      </c>
      <c r="P55">
        <v>40.049999999999997</v>
      </c>
      <c r="Q55">
        <v>0.51100000000000001</v>
      </c>
      <c r="R55">
        <v>7.73</v>
      </c>
      <c r="S55" s="40" t="s">
        <v>67</v>
      </c>
    </row>
    <row r="56" spans="1:19" x14ac:dyDescent="0.45">
      <c r="A56" s="40" t="s">
        <v>115</v>
      </c>
      <c r="B56" s="40" t="s">
        <v>116</v>
      </c>
      <c r="C56">
        <v>51.41</v>
      </c>
      <c r="D56">
        <v>16.760000000000002</v>
      </c>
      <c r="E56">
        <v>6.7</v>
      </c>
      <c r="F56">
        <v>0.03</v>
      </c>
      <c r="G56">
        <v>4.03</v>
      </c>
      <c r="H56">
        <v>2</v>
      </c>
      <c r="I56">
        <v>102.82</v>
      </c>
      <c r="J56">
        <v>33.520000000000003</v>
      </c>
      <c r="K56">
        <v>13.4</v>
      </c>
      <c r="L56">
        <v>3.08</v>
      </c>
      <c r="M56" s="40" t="s">
        <v>154</v>
      </c>
      <c r="N56">
        <v>51.41</v>
      </c>
      <c r="O56">
        <v>105.44</v>
      </c>
      <c r="P56">
        <v>-2.62</v>
      </c>
      <c r="Q56">
        <v>-2.5000000000000001E-2</v>
      </c>
      <c r="R56">
        <v>25.51</v>
      </c>
      <c r="S56" s="40" t="s">
        <v>155</v>
      </c>
    </row>
    <row r="57" spans="1:19" x14ac:dyDescent="0.45">
      <c r="A57" s="40" t="s">
        <v>99</v>
      </c>
      <c r="B57" s="40" t="s">
        <v>100</v>
      </c>
      <c r="C57">
        <v>32.72</v>
      </c>
      <c r="D57">
        <v>9.43</v>
      </c>
      <c r="E57">
        <v>3.7</v>
      </c>
      <c r="F57">
        <v>0.03</v>
      </c>
      <c r="G57">
        <v>8.5299999999999994</v>
      </c>
      <c r="H57">
        <v>2</v>
      </c>
      <c r="I57">
        <v>65.44</v>
      </c>
      <c r="J57">
        <v>18.86</v>
      </c>
      <c r="K57">
        <v>7.4</v>
      </c>
      <c r="L57">
        <v>1.96</v>
      </c>
      <c r="M57" s="40" t="s">
        <v>66</v>
      </c>
      <c r="N57">
        <v>0</v>
      </c>
      <c r="O57">
        <v>36.75</v>
      </c>
      <c r="P57">
        <v>28.69</v>
      </c>
      <c r="Q57">
        <v>0.438</v>
      </c>
      <c r="R57">
        <v>7.67</v>
      </c>
      <c r="S57" s="40" t="s">
        <v>67</v>
      </c>
    </row>
    <row r="58" spans="1:19" x14ac:dyDescent="0.45">
      <c r="A58" s="40" t="s">
        <v>64</v>
      </c>
      <c r="B58" s="40" t="s">
        <v>65</v>
      </c>
      <c r="C58">
        <v>34.270000000000003</v>
      </c>
      <c r="D58">
        <v>10.78</v>
      </c>
      <c r="E58">
        <v>4.28</v>
      </c>
      <c r="F58">
        <v>0.03</v>
      </c>
      <c r="G58">
        <v>4.96</v>
      </c>
      <c r="H58">
        <v>1</v>
      </c>
      <c r="I58">
        <v>34.270000000000003</v>
      </c>
      <c r="J58">
        <v>10.78</v>
      </c>
      <c r="K58">
        <v>4.28</v>
      </c>
      <c r="L58">
        <v>1.03</v>
      </c>
      <c r="M58" s="40" t="s">
        <v>66</v>
      </c>
      <c r="N58">
        <v>0</v>
      </c>
      <c r="O58">
        <v>21.05</v>
      </c>
      <c r="P58">
        <v>13.22</v>
      </c>
      <c r="Q58">
        <v>0.38600000000000001</v>
      </c>
      <c r="R58">
        <v>6.91</v>
      </c>
      <c r="S58" s="40" t="s">
        <v>67</v>
      </c>
    </row>
    <row r="59" spans="1:19" x14ac:dyDescent="0.45">
      <c r="A59" s="40" t="s">
        <v>89</v>
      </c>
      <c r="B59" s="40" t="s">
        <v>90</v>
      </c>
      <c r="C59">
        <v>56.19</v>
      </c>
      <c r="D59">
        <v>21.23</v>
      </c>
      <c r="E59">
        <v>7.93</v>
      </c>
      <c r="F59">
        <v>0.03</v>
      </c>
      <c r="G59">
        <v>20.6</v>
      </c>
      <c r="H59">
        <v>3</v>
      </c>
      <c r="I59">
        <v>168.57</v>
      </c>
      <c r="J59">
        <v>63.69</v>
      </c>
      <c r="K59">
        <v>23.79</v>
      </c>
      <c r="L59">
        <v>5.0599999999999996</v>
      </c>
      <c r="M59" s="40" t="s">
        <v>66</v>
      </c>
      <c r="N59">
        <v>0</v>
      </c>
      <c r="O59">
        <v>113.14</v>
      </c>
      <c r="P59">
        <v>55.43</v>
      </c>
      <c r="Q59">
        <v>0.32900000000000001</v>
      </c>
      <c r="R59">
        <v>8.18</v>
      </c>
      <c r="S59" s="40" t="s">
        <v>67</v>
      </c>
    </row>
    <row r="60" spans="1:19" x14ac:dyDescent="0.45">
      <c r="A60" s="40" t="s">
        <v>74</v>
      </c>
      <c r="B60" s="40" t="s">
        <v>75</v>
      </c>
      <c r="C60">
        <v>45.31</v>
      </c>
      <c r="D60">
        <v>14.57</v>
      </c>
      <c r="E60">
        <v>6.44</v>
      </c>
      <c r="F60">
        <v>0.03</v>
      </c>
      <c r="G60">
        <v>29.55</v>
      </c>
      <c r="H60">
        <v>3</v>
      </c>
      <c r="I60">
        <v>135.93</v>
      </c>
      <c r="J60">
        <v>43.71</v>
      </c>
      <c r="K60">
        <v>19.32</v>
      </c>
      <c r="L60">
        <v>4.08</v>
      </c>
      <c r="M60" s="40" t="s">
        <v>66</v>
      </c>
      <c r="N60">
        <v>0</v>
      </c>
      <c r="O60">
        <v>96.66</v>
      </c>
      <c r="P60">
        <v>39.270000000000003</v>
      </c>
      <c r="Q60">
        <v>0.28899999999999998</v>
      </c>
      <c r="R60">
        <v>4.5999999999999996</v>
      </c>
      <c r="S60" s="40" t="s">
        <v>67</v>
      </c>
    </row>
    <row r="61" spans="1:19" x14ac:dyDescent="0.45">
      <c r="A61" s="40" t="s">
        <v>115</v>
      </c>
      <c r="B61" s="40" t="s">
        <v>116</v>
      </c>
      <c r="C61">
        <v>49.5</v>
      </c>
      <c r="D61">
        <v>16.440000000000001</v>
      </c>
      <c r="E61">
        <v>6.69</v>
      </c>
      <c r="F61">
        <v>0.03</v>
      </c>
      <c r="G61">
        <v>23.78</v>
      </c>
      <c r="H61">
        <v>3</v>
      </c>
      <c r="I61">
        <v>148.5</v>
      </c>
      <c r="J61">
        <v>49.32</v>
      </c>
      <c r="K61">
        <v>20.07</v>
      </c>
      <c r="L61">
        <v>4.46</v>
      </c>
      <c r="M61" s="40" t="s">
        <v>66</v>
      </c>
      <c r="N61">
        <v>0</v>
      </c>
      <c r="O61">
        <v>97.63</v>
      </c>
      <c r="P61">
        <v>50.87</v>
      </c>
      <c r="Q61">
        <v>0.34300000000000003</v>
      </c>
      <c r="R61">
        <v>6.24</v>
      </c>
      <c r="S61" s="40" t="s">
        <v>67</v>
      </c>
    </row>
    <row r="62" spans="1:19" x14ac:dyDescent="0.45">
      <c r="A62" s="40" t="s">
        <v>89</v>
      </c>
      <c r="B62" s="40" t="s">
        <v>140</v>
      </c>
      <c r="C62">
        <v>37.72</v>
      </c>
      <c r="D62">
        <v>8.83</v>
      </c>
      <c r="E62">
        <v>3.99</v>
      </c>
      <c r="F62">
        <v>0.03</v>
      </c>
      <c r="G62">
        <v>9.81</v>
      </c>
      <c r="H62">
        <v>1</v>
      </c>
      <c r="I62">
        <v>37.72</v>
      </c>
      <c r="J62">
        <v>8.83</v>
      </c>
      <c r="K62">
        <v>3.99</v>
      </c>
      <c r="L62">
        <v>1.1299999999999999</v>
      </c>
      <c r="M62" s="40" t="s">
        <v>66</v>
      </c>
      <c r="N62">
        <v>0</v>
      </c>
      <c r="O62">
        <v>23.76</v>
      </c>
      <c r="P62">
        <v>13.96</v>
      </c>
      <c r="Q62">
        <v>0.37</v>
      </c>
      <c r="R62">
        <v>3.85</v>
      </c>
      <c r="S62" s="40" t="s">
        <v>67</v>
      </c>
    </row>
    <row r="63" spans="1:19" x14ac:dyDescent="0.45">
      <c r="A63" s="40" t="s">
        <v>149</v>
      </c>
      <c r="B63" s="40" t="s">
        <v>150</v>
      </c>
      <c r="C63">
        <v>29.99</v>
      </c>
      <c r="D63">
        <v>6.75</v>
      </c>
      <c r="E63">
        <v>4.41</v>
      </c>
      <c r="F63">
        <v>0.03</v>
      </c>
      <c r="G63">
        <v>5.82</v>
      </c>
      <c r="H63">
        <v>1</v>
      </c>
      <c r="I63">
        <v>29.99</v>
      </c>
      <c r="J63">
        <v>6.75</v>
      </c>
      <c r="K63">
        <v>4.41</v>
      </c>
      <c r="L63">
        <v>0.9</v>
      </c>
      <c r="M63" s="40" t="s">
        <v>66</v>
      </c>
      <c r="N63">
        <v>0</v>
      </c>
      <c r="O63">
        <v>17.88</v>
      </c>
      <c r="P63">
        <v>12.11</v>
      </c>
      <c r="Q63">
        <v>0.40400000000000003</v>
      </c>
      <c r="R63">
        <v>5.15</v>
      </c>
      <c r="S63" s="40" t="s">
        <v>67</v>
      </c>
    </row>
    <row r="64" spans="1:19" x14ac:dyDescent="0.45">
      <c r="A64" s="40" t="s">
        <v>83</v>
      </c>
      <c r="B64" s="40" t="s">
        <v>84</v>
      </c>
      <c r="C64">
        <v>24.63</v>
      </c>
      <c r="D64">
        <v>6.17</v>
      </c>
      <c r="E64">
        <v>3.76</v>
      </c>
      <c r="F64">
        <v>0.03</v>
      </c>
      <c r="G64">
        <v>0</v>
      </c>
      <c r="H64">
        <v>3</v>
      </c>
      <c r="I64">
        <v>0</v>
      </c>
      <c r="J64">
        <v>0</v>
      </c>
      <c r="K64">
        <v>0</v>
      </c>
      <c r="L64">
        <v>0</v>
      </c>
      <c r="M64" s="40" t="s">
        <v>66</v>
      </c>
      <c r="N64">
        <v>0</v>
      </c>
      <c r="O64">
        <v>0</v>
      </c>
      <c r="P64">
        <v>0</v>
      </c>
      <c r="Q64">
        <v>0</v>
      </c>
      <c r="R64">
        <v>0</v>
      </c>
      <c r="S64" s="40" t="s">
        <v>166</v>
      </c>
    </row>
    <row r="65" spans="1:19" x14ac:dyDescent="0.45">
      <c r="A65" s="40" t="s">
        <v>74</v>
      </c>
      <c r="B65" s="40" t="s">
        <v>75</v>
      </c>
      <c r="C65">
        <v>43.66</v>
      </c>
      <c r="D65">
        <v>14.08</v>
      </c>
      <c r="E65">
        <v>7.26</v>
      </c>
      <c r="F65">
        <v>0.03</v>
      </c>
      <c r="G65">
        <v>12.37</v>
      </c>
      <c r="H65">
        <v>3</v>
      </c>
      <c r="I65">
        <v>130.97999999999999</v>
      </c>
      <c r="J65">
        <v>42.24</v>
      </c>
      <c r="K65">
        <v>21.78</v>
      </c>
      <c r="L65">
        <v>3.93</v>
      </c>
      <c r="M65" s="40" t="s">
        <v>66</v>
      </c>
      <c r="N65">
        <v>0</v>
      </c>
      <c r="O65">
        <v>80.319999999999993</v>
      </c>
      <c r="P65">
        <v>50.66</v>
      </c>
      <c r="Q65">
        <v>0.38700000000000001</v>
      </c>
      <c r="R65">
        <v>10.59</v>
      </c>
      <c r="S65" s="40" t="s">
        <v>67</v>
      </c>
    </row>
    <row r="66" spans="1:19" x14ac:dyDescent="0.45">
      <c r="A66" s="40" t="s">
        <v>64</v>
      </c>
      <c r="B66" s="40" t="s">
        <v>65</v>
      </c>
      <c r="C66">
        <v>31.13</v>
      </c>
      <c r="D66">
        <v>9.56</v>
      </c>
      <c r="E66">
        <v>4.24</v>
      </c>
      <c r="F66">
        <v>0.03</v>
      </c>
      <c r="G66">
        <v>2.98</v>
      </c>
      <c r="H66">
        <v>1</v>
      </c>
      <c r="I66">
        <v>31.13</v>
      </c>
      <c r="J66">
        <v>9.56</v>
      </c>
      <c r="K66">
        <v>4.24</v>
      </c>
      <c r="L66">
        <v>0.93</v>
      </c>
      <c r="M66" s="40" t="s">
        <v>154</v>
      </c>
      <c r="N66">
        <v>22.06</v>
      </c>
      <c r="O66">
        <v>39.770000000000003</v>
      </c>
      <c r="P66">
        <v>-8.64</v>
      </c>
      <c r="Q66">
        <v>-0.27800000000000002</v>
      </c>
      <c r="R66">
        <v>10.45</v>
      </c>
      <c r="S66" s="40" t="s">
        <v>155</v>
      </c>
    </row>
    <row r="67" spans="1:19" x14ac:dyDescent="0.45">
      <c r="A67" s="40" t="s">
        <v>74</v>
      </c>
      <c r="B67" s="40" t="s">
        <v>75</v>
      </c>
      <c r="C67">
        <v>40.75</v>
      </c>
      <c r="D67">
        <v>14.72</v>
      </c>
      <c r="E67">
        <v>6.66</v>
      </c>
      <c r="F67">
        <v>0.03</v>
      </c>
      <c r="G67">
        <v>4.6500000000000004</v>
      </c>
      <c r="H67">
        <v>1</v>
      </c>
      <c r="I67">
        <v>40.75</v>
      </c>
      <c r="J67">
        <v>14.72</v>
      </c>
      <c r="K67">
        <v>6.66</v>
      </c>
      <c r="L67">
        <v>1.22</v>
      </c>
      <c r="M67" s="40" t="s">
        <v>66</v>
      </c>
      <c r="N67">
        <v>0</v>
      </c>
      <c r="O67">
        <v>27.25</v>
      </c>
      <c r="P67">
        <v>13.5</v>
      </c>
      <c r="Q67">
        <v>0.33100000000000002</v>
      </c>
      <c r="R67">
        <v>8.76</v>
      </c>
      <c r="S67" s="40" t="s">
        <v>67</v>
      </c>
    </row>
    <row r="68" spans="1:19" x14ac:dyDescent="0.45">
      <c r="A68" s="40" t="s">
        <v>89</v>
      </c>
      <c r="B68" s="40" t="s">
        <v>90</v>
      </c>
      <c r="C68">
        <v>59.3</v>
      </c>
      <c r="D68">
        <v>22.66</v>
      </c>
      <c r="E68">
        <v>7.67</v>
      </c>
      <c r="F68">
        <v>0.03</v>
      </c>
      <c r="G68">
        <v>8.89</v>
      </c>
      <c r="H68">
        <v>1</v>
      </c>
      <c r="I68">
        <v>59.3</v>
      </c>
      <c r="J68">
        <v>22.66</v>
      </c>
      <c r="K68">
        <v>7.67</v>
      </c>
      <c r="L68">
        <v>1.78</v>
      </c>
      <c r="M68" s="40" t="s">
        <v>66</v>
      </c>
      <c r="N68">
        <v>0</v>
      </c>
      <c r="O68">
        <v>41</v>
      </c>
      <c r="P68">
        <v>18.3</v>
      </c>
      <c r="Q68">
        <v>0.309</v>
      </c>
      <c r="R68">
        <v>6.67</v>
      </c>
      <c r="S68" s="40" t="s">
        <v>67</v>
      </c>
    </row>
    <row r="69" spans="1:19" x14ac:dyDescent="0.45">
      <c r="A69" s="40" t="s">
        <v>83</v>
      </c>
      <c r="B69" s="40" t="s">
        <v>84</v>
      </c>
      <c r="C69">
        <v>23.12</v>
      </c>
      <c r="D69">
        <v>6.07</v>
      </c>
      <c r="E69">
        <v>3.28</v>
      </c>
      <c r="F69">
        <v>0.03</v>
      </c>
      <c r="G69">
        <v>12.53</v>
      </c>
      <c r="H69">
        <v>3</v>
      </c>
      <c r="I69">
        <v>69.36</v>
      </c>
      <c r="J69">
        <v>18.21</v>
      </c>
      <c r="K69">
        <v>9.84</v>
      </c>
      <c r="L69">
        <v>2.08</v>
      </c>
      <c r="M69" s="40" t="s">
        <v>154</v>
      </c>
      <c r="N69">
        <v>52.19</v>
      </c>
      <c r="O69">
        <v>94.85</v>
      </c>
      <c r="P69">
        <v>-25.49</v>
      </c>
      <c r="Q69">
        <v>-0.36799999999999999</v>
      </c>
      <c r="R69">
        <v>5.54</v>
      </c>
      <c r="S69" s="40" t="s">
        <v>155</v>
      </c>
    </row>
    <row r="70" spans="1:19" x14ac:dyDescent="0.45">
      <c r="A70" s="40" t="s">
        <v>89</v>
      </c>
      <c r="B70" s="40" t="s">
        <v>90</v>
      </c>
      <c r="C70">
        <v>62.22</v>
      </c>
      <c r="D70">
        <v>21.1</v>
      </c>
      <c r="E70">
        <v>7.38</v>
      </c>
      <c r="F70">
        <v>0.03</v>
      </c>
      <c r="G70">
        <v>7.5</v>
      </c>
      <c r="H70">
        <v>2</v>
      </c>
      <c r="I70">
        <v>124.44</v>
      </c>
      <c r="J70">
        <v>42.2</v>
      </c>
      <c r="K70">
        <v>14.76</v>
      </c>
      <c r="L70">
        <v>3.73</v>
      </c>
      <c r="M70" s="40" t="s">
        <v>66</v>
      </c>
      <c r="N70">
        <v>0</v>
      </c>
      <c r="O70">
        <v>68.19</v>
      </c>
      <c r="P70">
        <v>56.25</v>
      </c>
      <c r="Q70">
        <v>0.45200000000000001</v>
      </c>
      <c r="R70">
        <v>16.59</v>
      </c>
      <c r="S70" s="40" t="s">
        <v>67</v>
      </c>
    </row>
    <row r="71" spans="1:19" x14ac:dyDescent="0.45">
      <c r="A71" s="40" t="s">
        <v>64</v>
      </c>
      <c r="B71" s="40" t="s">
        <v>65</v>
      </c>
      <c r="C71">
        <v>33.57</v>
      </c>
      <c r="D71">
        <v>9.57</v>
      </c>
      <c r="E71">
        <v>4.49</v>
      </c>
      <c r="F71">
        <v>0.03</v>
      </c>
      <c r="G71">
        <v>3.97</v>
      </c>
      <c r="H71">
        <v>1</v>
      </c>
      <c r="I71">
        <v>33.57</v>
      </c>
      <c r="J71">
        <v>9.57</v>
      </c>
      <c r="K71">
        <v>4.49</v>
      </c>
      <c r="L71">
        <v>1.01</v>
      </c>
      <c r="M71" s="40" t="s">
        <v>66</v>
      </c>
      <c r="N71">
        <v>0</v>
      </c>
      <c r="O71">
        <v>19.04</v>
      </c>
      <c r="P71">
        <v>14.53</v>
      </c>
      <c r="Q71">
        <v>0.433</v>
      </c>
      <c r="R71">
        <v>8.4600000000000009</v>
      </c>
      <c r="S71" s="40" t="s">
        <v>67</v>
      </c>
    </row>
    <row r="72" spans="1:19" x14ac:dyDescent="0.45">
      <c r="A72" s="40" t="s">
        <v>74</v>
      </c>
      <c r="B72" s="40" t="s">
        <v>75</v>
      </c>
      <c r="C72">
        <v>47.88</v>
      </c>
      <c r="D72">
        <v>15.04</v>
      </c>
      <c r="E72">
        <v>7.13</v>
      </c>
      <c r="F72">
        <v>0.03</v>
      </c>
      <c r="G72">
        <v>5.94</v>
      </c>
      <c r="H72">
        <v>1</v>
      </c>
      <c r="I72">
        <v>47.88</v>
      </c>
      <c r="J72">
        <v>15.04</v>
      </c>
      <c r="K72">
        <v>7.13</v>
      </c>
      <c r="L72">
        <v>1.44</v>
      </c>
      <c r="M72" s="40" t="s">
        <v>66</v>
      </c>
      <c r="N72">
        <v>0</v>
      </c>
      <c r="O72">
        <v>29.55</v>
      </c>
      <c r="P72">
        <v>18.329999999999998</v>
      </c>
      <c r="Q72">
        <v>0.38300000000000001</v>
      </c>
      <c r="R72">
        <v>8.06</v>
      </c>
      <c r="S72" s="40" t="s">
        <v>67</v>
      </c>
    </row>
    <row r="73" spans="1:19" x14ac:dyDescent="0.45">
      <c r="A73" s="40" t="s">
        <v>99</v>
      </c>
      <c r="B73" s="40" t="s">
        <v>100</v>
      </c>
      <c r="C73">
        <v>34.97</v>
      </c>
      <c r="D73">
        <v>9.7100000000000009</v>
      </c>
      <c r="E73">
        <v>4.17</v>
      </c>
      <c r="F73">
        <v>0.03</v>
      </c>
      <c r="G73">
        <v>8.59</v>
      </c>
      <c r="H73">
        <v>1</v>
      </c>
      <c r="I73">
        <v>34.97</v>
      </c>
      <c r="J73">
        <v>9.7100000000000009</v>
      </c>
      <c r="K73">
        <v>4.17</v>
      </c>
      <c r="L73">
        <v>1.05</v>
      </c>
      <c r="M73" s="40" t="s">
        <v>66</v>
      </c>
      <c r="N73">
        <v>0</v>
      </c>
      <c r="O73">
        <v>23.52</v>
      </c>
      <c r="P73">
        <v>11.45</v>
      </c>
      <c r="Q73">
        <v>0.32700000000000001</v>
      </c>
      <c r="R73">
        <v>4.07</v>
      </c>
      <c r="S73" s="40" t="s">
        <v>67</v>
      </c>
    </row>
    <row r="74" spans="1:19" x14ac:dyDescent="0.45">
      <c r="A74" s="40" t="s">
        <v>89</v>
      </c>
      <c r="B74" s="40" t="s">
        <v>140</v>
      </c>
      <c r="C74">
        <v>36.47</v>
      </c>
      <c r="D74">
        <v>8.11</v>
      </c>
      <c r="E74">
        <v>3.83</v>
      </c>
      <c r="F74">
        <v>0.03</v>
      </c>
      <c r="G74">
        <v>6</v>
      </c>
      <c r="H74">
        <v>1</v>
      </c>
      <c r="I74">
        <v>36.47</v>
      </c>
      <c r="J74">
        <v>8.11</v>
      </c>
      <c r="K74">
        <v>3.83</v>
      </c>
      <c r="L74">
        <v>1.0900000000000001</v>
      </c>
      <c r="M74" s="40" t="s">
        <v>66</v>
      </c>
      <c r="N74">
        <v>0</v>
      </c>
      <c r="O74">
        <v>19.03</v>
      </c>
      <c r="P74">
        <v>17.440000000000001</v>
      </c>
      <c r="Q74">
        <v>0.47799999999999998</v>
      </c>
      <c r="R74">
        <v>6.08</v>
      </c>
      <c r="S74" s="40" t="s">
        <v>67</v>
      </c>
    </row>
    <row r="75" spans="1:19" x14ac:dyDescent="0.45">
      <c r="A75" s="40" t="s">
        <v>74</v>
      </c>
      <c r="B75" s="40" t="s">
        <v>75</v>
      </c>
      <c r="C75">
        <v>40.83</v>
      </c>
      <c r="D75">
        <v>14.16</v>
      </c>
      <c r="E75">
        <v>6.29</v>
      </c>
      <c r="F75">
        <v>0.03</v>
      </c>
      <c r="G75">
        <v>16.84</v>
      </c>
      <c r="H75">
        <v>2</v>
      </c>
      <c r="I75">
        <v>81.66</v>
      </c>
      <c r="J75">
        <v>28.32</v>
      </c>
      <c r="K75">
        <v>12.58</v>
      </c>
      <c r="L75">
        <v>2.4500000000000002</v>
      </c>
      <c r="M75" s="40" t="s">
        <v>66</v>
      </c>
      <c r="N75">
        <v>0</v>
      </c>
      <c r="O75">
        <v>60.19</v>
      </c>
      <c r="P75">
        <v>21.47</v>
      </c>
      <c r="Q75">
        <v>0.26300000000000001</v>
      </c>
      <c r="R75">
        <v>4.8499999999999996</v>
      </c>
      <c r="S75" s="40" t="s">
        <v>67</v>
      </c>
    </row>
    <row r="76" spans="1:19" x14ac:dyDescent="0.45">
      <c r="A76" s="40" t="s">
        <v>64</v>
      </c>
      <c r="B76" s="40" t="s">
        <v>65</v>
      </c>
      <c r="C76">
        <v>36.909999999999997</v>
      </c>
      <c r="D76">
        <v>9.6</v>
      </c>
      <c r="E76">
        <v>4.3</v>
      </c>
      <c r="F76">
        <v>0.03</v>
      </c>
      <c r="G76">
        <v>9.2899999999999991</v>
      </c>
      <c r="H76">
        <v>1</v>
      </c>
      <c r="I76">
        <v>36.909999999999997</v>
      </c>
      <c r="J76">
        <v>9.6</v>
      </c>
      <c r="K76">
        <v>4.3</v>
      </c>
      <c r="L76">
        <v>1.1100000000000001</v>
      </c>
      <c r="M76" s="40" t="s">
        <v>66</v>
      </c>
      <c r="N76">
        <v>0</v>
      </c>
      <c r="O76">
        <v>24.3</v>
      </c>
      <c r="P76">
        <v>12.61</v>
      </c>
      <c r="Q76">
        <v>0.34200000000000003</v>
      </c>
      <c r="R76">
        <v>3.97</v>
      </c>
      <c r="S76" s="40" t="s">
        <v>67</v>
      </c>
    </row>
    <row r="77" spans="1:19" x14ac:dyDescent="0.45">
      <c r="A77" s="40" t="s">
        <v>99</v>
      </c>
      <c r="B77" s="40" t="s">
        <v>100</v>
      </c>
      <c r="C77">
        <v>31.8</v>
      </c>
      <c r="D77">
        <v>9.52</v>
      </c>
      <c r="E77">
        <v>4.3499999999999996</v>
      </c>
      <c r="F77">
        <v>0.03</v>
      </c>
      <c r="G77">
        <v>8.8800000000000008</v>
      </c>
      <c r="H77">
        <v>1</v>
      </c>
      <c r="I77">
        <v>31.8</v>
      </c>
      <c r="J77">
        <v>9.52</v>
      </c>
      <c r="K77">
        <v>4.3499999999999996</v>
      </c>
      <c r="L77">
        <v>0.95</v>
      </c>
      <c r="M77" s="40" t="s">
        <v>154</v>
      </c>
      <c r="N77">
        <v>24.16</v>
      </c>
      <c r="O77">
        <v>47.86</v>
      </c>
      <c r="P77">
        <v>-16.059999999999999</v>
      </c>
      <c r="Q77">
        <v>-0.505</v>
      </c>
      <c r="R77">
        <v>3.58</v>
      </c>
      <c r="S77" s="40" t="s">
        <v>155</v>
      </c>
    </row>
    <row r="78" spans="1:19" x14ac:dyDescent="0.45">
      <c r="A78" s="40" t="s">
        <v>115</v>
      </c>
      <c r="B78" s="40" t="s">
        <v>116</v>
      </c>
      <c r="C78">
        <v>53.67</v>
      </c>
      <c r="D78">
        <v>16.149999999999999</v>
      </c>
      <c r="E78">
        <v>5.89</v>
      </c>
      <c r="F78">
        <v>0.03</v>
      </c>
      <c r="G78">
        <v>11.87</v>
      </c>
      <c r="H78">
        <v>2</v>
      </c>
      <c r="I78">
        <v>107.34</v>
      </c>
      <c r="J78">
        <v>32.299999999999997</v>
      </c>
      <c r="K78">
        <v>11.78</v>
      </c>
      <c r="L78">
        <v>3.22</v>
      </c>
      <c r="M78" s="40" t="s">
        <v>66</v>
      </c>
      <c r="N78">
        <v>0</v>
      </c>
      <c r="O78">
        <v>59.17</v>
      </c>
      <c r="P78">
        <v>48.17</v>
      </c>
      <c r="Q78">
        <v>0.44900000000000001</v>
      </c>
      <c r="R78">
        <v>9.0399999999999991</v>
      </c>
      <c r="S78" s="40" t="s">
        <v>67</v>
      </c>
    </row>
    <row r="79" spans="1:19" x14ac:dyDescent="0.45">
      <c r="A79" s="40" t="s">
        <v>115</v>
      </c>
      <c r="B79" s="40" t="s">
        <v>116</v>
      </c>
      <c r="C79">
        <v>45.03</v>
      </c>
      <c r="D79">
        <v>16.46</v>
      </c>
      <c r="E79">
        <v>5.58</v>
      </c>
      <c r="F79">
        <v>0.03</v>
      </c>
      <c r="G79">
        <v>6.3</v>
      </c>
      <c r="H79">
        <v>1</v>
      </c>
      <c r="I79">
        <v>45.03</v>
      </c>
      <c r="J79">
        <v>16.46</v>
      </c>
      <c r="K79">
        <v>5.58</v>
      </c>
      <c r="L79">
        <v>1.35</v>
      </c>
      <c r="M79" s="40" t="s">
        <v>66</v>
      </c>
      <c r="N79">
        <v>0</v>
      </c>
      <c r="O79">
        <v>29.69</v>
      </c>
      <c r="P79">
        <v>15.34</v>
      </c>
      <c r="Q79">
        <v>0.34100000000000003</v>
      </c>
      <c r="R79">
        <v>7.15</v>
      </c>
      <c r="S79" s="40" t="s">
        <v>67</v>
      </c>
    </row>
    <row r="80" spans="1:19" x14ac:dyDescent="0.45">
      <c r="A80" s="40" t="s">
        <v>109</v>
      </c>
      <c r="B80" s="40" t="s">
        <v>110</v>
      </c>
      <c r="C80">
        <v>19.53</v>
      </c>
      <c r="D80">
        <v>3.59</v>
      </c>
      <c r="E80">
        <v>2.63</v>
      </c>
      <c r="F80">
        <v>0.03</v>
      </c>
      <c r="G80">
        <v>13.24</v>
      </c>
      <c r="H80">
        <v>2</v>
      </c>
      <c r="I80">
        <v>39.06</v>
      </c>
      <c r="J80">
        <v>7.18</v>
      </c>
      <c r="K80">
        <v>5.26</v>
      </c>
      <c r="L80">
        <v>1.17</v>
      </c>
      <c r="M80" s="40" t="s">
        <v>66</v>
      </c>
      <c r="N80">
        <v>0</v>
      </c>
      <c r="O80">
        <v>26.85</v>
      </c>
      <c r="P80">
        <v>12.21</v>
      </c>
      <c r="Q80">
        <v>0.313</v>
      </c>
      <c r="R80">
        <v>2.95</v>
      </c>
      <c r="S80" s="40" t="s">
        <v>67</v>
      </c>
    </row>
    <row r="81" spans="1:19" x14ac:dyDescent="0.45">
      <c r="A81" s="40" t="s">
        <v>115</v>
      </c>
      <c r="B81" s="40" t="s">
        <v>116</v>
      </c>
      <c r="C81">
        <v>55.84</v>
      </c>
      <c r="D81">
        <v>15.56</v>
      </c>
      <c r="E81">
        <v>6.64</v>
      </c>
      <c r="F81">
        <v>0.03</v>
      </c>
      <c r="G81">
        <v>26.44</v>
      </c>
      <c r="H81">
        <v>3</v>
      </c>
      <c r="I81">
        <v>167.52</v>
      </c>
      <c r="J81">
        <v>46.68</v>
      </c>
      <c r="K81">
        <v>19.920000000000002</v>
      </c>
      <c r="L81">
        <v>5.03</v>
      </c>
      <c r="M81" s="40" t="s">
        <v>66</v>
      </c>
      <c r="N81">
        <v>0</v>
      </c>
      <c r="O81">
        <v>98.07</v>
      </c>
      <c r="P81">
        <v>69.45</v>
      </c>
      <c r="Q81">
        <v>0.41499999999999998</v>
      </c>
      <c r="R81">
        <v>6.34</v>
      </c>
      <c r="S81" s="40" t="s">
        <v>67</v>
      </c>
    </row>
    <row r="82" spans="1:19" x14ac:dyDescent="0.45">
      <c r="A82" s="40" t="s">
        <v>115</v>
      </c>
      <c r="B82" s="40" t="s">
        <v>116</v>
      </c>
      <c r="C82">
        <v>51.97</v>
      </c>
      <c r="D82">
        <v>16.64</v>
      </c>
      <c r="E82">
        <v>5.41</v>
      </c>
      <c r="F82">
        <v>0.03</v>
      </c>
      <c r="G82">
        <v>16.760000000000002</v>
      </c>
      <c r="H82">
        <v>2</v>
      </c>
      <c r="I82">
        <v>103.94</v>
      </c>
      <c r="J82">
        <v>33.28</v>
      </c>
      <c r="K82">
        <v>10.82</v>
      </c>
      <c r="L82">
        <v>3.12</v>
      </c>
      <c r="M82" s="40" t="s">
        <v>66</v>
      </c>
      <c r="N82">
        <v>0</v>
      </c>
      <c r="O82">
        <v>63.98</v>
      </c>
      <c r="P82">
        <v>39.96</v>
      </c>
      <c r="Q82">
        <v>0.38400000000000001</v>
      </c>
      <c r="R82">
        <v>6.2</v>
      </c>
      <c r="S82" s="40" t="s">
        <v>67</v>
      </c>
    </row>
    <row r="83" spans="1:19" x14ac:dyDescent="0.45">
      <c r="A83" s="40" t="s">
        <v>83</v>
      </c>
      <c r="B83" s="40" t="s">
        <v>84</v>
      </c>
      <c r="C83">
        <v>23.28</v>
      </c>
      <c r="D83">
        <v>5.9</v>
      </c>
      <c r="E83">
        <v>3.55</v>
      </c>
      <c r="F83">
        <v>0.03</v>
      </c>
      <c r="G83">
        <v>15.55</v>
      </c>
      <c r="H83">
        <v>2</v>
      </c>
      <c r="I83">
        <v>46.56</v>
      </c>
      <c r="J83">
        <v>11.8</v>
      </c>
      <c r="K83">
        <v>7.1</v>
      </c>
      <c r="L83">
        <v>1.4</v>
      </c>
      <c r="M83" s="40" t="s">
        <v>66</v>
      </c>
      <c r="N83">
        <v>0</v>
      </c>
      <c r="O83">
        <v>35.85</v>
      </c>
      <c r="P83">
        <v>10.71</v>
      </c>
      <c r="Q83">
        <v>0.23</v>
      </c>
      <c r="R83">
        <v>2.99</v>
      </c>
      <c r="S83" s="40" t="s">
        <v>67</v>
      </c>
    </row>
    <row r="84" spans="1:19" x14ac:dyDescent="0.45">
      <c r="A84" s="40" t="s">
        <v>115</v>
      </c>
      <c r="B84" s="40" t="s">
        <v>116</v>
      </c>
      <c r="C84">
        <v>55.63</v>
      </c>
      <c r="D84">
        <v>16.989999999999998</v>
      </c>
      <c r="E84">
        <v>5.84</v>
      </c>
      <c r="F84">
        <v>0.03</v>
      </c>
      <c r="G84">
        <v>7.53</v>
      </c>
      <c r="H84">
        <v>1</v>
      </c>
      <c r="I84">
        <v>55.63</v>
      </c>
      <c r="J84">
        <v>16.989999999999998</v>
      </c>
      <c r="K84">
        <v>5.84</v>
      </c>
      <c r="L84">
        <v>1.67</v>
      </c>
      <c r="M84" s="40" t="s">
        <v>66</v>
      </c>
      <c r="N84">
        <v>0</v>
      </c>
      <c r="O84">
        <v>32.03</v>
      </c>
      <c r="P84">
        <v>23.6</v>
      </c>
      <c r="Q84">
        <v>0.42399999999999999</v>
      </c>
      <c r="R84">
        <v>7.39</v>
      </c>
      <c r="S84" s="40" t="s">
        <v>67</v>
      </c>
    </row>
    <row r="85" spans="1:19" x14ac:dyDescent="0.45">
      <c r="A85" s="40" t="s">
        <v>149</v>
      </c>
      <c r="B85" s="40" t="s">
        <v>150</v>
      </c>
      <c r="C85">
        <v>30.87</v>
      </c>
      <c r="D85">
        <v>7.4</v>
      </c>
      <c r="E85">
        <v>4.59</v>
      </c>
      <c r="F85">
        <v>0.03</v>
      </c>
      <c r="G85">
        <v>8.67</v>
      </c>
      <c r="H85">
        <v>1</v>
      </c>
      <c r="I85">
        <v>30.87</v>
      </c>
      <c r="J85">
        <v>7.4</v>
      </c>
      <c r="K85">
        <v>4.59</v>
      </c>
      <c r="L85">
        <v>0.93</v>
      </c>
      <c r="M85" s="40" t="s">
        <v>66</v>
      </c>
      <c r="N85">
        <v>0</v>
      </c>
      <c r="O85">
        <v>21.59</v>
      </c>
      <c r="P85">
        <v>9.2799999999999994</v>
      </c>
      <c r="Q85">
        <v>0.30099999999999999</v>
      </c>
      <c r="R85">
        <v>3.56</v>
      </c>
      <c r="S85" s="40" t="s">
        <v>67</v>
      </c>
    </row>
    <row r="86" spans="1:19" x14ac:dyDescent="0.45">
      <c r="A86" s="40" t="s">
        <v>109</v>
      </c>
      <c r="B86" s="40" t="s">
        <v>110</v>
      </c>
      <c r="C86">
        <v>20.440000000000001</v>
      </c>
      <c r="D86">
        <v>3.58</v>
      </c>
      <c r="E86">
        <v>2.5099999999999998</v>
      </c>
      <c r="F86">
        <v>0.03</v>
      </c>
      <c r="G86">
        <v>4.16</v>
      </c>
      <c r="H86">
        <v>2</v>
      </c>
      <c r="I86">
        <v>40.880000000000003</v>
      </c>
      <c r="J86">
        <v>7.16</v>
      </c>
      <c r="K86">
        <v>5.0199999999999996</v>
      </c>
      <c r="L86">
        <v>1.23</v>
      </c>
      <c r="M86" s="40" t="s">
        <v>66</v>
      </c>
      <c r="N86">
        <v>0</v>
      </c>
      <c r="O86">
        <v>17.57</v>
      </c>
      <c r="P86">
        <v>23.31</v>
      </c>
      <c r="Q86">
        <v>0.56999999999999995</v>
      </c>
      <c r="R86">
        <v>9.83</v>
      </c>
      <c r="S86" s="40" t="s">
        <v>67</v>
      </c>
    </row>
    <row r="87" spans="1:19" x14ac:dyDescent="0.45">
      <c r="A87" s="40" t="s">
        <v>115</v>
      </c>
      <c r="B87" s="40" t="s">
        <v>116</v>
      </c>
      <c r="C87">
        <v>45.52</v>
      </c>
      <c r="D87">
        <v>16.59</v>
      </c>
      <c r="E87">
        <v>5.97</v>
      </c>
      <c r="F87">
        <v>0.03</v>
      </c>
      <c r="G87">
        <v>8.6</v>
      </c>
      <c r="H87">
        <v>1</v>
      </c>
      <c r="I87">
        <v>45.52</v>
      </c>
      <c r="J87">
        <v>16.59</v>
      </c>
      <c r="K87">
        <v>5.97</v>
      </c>
      <c r="L87">
        <v>1.37</v>
      </c>
      <c r="M87" s="40" t="s">
        <v>66</v>
      </c>
      <c r="N87">
        <v>0</v>
      </c>
      <c r="O87">
        <v>32.53</v>
      </c>
      <c r="P87">
        <v>12.99</v>
      </c>
      <c r="Q87">
        <v>0.28499999999999998</v>
      </c>
      <c r="R87">
        <v>5.29</v>
      </c>
      <c r="S87" s="40" t="s">
        <v>67</v>
      </c>
    </row>
    <row r="88" spans="1:19" x14ac:dyDescent="0.45">
      <c r="A88" s="40" t="s">
        <v>135</v>
      </c>
      <c r="B88" s="40" t="s">
        <v>136</v>
      </c>
      <c r="C88">
        <v>16.38</v>
      </c>
      <c r="D88">
        <v>2.0499999999999998</v>
      </c>
      <c r="E88">
        <v>2.08</v>
      </c>
      <c r="F88">
        <v>0.03</v>
      </c>
      <c r="G88">
        <v>6.69</v>
      </c>
      <c r="H88">
        <v>3</v>
      </c>
      <c r="I88">
        <v>49.14</v>
      </c>
      <c r="J88">
        <v>6.15</v>
      </c>
      <c r="K88">
        <v>6.24</v>
      </c>
      <c r="L88">
        <v>1.47</v>
      </c>
      <c r="M88" s="40" t="s">
        <v>66</v>
      </c>
      <c r="N88">
        <v>0</v>
      </c>
      <c r="O88">
        <v>20.55</v>
      </c>
      <c r="P88">
        <v>28.59</v>
      </c>
      <c r="Q88">
        <v>0.58199999999999996</v>
      </c>
      <c r="R88">
        <v>7.35</v>
      </c>
      <c r="S88" s="40" t="s">
        <v>67</v>
      </c>
    </row>
    <row r="89" spans="1:19" x14ac:dyDescent="0.45">
      <c r="A89" s="40" t="s">
        <v>64</v>
      </c>
      <c r="B89" s="40" t="s">
        <v>65</v>
      </c>
      <c r="C89">
        <v>34.200000000000003</v>
      </c>
      <c r="D89">
        <v>10.31</v>
      </c>
      <c r="E89">
        <v>3.77</v>
      </c>
      <c r="F89">
        <v>0.03</v>
      </c>
      <c r="G89">
        <v>20.49</v>
      </c>
      <c r="H89">
        <v>2</v>
      </c>
      <c r="I89">
        <v>68.400000000000006</v>
      </c>
      <c r="J89">
        <v>20.62</v>
      </c>
      <c r="K89">
        <v>7.54</v>
      </c>
      <c r="L89">
        <v>2.0499999999999998</v>
      </c>
      <c r="M89" s="40" t="s">
        <v>66</v>
      </c>
      <c r="N89">
        <v>0</v>
      </c>
      <c r="O89">
        <v>50.7</v>
      </c>
      <c r="P89">
        <v>17.7</v>
      </c>
      <c r="Q89">
        <v>0.25900000000000001</v>
      </c>
      <c r="R89">
        <v>3.34</v>
      </c>
      <c r="S89" s="40" t="s">
        <v>67</v>
      </c>
    </row>
    <row r="90" spans="1:19" x14ac:dyDescent="0.45">
      <c r="A90" s="40" t="s">
        <v>115</v>
      </c>
      <c r="B90" s="40" t="s">
        <v>116</v>
      </c>
      <c r="C90">
        <v>47.1</v>
      </c>
      <c r="D90">
        <v>15.93</v>
      </c>
      <c r="E90">
        <v>5.52</v>
      </c>
      <c r="F90">
        <v>0.03</v>
      </c>
      <c r="G90">
        <v>2.85</v>
      </c>
      <c r="H90">
        <v>1</v>
      </c>
      <c r="I90">
        <v>47.1</v>
      </c>
      <c r="J90">
        <v>15.93</v>
      </c>
      <c r="K90">
        <v>5.52</v>
      </c>
      <c r="L90">
        <v>1.41</v>
      </c>
      <c r="M90" s="40" t="s">
        <v>66</v>
      </c>
      <c r="N90">
        <v>0</v>
      </c>
      <c r="O90">
        <v>25.71</v>
      </c>
      <c r="P90">
        <v>21.39</v>
      </c>
      <c r="Q90">
        <v>0.45400000000000001</v>
      </c>
      <c r="R90">
        <v>16.53</v>
      </c>
      <c r="S90" s="40" t="s">
        <v>67</v>
      </c>
    </row>
    <row r="91" spans="1:19" x14ac:dyDescent="0.45">
      <c r="A91" s="40" t="s">
        <v>83</v>
      </c>
      <c r="B91" s="40" t="s">
        <v>84</v>
      </c>
      <c r="C91">
        <v>22.7</v>
      </c>
      <c r="D91">
        <v>6.35</v>
      </c>
      <c r="E91">
        <v>3.3</v>
      </c>
      <c r="F91">
        <v>0.03</v>
      </c>
      <c r="G91">
        <v>15.42</v>
      </c>
      <c r="H91">
        <v>2</v>
      </c>
      <c r="I91">
        <v>45.4</v>
      </c>
      <c r="J91">
        <v>12.7</v>
      </c>
      <c r="K91">
        <v>6.6</v>
      </c>
      <c r="L91">
        <v>1.36</v>
      </c>
      <c r="M91" s="40" t="s">
        <v>66</v>
      </c>
      <c r="N91">
        <v>0</v>
      </c>
      <c r="O91">
        <v>36.08</v>
      </c>
      <c r="P91">
        <v>9.32</v>
      </c>
      <c r="Q91">
        <v>0.20499999999999999</v>
      </c>
      <c r="R91">
        <v>2.94</v>
      </c>
      <c r="S91" s="40" t="s">
        <v>67</v>
      </c>
    </row>
    <row r="92" spans="1:19" x14ac:dyDescent="0.45">
      <c r="A92" s="40" t="s">
        <v>64</v>
      </c>
      <c r="B92" s="40" t="s">
        <v>65</v>
      </c>
      <c r="C92">
        <v>30.94</v>
      </c>
      <c r="D92">
        <v>9.9499999999999993</v>
      </c>
      <c r="E92">
        <v>4.26</v>
      </c>
      <c r="F92">
        <v>0.03</v>
      </c>
      <c r="G92">
        <v>8.2899999999999991</v>
      </c>
      <c r="H92">
        <v>1</v>
      </c>
      <c r="I92">
        <v>30.94</v>
      </c>
      <c r="J92">
        <v>9.9499999999999993</v>
      </c>
      <c r="K92">
        <v>4.26</v>
      </c>
      <c r="L92">
        <v>0.93</v>
      </c>
      <c r="M92" s="40" t="s">
        <v>66</v>
      </c>
      <c r="N92">
        <v>0</v>
      </c>
      <c r="O92">
        <v>23.43</v>
      </c>
      <c r="P92">
        <v>7.51</v>
      </c>
      <c r="Q92">
        <v>0.24299999999999999</v>
      </c>
      <c r="R92">
        <v>3.73</v>
      </c>
      <c r="S92" s="40" t="s">
        <v>67</v>
      </c>
    </row>
    <row r="93" spans="1:19" x14ac:dyDescent="0.45">
      <c r="A93" s="40" t="s">
        <v>83</v>
      </c>
      <c r="B93" s="40" t="s">
        <v>84</v>
      </c>
      <c r="C93">
        <v>24.1</v>
      </c>
      <c r="D93">
        <v>6.22</v>
      </c>
      <c r="E93">
        <v>3.82</v>
      </c>
      <c r="F93">
        <v>0.03</v>
      </c>
      <c r="G93">
        <v>8.8800000000000008</v>
      </c>
      <c r="H93">
        <v>1</v>
      </c>
      <c r="I93">
        <v>24.1</v>
      </c>
      <c r="J93">
        <v>6.22</v>
      </c>
      <c r="K93">
        <v>3.82</v>
      </c>
      <c r="L93">
        <v>0.72</v>
      </c>
      <c r="M93" s="40" t="s">
        <v>66</v>
      </c>
      <c r="N93">
        <v>0</v>
      </c>
      <c r="O93">
        <v>19.64</v>
      </c>
      <c r="P93">
        <v>4.46</v>
      </c>
      <c r="Q93">
        <v>0.185</v>
      </c>
      <c r="R93">
        <v>2.71</v>
      </c>
      <c r="S93" s="40" t="s">
        <v>67</v>
      </c>
    </row>
    <row r="94" spans="1:19" x14ac:dyDescent="0.45">
      <c r="A94" s="40" t="s">
        <v>135</v>
      </c>
      <c r="B94" s="40" t="s">
        <v>136</v>
      </c>
      <c r="C94">
        <v>16.71</v>
      </c>
      <c r="D94">
        <v>1.98</v>
      </c>
      <c r="E94">
        <v>1.9</v>
      </c>
      <c r="F94">
        <v>0.03</v>
      </c>
      <c r="G94">
        <v>9.01</v>
      </c>
      <c r="H94">
        <v>2</v>
      </c>
      <c r="I94">
        <v>33.42</v>
      </c>
      <c r="J94">
        <v>3.96</v>
      </c>
      <c r="K94">
        <v>3.8</v>
      </c>
      <c r="L94">
        <v>1</v>
      </c>
      <c r="M94" s="40" t="s">
        <v>154</v>
      </c>
      <c r="N94">
        <v>28.74</v>
      </c>
      <c r="O94">
        <v>46.51</v>
      </c>
      <c r="P94">
        <v>-13.09</v>
      </c>
      <c r="Q94">
        <v>-0.39200000000000002</v>
      </c>
      <c r="R94">
        <v>3.71</v>
      </c>
      <c r="S94" s="40" t="s">
        <v>155</v>
      </c>
    </row>
    <row r="95" spans="1:19" x14ac:dyDescent="0.45">
      <c r="A95" s="40" t="s">
        <v>89</v>
      </c>
      <c r="B95" s="40" t="s">
        <v>90</v>
      </c>
      <c r="C95">
        <v>55.35</v>
      </c>
      <c r="D95">
        <v>23.15</v>
      </c>
      <c r="E95">
        <v>6.64</v>
      </c>
      <c r="F95">
        <v>0.03</v>
      </c>
      <c r="G95">
        <v>30.19</v>
      </c>
      <c r="H95">
        <v>3</v>
      </c>
      <c r="I95">
        <v>166.05</v>
      </c>
      <c r="J95">
        <v>69.45</v>
      </c>
      <c r="K95">
        <v>19.920000000000002</v>
      </c>
      <c r="L95">
        <v>4.9800000000000004</v>
      </c>
      <c r="M95" s="40" t="s">
        <v>66</v>
      </c>
      <c r="N95">
        <v>0</v>
      </c>
      <c r="O95">
        <v>124.54</v>
      </c>
      <c r="P95">
        <v>41.51</v>
      </c>
      <c r="Q95">
        <v>0.25</v>
      </c>
      <c r="R95">
        <v>5.5</v>
      </c>
      <c r="S95" s="40" t="s">
        <v>67</v>
      </c>
    </row>
    <row r="96" spans="1:19" x14ac:dyDescent="0.45">
      <c r="A96" s="40" t="s">
        <v>89</v>
      </c>
      <c r="B96" s="40" t="s">
        <v>90</v>
      </c>
      <c r="C96">
        <v>64.25</v>
      </c>
      <c r="D96">
        <v>21.97</v>
      </c>
      <c r="E96">
        <v>6.33</v>
      </c>
      <c r="F96">
        <v>0.03</v>
      </c>
      <c r="G96">
        <v>6.01</v>
      </c>
      <c r="H96">
        <v>1</v>
      </c>
      <c r="I96">
        <v>64.25</v>
      </c>
      <c r="J96">
        <v>21.97</v>
      </c>
      <c r="K96">
        <v>6.33</v>
      </c>
      <c r="L96">
        <v>1.93</v>
      </c>
      <c r="M96" s="40" t="s">
        <v>66</v>
      </c>
      <c r="N96">
        <v>0</v>
      </c>
      <c r="O96">
        <v>36.24</v>
      </c>
      <c r="P96">
        <v>28.01</v>
      </c>
      <c r="Q96">
        <v>0.436</v>
      </c>
      <c r="R96">
        <v>10.69</v>
      </c>
      <c r="S96" s="40" t="s">
        <v>67</v>
      </c>
    </row>
    <row r="97" spans="1:19" x14ac:dyDescent="0.45">
      <c r="A97" s="40" t="s">
        <v>83</v>
      </c>
      <c r="B97" s="40" t="s">
        <v>84</v>
      </c>
      <c r="C97">
        <v>22.57</v>
      </c>
      <c r="D97">
        <v>6.23</v>
      </c>
      <c r="E97">
        <v>3.45</v>
      </c>
      <c r="F97">
        <v>0.03</v>
      </c>
      <c r="G97">
        <v>8.34</v>
      </c>
      <c r="H97">
        <v>2</v>
      </c>
      <c r="I97">
        <v>45.14</v>
      </c>
      <c r="J97">
        <v>12.46</v>
      </c>
      <c r="K97">
        <v>6.9</v>
      </c>
      <c r="L97">
        <v>1.35</v>
      </c>
      <c r="M97" s="40" t="s">
        <v>154</v>
      </c>
      <c r="N97">
        <v>26.08</v>
      </c>
      <c r="O97">
        <v>55.13</v>
      </c>
      <c r="P97">
        <v>-9.99</v>
      </c>
      <c r="Q97">
        <v>-0.221</v>
      </c>
      <c r="R97">
        <v>5.41</v>
      </c>
      <c r="S97" s="40" t="s">
        <v>155</v>
      </c>
    </row>
    <row r="98" spans="1:19" x14ac:dyDescent="0.45">
      <c r="A98" s="40" t="s">
        <v>109</v>
      </c>
      <c r="B98" s="40" t="s">
        <v>110</v>
      </c>
      <c r="C98">
        <v>21.22</v>
      </c>
      <c r="D98">
        <v>3.57</v>
      </c>
      <c r="E98">
        <v>2.58</v>
      </c>
      <c r="F98">
        <v>0.03</v>
      </c>
      <c r="G98">
        <v>5.63</v>
      </c>
      <c r="H98">
        <v>1</v>
      </c>
      <c r="I98">
        <v>21.22</v>
      </c>
      <c r="J98">
        <v>3.57</v>
      </c>
      <c r="K98">
        <v>2.58</v>
      </c>
      <c r="L98">
        <v>0.64</v>
      </c>
      <c r="M98" s="40" t="s">
        <v>154</v>
      </c>
      <c r="N98">
        <v>11.72</v>
      </c>
      <c r="O98">
        <v>24.14</v>
      </c>
      <c r="P98">
        <v>-2.92</v>
      </c>
      <c r="Q98">
        <v>-0.13800000000000001</v>
      </c>
      <c r="R98">
        <v>3.77</v>
      </c>
      <c r="S98" s="40" t="s">
        <v>155</v>
      </c>
    </row>
    <row r="99" spans="1:19" x14ac:dyDescent="0.45">
      <c r="A99" s="40" t="s">
        <v>83</v>
      </c>
      <c r="B99" s="40" t="s">
        <v>84</v>
      </c>
      <c r="C99">
        <v>27.08</v>
      </c>
      <c r="D99">
        <v>6.08</v>
      </c>
      <c r="E99">
        <v>3.43</v>
      </c>
      <c r="F99">
        <v>0.03</v>
      </c>
      <c r="G99">
        <v>3.76</v>
      </c>
      <c r="H99">
        <v>2</v>
      </c>
      <c r="I99">
        <v>54.16</v>
      </c>
      <c r="J99">
        <v>12.16</v>
      </c>
      <c r="K99">
        <v>6.86</v>
      </c>
      <c r="L99">
        <v>1.62</v>
      </c>
      <c r="M99" s="40" t="s">
        <v>66</v>
      </c>
      <c r="N99">
        <v>0</v>
      </c>
      <c r="O99">
        <v>24.4</v>
      </c>
      <c r="P99">
        <v>29.76</v>
      </c>
      <c r="Q99">
        <v>0.54900000000000004</v>
      </c>
      <c r="R99">
        <v>14.4</v>
      </c>
      <c r="S99" s="40" t="s">
        <v>67</v>
      </c>
    </row>
    <row r="100" spans="1:19" x14ac:dyDescent="0.45">
      <c r="A100" s="40" t="s">
        <v>115</v>
      </c>
      <c r="B100" s="40" t="s">
        <v>116</v>
      </c>
      <c r="C100">
        <v>50.59</v>
      </c>
      <c r="D100">
        <v>17.079999999999998</v>
      </c>
      <c r="E100">
        <v>6.64</v>
      </c>
      <c r="F100">
        <v>0.03</v>
      </c>
      <c r="G100">
        <v>7.8</v>
      </c>
      <c r="H100">
        <v>1</v>
      </c>
      <c r="I100">
        <v>50.59</v>
      </c>
      <c r="J100">
        <v>17.079999999999998</v>
      </c>
      <c r="K100">
        <v>6.64</v>
      </c>
      <c r="L100">
        <v>1.52</v>
      </c>
      <c r="M100" s="40" t="s">
        <v>66</v>
      </c>
      <c r="N100">
        <v>0</v>
      </c>
      <c r="O100">
        <v>33.04</v>
      </c>
      <c r="P100">
        <v>17.55</v>
      </c>
      <c r="Q100">
        <v>0.34699999999999998</v>
      </c>
      <c r="R100">
        <v>6.49</v>
      </c>
      <c r="S100" s="40" t="s">
        <v>67</v>
      </c>
    </row>
    <row r="101" spans="1:19" x14ac:dyDescent="0.45">
      <c r="A101" s="40" t="s">
        <v>74</v>
      </c>
      <c r="B101" s="40" t="s">
        <v>75</v>
      </c>
      <c r="C101">
        <v>46.27</v>
      </c>
      <c r="D101">
        <v>14.57</v>
      </c>
      <c r="E101">
        <v>7.28</v>
      </c>
      <c r="F101">
        <v>0.03</v>
      </c>
      <c r="G101">
        <v>4.8499999999999996</v>
      </c>
      <c r="H101">
        <v>1</v>
      </c>
      <c r="I101">
        <v>46.27</v>
      </c>
      <c r="J101">
        <v>14.57</v>
      </c>
      <c r="K101">
        <v>7.28</v>
      </c>
      <c r="L101">
        <v>1.39</v>
      </c>
      <c r="M101" s="40" t="s">
        <v>66</v>
      </c>
      <c r="N101">
        <v>0</v>
      </c>
      <c r="O101">
        <v>28.09</v>
      </c>
      <c r="P101">
        <v>18.18</v>
      </c>
      <c r="Q101">
        <v>0.39300000000000002</v>
      </c>
      <c r="R101">
        <v>9.5399999999999991</v>
      </c>
      <c r="S101" s="40" t="s">
        <v>67</v>
      </c>
    </row>
    <row r="102" spans="1:19" x14ac:dyDescent="0.45">
      <c r="A102" s="40" t="s">
        <v>135</v>
      </c>
      <c r="B102" s="40" t="s">
        <v>136</v>
      </c>
      <c r="C102">
        <v>15.55</v>
      </c>
      <c r="D102">
        <v>2.09</v>
      </c>
      <c r="E102">
        <v>2.2599999999999998</v>
      </c>
      <c r="F102">
        <v>0.03</v>
      </c>
      <c r="G102">
        <v>7.17</v>
      </c>
      <c r="H102">
        <v>2</v>
      </c>
      <c r="I102">
        <v>31.1</v>
      </c>
      <c r="J102">
        <v>4.18</v>
      </c>
      <c r="K102">
        <v>4.5199999999999996</v>
      </c>
      <c r="L102">
        <v>0.93</v>
      </c>
      <c r="M102" s="40" t="s">
        <v>66</v>
      </c>
      <c r="N102">
        <v>0</v>
      </c>
      <c r="O102">
        <v>16.8</v>
      </c>
      <c r="P102">
        <v>14.3</v>
      </c>
      <c r="Q102">
        <v>0.46</v>
      </c>
      <c r="R102">
        <v>4.34</v>
      </c>
      <c r="S102" s="40" t="s">
        <v>67</v>
      </c>
    </row>
    <row r="103" spans="1:19" x14ac:dyDescent="0.45">
      <c r="A103" s="40" t="s">
        <v>74</v>
      </c>
      <c r="B103" s="40" t="s">
        <v>75</v>
      </c>
      <c r="C103">
        <v>48.41</v>
      </c>
      <c r="D103">
        <v>15.06</v>
      </c>
      <c r="E103">
        <v>6.36</v>
      </c>
      <c r="F103">
        <v>0.03</v>
      </c>
      <c r="G103">
        <v>12.97</v>
      </c>
      <c r="H103">
        <v>2</v>
      </c>
      <c r="I103">
        <v>96.82</v>
      </c>
      <c r="J103">
        <v>30.12</v>
      </c>
      <c r="K103">
        <v>12.72</v>
      </c>
      <c r="L103">
        <v>2.9</v>
      </c>
      <c r="M103" s="40" t="s">
        <v>66</v>
      </c>
      <c r="N103">
        <v>0</v>
      </c>
      <c r="O103">
        <v>58.71</v>
      </c>
      <c r="P103">
        <v>38.11</v>
      </c>
      <c r="Q103">
        <v>0.39400000000000002</v>
      </c>
      <c r="R103">
        <v>7.46</v>
      </c>
      <c r="S103" s="40" t="s">
        <v>67</v>
      </c>
    </row>
    <row r="104" spans="1:19" x14ac:dyDescent="0.45">
      <c r="A104" s="40" t="s">
        <v>64</v>
      </c>
      <c r="B104" s="40" t="s">
        <v>65</v>
      </c>
      <c r="C104">
        <v>32.229999999999997</v>
      </c>
      <c r="D104">
        <v>9.9</v>
      </c>
      <c r="E104">
        <v>3.66</v>
      </c>
      <c r="F104">
        <v>0.03</v>
      </c>
      <c r="G104">
        <v>0</v>
      </c>
      <c r="H104">
        <v>1</v>
      </c>
      <c r="I104">
        <v>32.229999999999997</v>
      </c>
      <c r="J104">
        <v>9.9</v>
      </c>
      <c r="K104">
        <v>3.66</v>
      </c>
      <c r="L104">
        <v>0.97</v>
      </c>
      <c r="M104" s="40" t="s">
        <v>66</v>
      </c>
      <c r="N104">
        <v>0</v>
      </c>
      <c r="O104">
        <v>14.53</v>
      </c>
      <c r="P104">
        <v>17.7</v>
      </c>
      <c r="Q104">
        <v>0.54900000000000004</v>
      </c>
      <c r="R104">
        <v>0</v>
      </c>
      <c r="S104" s="40" t="s">
        <v>67</v>
      </c>
    </row>
    <row r="105" spans="1:19" x14ac:dyDescent="0.45">
      <c r="A105" s="40" t="s">
        <v>89</v>
      </c>
      <c r="B105" s="40" t="s">
        <v>140</v>
      </c>
      <c r="C105">
        <v>43.94</v>
      </c>
      <c r="D105">
        <v>8.82</v>
      </c>
      <c r="E105">
        <v>4.01</v>
      </c>
      <c r="F105">
        <v>0.03</v>
      </c>
      <c r="G105">
        <v>3.96</v>
      </c>
      <c r="H105">
        <v>1</v>
      </c>
      <c r="I105">
        <v>0</v>
      </c>
      <c r="J105">
        <v>0</v>
      </c>
      <c r="K105">
        <v>0</v>
      </c>
      <c r="L105">
        <v>0</v>
      </c>
      <c r="M105" s="40" t="s">
        <v>66</v>
      </c>
      <c r="N105">
        <v>0</v>
      </c>
      <c r="O105">
        <v>0</v>
      </c>
      <c r="P105">
        <v>-3.96</v>
      </c>
      <c r="Q105">
        <v>0</v>
      </c>
      <c r="R105">
        <v>0</v>
      </c>
      <c r="S105" s="40" t="s">
        <v>166</v>
      </c>
    </row>
    <row r="106" spans="1:19" x14ac:dyDescent="0.45">
      <c r="A106" s="40" t="s">
        <v>89</v>
      </c>
      <c r="B106" s="40" t="s">
        <v>140</v>
      </c>
      <c r="C106">
        <v>38.49</v>
      </c>
      <c r="D106">
        <v>8.65</v>
      </c>
      <c r="E106">
        <v>3.87</v>
      </c>
      <c r="F106">
        <v>0.03</v>
      </c>
      <c r="G106">
        <v>2.2200000000000002</v>
      </c>
      <c r="H106">
        <v>1</v>
      </c>
      <c r="I106">
        <v>38.49</v>
      </c>
      <c r="J106">
        <v>8.65</v>
      </c>
      <c r="K106">
        <v>3.87</v>
      </c>
      <c r="L106">
        <v>1.1499999999999999</v>
      </c>
      <c r="M106" s="40" t="s">
        <v>66</v>
      </c>
      <c r="N106">
        <v>0</v>
      </c>
      <c r="O106">
        <v>15.89</v>
      </c>
      <c r="P106">
        <v>22.6</v>
      </c>
      <c r="Q106">
        <v>0.58699999999999997</v>
      </c>
      <c r="R106">
        <v>17.34</v>
      </c>
      <c r="S106" s="40" t="s">
        <v>67</v>
      </c>
    </row>
    <row r="107" spans="1:19" x14ac:dyDescent="0.45">
      <c r="A107" s="40" t="s">
        <v>89</v>
      </c>
      <c r="B107" s="40" t="s">
        <v>140</v>
      </c>
      <c r="C107">
        <v>39.200000000000003</v>
      </c>
      <c r="D107">
        <v>8.15</v>
      </c>
      <c r="E107">
        <v>3.87</v>
      </c>
      <c r="F107">
        <v>0.03</v>
      </c>
      <c r="G107">
        <v>5.35</v>
      </c>
      <c r="H107">
        <v>2</v>
      </c>
      <c r="I107">
        <v>78.400000000000006</v>
      </c>
      <c r="J107">
        <v>16.3</v>
      </c>
      <c r="K107">
        <v>7.74</v>
      </c>
      <c r="L107">
        <v>2.35</v>
      </c>
      <c r="M107" s="40" t="s">
        <v>66</v>
      </c>
      <c r="N107">
        <v>0</v>
      </c>
      <c r="O107">
        <v>31.74</v>
      </c>
      <c r="P107">
        <v>46.66</v>
      </c>
      <c r="Q107">
        <v>0.59499999999999997</v>
      </c>
      <c r="R107">
        <v>14.65</v>
      </c>
      <c r="S107" s="40" t="s">
        <v>67</v>
      </c>
    </row>
    <row r="108" spans="1:19" x14ac:dyDescent="0.45">
      <c r="A108" s="40" t="s">
        <v>99</v>
      </c>
      <c r="B108" s="40" t="s">
        <v>100</v>
      </c>
      <c r="C108">
        <v>34.54</v>
      </c>
      <c r="D108">
        <v>8.58</v>
      </c>
      <c r="E108">
        <v>4.57</v>
      </c>
      <c r="F108">
        <v>0.03</v>
      </c>
      <c r="G108">
        <v>1.8</v>
      </c>
      <c r="H108">
        <v>1</v>
      </c>
      <c r="I108">
        <v>34.54</v>
      </c>
      <c r="J108">
        <v>8.58</v>
      </c>
      <c r="K108">
        <v>4.57</v>
      </c>
      <c r="L108">
        <v>1.04</v>
      </c>
      <c r="M108" s="40" t="s">
        <v>66</v>
      </c>
      <c r="N108">
        <v>0</v>
      </c>
      <c r="O108">
        <v>15.99</v>
      </c>
      <c r="P108">
        <v>18.55</v>
      </c>
      <c r="Q108">
        <v>0.53700000000000003</v>
      </c>
      <c r="R108">
        <v>19.190000000000001</v>
      </c>
      <c r="S108" s="40" t="s">
        <v>67</v>
      </c>
    </row>
    <row r="109" spans="1:19" x14ac:dyDescent="0.45">
      <c r="A109" s="40" t="s">
        <v>74</v>
      </c>
      <c r="B109" s="40" t="s">
        <v>75</v>
      </c>
      <c r="C109">
        <v>45.71</v>
      </c>
      <c r="D109">
        <v>14.04</v>
      </c>
      <c r="E109">
        <v>6.73</v>
      </c>
      <c r="F109">
        <v>0.03</v>
      </c>
      <c r="G109">
        <v>20.32</v>
      </c>
      <c r="H109">
        <v>2</v>
      </c>
      <c r="I109">
        <v>91.42</v>
      </c>
      <c r="J109">
        <v>28.08</v>
      </c>
      <c r="K109">
        <v>13.46</v>
      </c>
      <c r="L109">
        <v>2.74</v>
      </c>
      <c r="M109" s="40" t="s">
        <v>66</v>
      </c>
      <c r="N109">
        <v>0</v>
      </c>
      <c r="O109">
        <v>64.599999999999994</v>
      </c>
      <c r="P109">
        <v>26.82</v>
      </c>
      <c r="Q109">
        <v>0.29299999999999998</v>
      </c>
      <c r="R109">
        <v>4.5</v>
      </c>
      <c r="S109" s="40" t="s">
        <v>67</v>
      </c>
    </row>
    <row r="110" spans="1:19" x14ac:dyDescent="0.45">
      <c r="A110" s="40" t="s">
        <v>89</v>
      </c>
      <c r="B110" s="40" t="s">
        <v>140</v>
      </c>
      <c r="C110">
        <v>44.43</v>
      </c>
      <c r="D110">
        <v>9.11</v>
      </c>
      <c r="E110">
        <v>4.41</v>
      </c>
      <c r="F110">
        <v>0.03</v>
      </c>
      <c r="G110">
        <v>10.26</v>
      </c>
      <c r="H110">
        <v>1</v>
      </c>
      <c r="I110">
        <v>44.43</v>
      </c>
      <c r="J110">
        <v>9.11</v>
      </c>
      <c r="K110">
        <v>4.41</v>
      </c>
      <c r="L110">
        <v>1.33</v>
      </c>
      <c r="M110" s="40" t="s">
        <v>66</v>
      </c>
      <c r="N110">
        <v>0</v>
      </c>
      <c r="O110">
        <v>25.11</v>
      </c>
      <c r="P110">
        <v>19.32</v>
      </c>
      <c r="Q110">
        <v>0.435</v>
      </c>
      <c r="R110">
        <v>4.33</v>
      </c>
      <c r="S110" s="40" t="s">
        <v>67</v>
      </c>
    </row>
    <row r="111" spans="1:19" x14ac:dyDescent="0.45">
      <c r="A111" s="40" t="s">
        <v>83</v>
      </c>
      <c r="B111" s="40" t="s">
        <v>84</v>
      </c>
      <c r="C111">
        <v>23.14</v>
      </c>
      <c r="D111">
        <v>5.74</v>
      </c>
      <c r="E111">
        <v>3.26</v>
      </c>
      <c r="F111">
        <v>0.03</v>
      </c>
      <c r="G111">
        <v>2.4300000000000002</v>
      </c>
      <c r="H111">
        <v>1</v>
      </c>
      <c r="I111">
        <v>23.14</v>
      </c>
      <c r="J111">
        <v>5.74</v>
      </c>
      <c r="K111">
        <v>3.26</v>
      </c>
      <c r="L111">
        <v>0.69</v>
      </c>
      <c r="M111" s="40" t="s">
        <v>66</v>
      </c>
      <c r="N111">
        <v>0</v>
      </c>
      <c r="O111">
        <v>12.12</v>
      </c>
      <c r="P111">
        <v>11.02</v>
      </c>
      <c r="Q111">
        <v>0.47599999999999998</v>
      </c>
      <c r="R111">
        <v>9.52</v>
      </c>
      <c r="S111" s="40" t="s">
        <v>67</v>
      </c>
    </row>
    <row r="112" spans="1:19" x14ac:dyDescent="0.45">
      <c r="A112" s="40" t="s">
        <v>64</v>
      </c>
      <c r="B112" s="40" t="s">
        <v>65</v>
      </c>
      <c r="C112">
        <v>33.64</v>
      </c>
      <c r="D112">
        <v>10.52</v>
      </c>
      <c r="E112">
        <v>4.4400000000000004</v>
      </c>
      <c r="F112">
        <v>0.03</v>
      </c>
      <c r="G112">
        <v>7.97</v>
      </c>
      <c r="H112">
        <v>1</v>
      </c>
      <c r="I112">
        <v>33.64</v>
      </c>
      <c r="J112">
        <v>10.52</v>
      </c>
      <c r="K112">
        <v>4.4400000000000004</v>
      </c>
      <c r="L112">
        <v>1.01</v>
      </c>
      <c r="M112" s="40" t="s">
        <v>66</v>
      </c>
      <c r="N112">
        <v>0</v>
      </c>
      <c r="O112">
        <v>23.94</v>
      </c>
      <c r="P112">
        <v>9.6999999999999993</v>
      </c>
      <c r="Q112">
        <v>0.28799999999999998</v>
      </c>
      <c r="R112">
        <v>4.22</v>
      </c>
      <c r="S112" s="40" t="s">
        <v>67</v>
      </c>
    </row>
    <row r="113" spans="1:19" x14ac:dyDescent="0.45">
      <c r="A113" s="40" t="s">
        <v>109</v>
      </c>
      <c r="B113" s="40" t="s">
        <v>110</v>
      </c>
      <c r="C113">
        <v>19.04</v>
      </c>
      <c r="D113">
        <v>3.66</v>
      </c>
      <c r="E113">
        <v>2.4900000000000002</v>
      </c>
      <c r="F113">
        <v>0.03</v>
      </c>
      <c r="G113">
        <v>0</v>
      </c>
      <c r="H113">
        <v>2</v>
      </c>
      <c r="I113">
        <v>38.08</v>
      </c>
      <c r="J113">
        <v>7.32</v>
      </c>
      <c r="K113">
        <v>4.9800000000000004</v>
      </c>
      <c r="L113">
        <v>1.1399999999999999</v>
      </c>
      <c r="M113" s="40" t="s">
        <v>66</v>
      </c>
      <c r="N113">
        <v>0</v>
      </c>
      <c r="O113">
        <v>13.44</v>
      </c>
      <c r="P113">
        <v>24.64</v>
      </c>
      <c r="Q113">
        <v>0.64700000000000002</v>
      </c>
      <c r="R113">
        <v>0</v>
      </c>
      <c r="S113" s="40" t="s">
        <v>67</v>
      </c>
    </row>
    <row r="114" spans="1:19" x14ac:dyDescent="0.45">
      <c r="A114" s="40" t="s">
        <v>99</v>
      </c>
      <c r="B114" s="40" t="s">
        <v>100</v>
      </c>
      <c r="C114">
        <v>37.520000000000003</v>
      </c>
      <c r="D114">
        <v>9.35</v>
      </c>
      <c r="E114">
        <v>4.17</v>
      </c>
      <c r="F114">
        <v>0.03</v>
      </c>
      <c r="G114">
        <v>3.54</v>
      </c>
      <c r="H114">
        <v>1</v>
      </c>
      <c r="I114">
        <v>37.520000000000003</v>
      </c>
      <c r="J114">
        <v>9.35</v>
      </c>
      <c r="K114">
        <v>4.17</v>
      </c>
      <c r="L114">
        <v>1.1299999999999999</v>
      </c>
      <c r="M114" s="40" t="s">
        <v>66</v>
      </c>
      <c r="N114">
        <v>0</v>
      </c>
      <c r="O114">
        <v>18.190000000000001</v>
      </c>
      <c r="P114">
        <v>19.329999999999998</v>
      </c>
      <c r="Q114">
        <v>0.51500000000000001</v>
      </c>
      <c r="R114">
        <v>10.6</v>
      </c>
      <c r="S114" s="40" t="s">
        <v>67</v>
      </c>
    </row>
    <row r="115" spans="1:19" x14ac:dyDescent="0.45">
      <c r="A115" s="40" t="s">
        <v>99</v>
      </c>
      <c r="B115" s="40" t="s">
        <v>100</v>
      </c>
      <c r="C115">
        <v>32.24</v>
      </c>
      <c r="D115">
        <v>8.89</v>
      </c>
      <c r="E115">
        <v>4.59</v>
      </c>
      <c r="F115">
        <v>0.03</v>
      </c>
      <c r="G115">
        <v>20.350000000000001</v>
      </c>
      <c r="H115">
        <v>2</v>
      </c>
      <c r="I115">
        <v>64.48</v>
      </c>
      <c r="J115">
        <v>17.78</v>
      </c>
      <c r="K115">
        <v>9.18</v>
      </c>
      <c r="L115">
        <v>1.93</v>
      </c>
      <c r="M115" s="40" t="s">
        <v>66</v>
      </c>
      <c r="N115">
        <v>0</v>
      </c>
      <c r="O115">
        <v>49.24</v>
      </c>
      <c r="P115">
        <v>15.24</v>
      </c>
      <c r="Q115">
        <v>0.23599999999999999</v>
      </c>
      <c r="R115">
        <v>3.17</v>
      </c>
      <c r="S115" s="40" t="s">
        <v>67</v>
      </c>
    </row>
    <row r="116" spans="1:19" x14ac:dyDescent="0.45">
      <c r="A116" s="40" t="s">
        <v>149</v>
      </c>
      <c r="B116" s="40" t="s">
        <v>150</v>
      </c>
      <c r="C116">
        <v>28.39</v>
      </c>
      <c r="D116">
        <v>7.21</v>
      </c>
      <c r="E116">
        <v>4.9000000000000004</v>
      </c>
      <c r="F116">
        <v>0.03</v>
      </c>
      <c r="G116">
        <v>9.0299999999999994</v>
      </c>
      <c r="H116">
        <v>2</v>
      </c>
      <c r="I116">
        <v>56.78</v>
      </c>
      <c r="J116">
        <v>14.42</v>
      </c>
      <c r="K116">
        <v>9.8000000000000007</v>
      </c>
      <c r="L116">
        <v>1.7</v>
      </c>
      <c r="M116" s="40" t="s">
        <v>66</v>
      </c>
      <c r="N116">
        <v>0</v>
      </c>
      <c r="O116">
        <v>34.950000000000003</v>
      </c>
      <c r="P116">
        <v>21.83</v>
      </c>
      <c r="Q116">
        <v>0.38400000000000001</v>
      </c>
      <c r="R116">
        <v>6.29</v>
      </c>
      <c r="S116" s="40" t="s">
        <v>67</v>
      </c>
    </row>
    <row r="117" spans="1:19" x14ac:dyDescent="0.45">
      <c r="A117" s="40" t="s">
        <v>109</v>
      </c>
      <c r="B117" s="40" t="s">
        <v>110</v>
      </c>
      <c r="C117">
        <v>20.86</v>
      </c>
      <c r="D117">
        <v>3.36</v>
      </c>
      <c r="E117">
        <v>2.5099999999999998</v>
      </c>
      <c r="F117">
        <v>0.03</v>
      </c>
      <c r="G117">
        <v>0</v>
      </c>
      <c r="H117">
        <v>2</v>
      </c>
      <c r="I117">
        <v>41.72</v>
      </c>
      <c r="J117">
        <v>6.72</v>
      </c>
      <c r="K117">
        <v>5.0199999999999996</v>
      </c>
      <c r="L117">
        <v>1.25</v>
      </c>
      <c r="M117" s="40" t="s">
        <v>66</v>
      </c>
      <c r="N117">
        <v>0</v>
      </c>
      <c r="O117">
        <v>12.99</v>
      </c>
      <c r="P117">
        <v>28.73</v>
      </c>
      <c r="Q117">
        <v>0.68899999999999995</v>
      </c>
      <c r="R117">
        <v>0</v>
      </c>
      <c r="S117" s="40" t="s">
        <v>67</v>
      </c>
    </row>
    <row r="118" spans="1:19" x14ac:dyDescent="0.45">
      <c r="A118" s="40" t="s">
        <v>109</v>
      </c>
      <c r="B118" s="40" t="s">
        <v>110</v>
      </c>
      <c r="C118">
        <v>21.68</v>
      </c>
      <c r="D118">
        <v>3.69</v>
      </c>
      <c r="E118">
        <v>2.64</v>
      </c>
      <c r="F118">
        <v>0.03</v>
      </c>
      <c r="G118">
        <v>0</v>
      </c>
      <c r="H118">
        <v>1</v>
      </c>
      <c r="I118">
        <v>21.68</v>
      </c>
      <c r="J118">
        <v>3.69</v>
      </c>
      <c r="K118">
        <v>2.64</v>
      </c>
      <c r="L118">
        <v>0.65</v>
      </c>
      <c r="M118" s="40" t="s">
        <v>66</v>
      </c>
      <c r="N118">
        <v>0</v>
      </c>
      <c r="O118">
        <v>6.98</v>
      </c>
      <c r="P118">
        <v>14.7</v>
      </c>
      <c r="Q118">
        <v>0.67800000000000005</v>
      </c>
      <c r="R118">
        <v>0</v>
      </c>
      <c r="S118" s="40" t="s">
        <v>67</v>
      </c>
    </row>
    <row r="119" spans="1:19" x14ac:dyDescent="0.45">
      <c r="A119" s="40" t="s">
        <v>89</v>
      </c>
      <c r="B119" s="40" t="s">
        <v>90</v>
      </c>
      <c r="C119">
        <v>65.319999999999993</v>
      </c>
      <c r="D119">
        <v>22.49</v>
      </c>
      <c r="E119">
        <v>7.33</v>
      </c>
      <c r="F119">
        <v>0.03</v>
      </c>
      <c r="G119">
        <v>3.43</v>
      </c>
      <c r="H119">
        <v>1</v>
      </c>
      <c r="I119">
        <v>65.319999999999993</v>
      </c>
      <c r="J119">
        <v>22.49</v>
      </c>
      <c r="K119">
        <v>7.33</v>
      </c>
      <c r="L119">
        <v>1.96</v>
      </c>
      <c r="M119" s="40" t="s">
        <v>66</v>
      </c>
      <c r="N119">
        <v>0</v>
      </c>
      <c r="O119">
        <v>35.21</v>
      </c>
      <c r="P119">
        <v>30.11</v>
      </c>
      <c r="Q119">
        <v>0.46100000000000002</v>
      </c>
      <c r="R119">
        <v>19.04</v>
      </c>
      <c r="S119" s="40" t="s">
        <v>67</v>
      </c>
    </row>
    <row r="120" spans="1:19" x14ac:dyDescent="0.45">
      <c r="A120" s="40" t="s">
        <v>89</v>
      </c>
      <c r="B120" s="40" t="s">
        <v>140</v>
      </c>
      <c r="C120">
        <v>37.9</v>
      </c>
      <c r="D120">
        <v>8.31</v>
      </c>
      <c r="E120">
        <v>4.26</v>
      </c>
      <c r="F120">
        <v>0.03</v>
      </c>
      <c r="G120">
        <v>17.11</v>
      </c>
      <c r="H120">
        <v>2</v>
      </c>
      <c r="I120">
        <v>75.8</v>
      </c>
      <c r="J120">
        <v>16.62</v>
      </c>
      <c r="K120">
        <v>8.52</v>
      </c>
      <c r="L120">
        <v>2.27</v>
      </c>
      <c r="M120" s="40" t="s">
        <v>66</v>
      </c>
      <c r="N120">
        <v>0</v>
      </c>
      <c r="O120">
        <v>44.52</v>
      </c>
      <c r="P120">
        <v>31.28</v>
      </c>
      <c r="Q120">
        <v>0.41299999999999998</v>
      </c>
      <c r="R120">
        <v>4.43</v>
      </c>
      <c r="S120" s="40" t="s">
        <v>67</v>
      </c>
    </row>
    <row r="121" spans="1:19" x14ac:dyDescent="0.45">
      <c r="A121" s="40" t="s">
        <v>89</v>
      </c>
      <c r="B121" s="40" t="s">
        <v>90</v>
      </c>
      <c r="C121">
        <v>63.39</v>
      </c>
      <c r="D121">
        <v>23.22</v>
      </c>
      <c r="E121">
        <v>7.46</v>
      </c>
      <c r="F121">
        <v>0.03</v>
      </c>
      <c r="G121">
        <v>13.41</v>
      </c>
      <c r="H121">
        <v>3</v>
      </c>
      <c r="I121">
        <v>190.17</v>
      </c>
      <c r="J121">
        <v>69.66</v>
      </c>
      <c r="K121">
        <v>22.38</v>
      </c>
      <c r="L121">
        <v>5.71</v>
      </c>
      <c r="M121" s="40" t="s">
        <v>66</v>
      </c>
      <c r="N121">
        <v>0</v>
      </c>
      <c r="O121">
        <v>111.16</v>
      </c>
      <c r="P121">
        <v>79.010000000000005</v>
      </c>
      <c r="Q121">
        <v>0.41499999999999998</v>
      </c>
      <c r="R121">
        <v>14.18</v>
      </c>
      <c r="S121" s="40" t="s">
        <v>67</v>
      </c>
    </row>
    <row r="122" spans="1:19" x14ac:dyDescent="0.45">
      <c r="A122" s="40" t="s">
        <v>109</v>
      </c>
      <c r="B122" s="40" t="s">
        <v>110</v>
      </c>
      <c r="C122">
        <v>21.71</v>
      </c>
      <c r="D122">
        <v>3.61</v>
      </c>
      <c r="E122">
        <v>2.77</v>
      </c>
      <c r="F122">
        <v>0.03</v>
      </c>
      <c r="G122">
        <v>17.420000000000002</v>
      </c>
      <c r="H122">
        <v>2</v>
      </c>
      <c r="I122">
        <v>43.42</v>
      </c>
      <c r="J122">
        <v>7.22</v>
      </c>
      <c r="K122">
        <v>5.54</v>
      </c>
      <c r="L122">
        <v>1.3</v>
      </c>
      <c r="M122" s="40" t="s">
        <v>66</v>
      </c>
      <c r="N122">
        <v>0</v>
      </c>
      <c r="O122">
        <v>31.48</v>
      </c>
      <c r="P122">
        <v>11.94</v>
      </c>
      <c r="Q122">
        <v>0.27500000000000002</v>
      </c>
      <c r="R122">
        <v>2.4900000000000002</v>
      </c>
      <c r="S122" s="40" t="s">
        <v>67</v>
      </c>
    </row>
    <row r="123" spans="1:19" x14ac:dyDescent="0.45">
      <c r="A123" s="40" t="s">
        <v>115</v>
      </c>
      <c r="B123" s="40" t="s">
        <v>116</v>
      </c>
      <c r="C123">
        <v>47.47</v>
      </c>
      <c r="D123">
        <v>15.46</v>
      </c>
      <c r="E123">
        <v>6.81</v>
      </c>
      <c r="F123">
        <v>0.03</v>
      </c>
      <c r="G123">
        <v>19.52</v>
      </c>
      <c r="H123">
        <v>3</v>
      </c>
      <c r="I123">
        <v>142.41</v>
      </c>
      <c r="J123">
        <v>46.38</v>
      </c>
      <c r="K123">
        <v>20.43</v>
      </c>
      <c r="L123">
        <v>4.2699999999999996</v>
      </c>
      <c r="M123" s="40" t="s">
        <v>66</v>
      </c>
      <c r="N123">
        <v>0</v>
      </c>
      <c r="O123">
        <v>90.6</v>
      </c>
      <c r="P123">
        <v>51.81</v>
      </c>
      <c r="Q123">
        <v>0.36399999999999999</v>
      </c>
      <c r="R123">
        <v>7.3</v>
      </c>
      <c r="S123" s="40" t="s">
        <v>67</v>
      </c>
    </row>
    <row r="124" spans="1:19" x14ac:dyDescent="0.45">
      <c r="A124" s="40" t="s">
        <v>135</v>
      </c>
      <c r="B124" s="40" t="s">
        <v>136</v>
      </c>
      <c r="C124">
        <v>15.07</v>
      </c>
      <c r="D124">
        <v>2</v>
      </c>
      <c r="E124">
        <v>1.8</v>
      </c>
      <c r="F124">
        <v>0.03</v>
      </c>
      <c r="G124">
        <v>9.7100000000000009</v>
      </c>
      <c r="H124">
        <v>1</v>
      </c>
      <c r="I124">
        <v>15.07</v>
      </c>
      <c r="J124">
        <v>2</v>
      </c>
      <c r="K124">
        <v>1.8</v>
      </c>
      <c r="L124">
        <v>0.45</v>
      </c>
      <c r="M124" s="40" t="s">
        <v>66</v>
      </c>
      <c r="N124">
        <v>0</v>
      </c>
      <c r="O124">
        <v>13.96</v>
      </c>
      <c r="P124">
        <v>1.1100000000000001</v>
      </c>
      <c r="Q124">
        <v>7.3999999999999996E-2</v>
      </c>
      <c r="R124">
        <v>1.55</v>
      </c>
      <c r="S124" s="40" t="s">
        <v>67</v>
      </c>
    </row>
    <row r="125" spans="1:19" x14ac:dyDescent="0.45">
      <c r="A125" s="40" t="s">
        <v>149</v>
      </c>
      <c r="B125" s="40" t="s">
        <v>150</v>
      </c>
      <c r="C125">
        <v>32.83</v>
      </c>
      <c r="D125">
        <v>7.29</v>
      </c>
      <c r="E125">
        <v>4.4000000000000004</v>
      </c>
      <c r="F125">
        <v>0.03</v>
      </c>
      <c r="G125">
        <v>18.420000000000002</v>
      </c>
      <c r="H125">
        <v>2</v>
      </c>
      <c r="I125">
        <v>65.66</v>
      </c>
      <c r="J125">
        <v>14.58</v>
      </c>
      <c r="K125">
        <v>8.8000000000000007</v>
      </c>
      <c r="L125">
        <v>1.97</v>
      </c>
      <c r="M125" s="40" t="s">
        <v>66</v>
      </c>
      <c r="N125">
        <v>0</v>
      </c>
      <c r="O125">
        <v>43.77</v>
      </c>
      <c r="P125">
        <v>21.89</v>
      </c>
      <c r="Q125">
        <v>0.33300000000000002</v>
      </c>
      <c r="R125">
        <v>3.56</v>
      </c>
      <c r="S125" s="40" t="s">
        <v>67</v>
      </c>
    </row>
    <row r="126" spans="1:19" x14ac:dyDescent="0.45">
      <c r="A126" s="40" t="s">
        <v>115</v>
      </c>
      <c r="B126" s="40" t="s">
        <v>116</v>
      </c>
      <c r="C126">
        <v>51.64</v>
      </c>
      <c r="D126">
        <v>16.29</v>
      </c>
      <c r="E126">
        <v>6.23</v>
      </c>
      <c r="F126">
        <v>0.03</v>
      </c>
      <c r="G126">
        <v>0</v>
      </c>
      <c r="H126">
        <v>1</v>
      </c>
      <c r="I126">
        <v>51.64</v>
      </c>
      <c r="J126">
        <v>16.29</v>
      </c>
      <c r="K126">
        <v>6.23</v>
      </c>
      <c r="L126">
        <v>1.55</v>
      </c>
      <c r="M126" s="40" t="s">
        <v>66</v>
      </c>
      <c r="N126">
        <v>0</v>
      </c>
      <c r="O126">
        <v>24.07</v>
      </c>
      <c r="P126">
        <v>27.57</v>
      </c>
      <c r="Q126">
        <v>0.53400000000000003</v>
      </c>
      <c r="R126">
        <v>0</v>
      </c>
      <c r="S126" s="40" t="s">
        <v>67</v>
      </c>
    </row>
    <row r="127" spans="1:19" x14ac:dyDescent="0.45">
      <c r="A127" s="40" t="s">
        <v>64</v>
      </c>
      <c r="B127" s="40" t="s">
        <v>65</v>
      </c>
      <c r="C127">
        <v>30.38</v>
      </c>
      <c r="D127">
        <v>10.49</v>
      </c>
      <c r="E127">
        <v>4.21</v>
      </c>
      <c r="F127">
        <v>0.03</v>
      </c>
      <c r="G127">
        <v>5.29</v>
      </c>
      <c r="H127">
        <v>2</v>
      </c>
      <c r="I127">
        <v>60.76</v>
      </c>
      <c r="J127">
        <v>20.98</v>
      </c>
      <c r="K127">
        <v>8.42</v>
      </c>
      <c r="L127">
        <v>1.82</v>
      </c>
      <c r="M127" s="40" t="s">
        <v>66</v>
      </c>
      <c r="N127">
        <v>0</v>
      </c>
      <c r="O127">
        <v>36.51</v>
      </c>
      <c r="P127">
        <v>24.25</v>
      </c>
      <c r="Q127">
        <v>0.39900000000000002</v>
      </c>
      <c r="R127">
        <v>11.49</v>
      </c>
      <c r="S127" s="40" t="s">
        <v>67</v>
      </c>
    </row>
    <row r="128" spans="1:19" x14ac:dyDescent="0.45">
      <c r="A128" s="40" t="s">
        <v>64</v>
      </c>
      <c r="B128" s="40" t="s">
        <v>65</v>
      </c>
      <c r="C128">
        <v>32.39</v>
      </c>
      <c r="D128">
        <v>10.39</v>
      </c>
      <c r="E128">
        <v>3.74</v>
      </c>
      <c r="F128">
        <v>0.03</v>
      </c>
      <c r="G128">
        <v>9.52</v>
      </c>
      <c r="H128">
        <v>1</v>
      </c>
      <c r="I128">
        <v>32.39</v>
      </c>
      <c r="J128">
        <v>10.39</v>
      </c>
      <c r="K128">
        <v>3.74</v>
      </c>
      <c r="L128">
        <v>0.97</v>
      </c>
      <c r="M128" s="40" t="s">
        <v>66</v>
      </c>
      <c r="N128">
        <v>0</v>
      </c>
      <c r="O128">
        <v>24.62</v>
      </c>
      <c r="P128">
        <v>7.77</v>
      </c>
      <c r="Q128">
        <v>0.24</v>
      </c>
      <c r="R128">
        <v>3.4</v>
      </c>
      <c r="S128" s="40" t="s">
        <v>67</v>
      </c>
    </row>
    <row r="129" spans="1:19" x14ac:dyDescent="0.45">
      <c r="A129" s="40" t="s">
        <v>89</v>
      </c>
      <c r="B129" s="40" t="s">
        <v>90</v>
      </c>
      <c r="C129">
        <v>61.31</v>
      </c>
      <c r="D129">
        <v>21.33</v>
      </c>
      <c r="E129">
        <v>6.99</v>
      </c>
      <c r="F129">
        <v>0.03</v>
      </c>
      <c r="G129">
        <v>17.59</v>
      </c>
      <c r="H129">
        <v>2</v>
      </c>
      <c r="I129">
        <v>122.62</v>
      </c>
      <c r="J129">
        <v>42.66</v>
      </c>
      <c r="K129">
        <v>13.98</v>
      </c>
      <c r="L129">
        <v>3.68</v>
      </c>
      <c r="M129" s="40" t="s">
        <v>66</v>
      </c>
      <c r="N129">
        <v>0</v>
      </c>
      <c r="O129">
        <v>77.91</v>
      </c>
      <c r="P129">
        <v>44.71</v>
      </c>
      <c r="Q129">
        <v>0.36499999999999999</v>
      </c>
      <c r="R129">
        <v>6.97</v>
      </c>
      <c r="S129" s="40" t="s">
        <v>67</v>
      </c>
    </row>
    <row r="130" spans="1:19" x14ac:dyDescent="0.45">
      <c r="A130" s="40" t="s">
        <v>74</v>
      </c>
      <c r="B130" s="40" t="s">
        <v>75</v>
      </c>
      <c r="C130">
        <v>43.76</v>
      </c>
      <c r="D130">
        <v>14.95</v>
      </c>
      <c r="E130">
        <v>7.4</v>
      </c>
      <c r="F130">
        <v>0.03</v>
      </c>
      <c r="G130">
        <v>16.239999999999998</v>
      </c>
      <c r="H130">
        <v>2</v>
      </c>
      <c r="I130">
        <v>87.52</v>
      </c>
      <c r="J130">
        <v>29.9</v>
      </c>
      <c r="K130">
        <v>14.8</v>
      </c>
      <c r="L130">
        <v>2.63</v>
      </c>
      <c r="M130" s="40" t="s">
        <v>66</v>
      </c>
      <c r="N130">
        <v>0</v>
      </c>
      <c r="O130">
        <v>63.57</v>
      </c>
      <c r="P130">
        <v>23.95</v>
      </c>
      <c r="Q130">
        <v>0.27400000000000002</v>
      </c>
      <c r="R130">
        <v>5.39</v>
      </c>
      <c r="S130" s="40" t="s">
        <v>67</v>
      </c>
    </row>
    <row r="131" spans="1:19" x14ac:dyDescent="0.45">
      <c r="A131" s="40" t="s">
        <v>109</v>
      </c>
      <c r="B131" s="40" t="s">
        <v>110</v>
      </c>
      <c r="C131">
        <v>21.59</v>
      </c>
      <c r="D131">
        <v>3.36</v>
      </c>
      <c r="E131">
        <v>2.37</v>
      </c>
      <c r="F131">
        <v>0.03</v>
      </c>
      <c r="G131">
        <v>8.2200000000000006</v>
      </c>
      <c r="H131">
        <v>1</v>
      </c>
      <c r="I131">
        <v>21.59</v>
      </c>
      <c r="J131">
        <v>3.36</v>
      </c>
      <c r="K131">
        <v>2.37</v>
      </c>
      <c r="L131">
        <v>0.65</v>
      </c>
      <c r="M131" s="40" t="s">
        <v>66</v>
      </c>
      <c r="N131">
        <v>0</v>
      </c>
      <c r="O131">
        <v>14.6</v>
      </c>
      <c r="P131">
        <v>6.99</v>
      </c>
      <c r="Q131">
        <v>0.32400000000000001</v>
      </c>
      <c r="R131">
        <v>2.63</v>
      </c>
      <c r="S131" s="40" t="s">
        <v>67</v>
      </c>
    </row>
    <row r="132" spans="1:19" x14ac:dyDescent="0.45">
      <c r="A132" s="40" t="s">
        <v>83</v>
      </c>
      <c r="B132" s="40" t="s">
        <v>84</v>
      </c>
      <c r="C132">
        <v>22.78</v>
      </c>
      <c r="D132">
        <v>6.14</v>
      </c>
      <c r="E132">
        <v>3.21</v>
      </c>
      <c r="F132">
        <v>0.03</v>
      </c>
      <c r="G132">
        <v>5.01</v>
      </c>
      <c r="H132">
        <v>1</v>
      </c>
      <c r="I132">
        <v>22.78</v>
      </c>
      <c r="J132">
        <v>6.14</v>
      </c>
      <c r="K132">
        <v>3.21</v>
      </c>
      <c r="L132">
        <v>0.68</v>
      </c>
      <c r="M132" s="40" t="s">
        <v>66</v>
      </c>
      <c r="N132">
        <v>0</v>
      </c>
      <c r="O132">
        <v>15.04</v>
      </c>
      <c r="P132">
        <v>7.74</v>
      </c>
      <c r="Q132">
        <v>0.34</v>
      </c>
      <c r="R132">
        <v>4.55</v>
      </c>
      <c r="S132" s="40" t="s">
        <v>67</v>
      </c>
    </row>
    <row r="133" spans="1:19" x14ac:dyDescent="0.45">
      <c r="A133" s="40" t="s">
        <v>135</v>
      </c>
      <c r="B133" s="40" t="s">
        <v>136</v>
      </c>
      <c r="C133">
        <v>15.5</v>
      </c>
      <c r="D133">
        <v>2.1</v>
      </c>
      <c r="E133">
        <v>2.16</v>
      </c>
      <c r="F133">
        <v>0.03</v>
      </c>
      <c r="G133">
        <v>16.920000000000002</v>
      </c>
      <c r="H133">
        <v>2</v>
      </c>
      <c r="I133">
        <v>31</v>
      </c>
      <c r="J133">
        <v>4.2</v>
      </c>
      <c r="K133">
        <v>4.32</v>
      </c>
      <c r="L133">
        <v>0.93</v>
      </c>
      <c r="M133" s="40" t="s">
        <v>66</v>
      </c>
      <c r="N133">
        <v>0</v>
      </c>
      <c r="O133">
        <v>26.37</v>
      </c>
      <c r="P133">
        <v>4.63</v>
      </c>
      <c r="Q133">
        <v>0.14899999999999999</v>
      </c>
      <c r="R133">
        <v>1.83</v>
      </c>
      <c r="S133" s="40" t="s">
        <v>67</v>
      </c>
    </row>
    <row r="134" spans="1:19" x14ac:dyDescent="0.45">
      <c r="A134" s="40" t="s">
        <v>89</v>
      </c>
      <c r="B134" s="40" t="s">
        <v>140</v>
      </c>
      <c r="C134">
        <v>36.56</v>
      </c>
      <c r="D134">
        <v>8.86</v>
      </c>
      <c r="E134">
        <v>4.33</v>
      </c>
      <c r="F134">
        <v>0.03</v>
      </c>
      <c r="G134">
        <v>8.52</v>
      </c>
      <c r="H134">
        <v>1</v>
      </c>
      <c r="I134">
        <v>36.56</v>
      </c>
      <c r="J134">
        <v>8.86</v>
      </c>
      <c r="K134">
        <v>4.33</v>
      </c>
      <c r="L134">
        <v>1.1000000000000001</v>
      </c>
      <c r="M134" s="40" t="s">
        <v>66</v>
      </c>
      <c r="N134">
        <v>0</v>
      </c>
      <c r="O134">
        <v>22.81</v>
      </c>
      <c r="P134">
        <v>13.75</v>
      </c>
      <c r="Q134">
        <v>0.376</v>
      </c>
      <c r="R134">
        <v>4.29</v>
      </c>
      <c r="S134" s="40" t="s">
        <v>67</v>
      </c>
    </row>
    <row r="135" spans="1:19" x14ac:dyDescent="0.45">
      <c r="A135" s="40" t="s">
        <v>109</v>
      </c>
      <c r="B135" s="40" t="s">
        <v>110</v>
      </c>
      <c r="C135">
        <v>20.239999999999998</v>
      </c>
      <c r="D135">
        <v>3.65</v>
      </c>
      <c r="E135">
        <v>2.4900000000000002</v>
      </c>
      <c r="F135">
        <v>0.03</v>
      </c>
      <c r="G135">
        <v>19.16</v>
      </c>
      <c r="H135">
        <v>2</v>
      </c>
      <c r="I135">
        <v>40.479999999999997</v>
      </c>
      <c r="J135">
        <v>7.3</v>
      </c>
      <c r="K135">
        <v>4.9800000000000004</v>
      </c>
      <c r="L135">
        <v>1.21</v>
      </c>
      <c r="M135" s="40" t="s">
        <v>66</v>
      </c>
      <c r="N135">
        <v>0</v>
      </c>
      <c r="O135">
        <v>32.65</v>
      </c>
      <c r="P135">
        <v>7.83</v>
      </c>
      <c r="Q135">
        <v>0.193</v>
      </c>
      <c r="R135">
        <v>2.11</v>
      </c>
      <c r="S135" s="40" t="s">
        <v>67</v>
      </c>
    </row>
    <row r="136" spans="1:19" x14ac:dyDescent="0.45">
      <c r="A136" s="40" t="s">
        <v>99</v>
      </c>
      <c r="B136" s="40" t="s">
        <v>100</v>
      </c>
      <c r="C136">
        <v>34.53</v>
      </c>
      <c r="D136">
        <v>9.24</v>
      </c>
      <c r="E136">
        <v>3.62</v>
      </c>
      <c r="F136">
        <v>0.03</v>
      </c>
      <c r="G136">
        <v>7.47</v>
      </c>
      <c r="H136">
        <v>1</v>
      </c>
      <c r="I136">
        <v>34.53</v>
      </c>
      <c r="J136">
        <v>9.24</v>
      </c>
      <c r="K136">
        <v>3.62</v>
      </c>
      <c r="L136">
        <v>1.04</v>
      </c>
      <c r="M136" s="40" t="s">
        <v>66</v>
      </c>
      <c r="N136">
        <v>0</v>
      </c>
      <c r="O136">
        <v>21.37</v>
      </c>
      <c r="P136">
        <v>13.16</v>
      </c>
      <c r="Q136">
        <v>0.38100000000000001</v>
      </c>
      <c r="R136">
        <v>4.62</v>
      </c>
      <c r="S136" s="40" t="s">
        <v>67</v>
      </c>
    </row>
    <row r="137" spans="1:19" x14ac:dyDescent="0.45">
      <c r="A137" s="40" t="s">
        <v>99</v>
      </c>
      <c r="B137" s="40" t="s">
        <v>100</v>
      </c>
      <c r="C137">
        <v>38.32</v>
      </c>
      <c r="D137">
        <v>8.6199999999999992</v>
      </c>
      <c r="E137">
        <v>4.04</v>
      </c>
      <c r="F137">
        <v>0.03</v>
      </c>
      <c r="G137">
        <v>0</v>
      </c>
      <c r="H137">
        <v>1</v>
      </c>
      <c r="I137">
        <v>38.32</v>
      </c>
      <c r="J137">
        <v>8.6199999999999992</v>
      </c>
      <c r="K137">
        <v>4.04</v>
      </c>
      <c r="L137">
        <v>1.1499999999999999</v>
      </c>
      <c r="M137" s="40" t="s">
        <v>66</v>
      </c>
      <c r="N137">
        <v>0</v>
      </c>
      <c r="O137">
        <v>13.81</v>
      </c>
      <c r="P137">
        <v>24.51</v>
      </c>
      <c r="Q137">
        <v>0.64</v>
      </c>
      <c r="R137">
        <v>0</v>
      </c>
      <c r="S137" s="40" t="s">
        <v>67</v>
      </c>
    </row>
    <row r="138" spans="1:19" x14ac:dyDescent="0.45">
      <c r="A138" s="40" t="s">
        <v>74</v>
      </c>
      <c r="B138" s="40" t="s">
        <v>75</v>
      </c>
      <c r="C138">
        <v>45.14</v>
      </c>
      <c r="D138">
        <v>14.11</v>
      </c>
      <c r="E138">
        <v>7.25</v>
      </c>
      <c r="F138">
        <v>0.03</v>
      </c>
      <c r="G138">
        <v>3.93</v>
      </c>
      <c r="H138">
        <v>1</v>
      </c>
      <c r="I138">
        <v>45.14</v>
      </c>
      <c r="J138">
        <v>14.11</v>
      </c>
      <c r="K138">
        <v>7.25</v>
      </c>
      <c r="L138">
        <v>1.35</v>
      </c>
      <c r="M138" s="40" t="s">
        <v>66</v>
      </c>
      <c r="N138">
        <v>0</v>
      </c>
      <c r="O138">
        <v>26.64</v>
      </c>
      <c r="P138">
        <v>18.5</v>
      </c>
      <c r="Q138">
        <v>0.41</v>
      </c>
      <c r="R138">
        <v>11.49</v>
      </c>
      <c r="S138" s="40" t="s">
        <v>67</v>
      </c>
    </row>
    <row r="139" spans="1:19" x14ac:dyDescent="0.45">
      <c r="A139" s="40" t="s">
        <v>99</v>
      </c>
      <c r="B139" s="40" t="s">
        <v>100</v>
      </c>
      <c r="C139">
        <v>36.54</v>
      </c>
      <c r="D139">
        <v>9.39</v>
      </c>
      <c r="E139">
        <v>3.91</v>
      </c>
      <c r="F139">
        <v>0.03</v>
      </c>
      <c r="G139">
        <v>0</v>
      </c>
      <c r="H139">
        <v>1</v>
      </c>
      <c r="I139">
        <v>36.54</v>
      </c>
      <c r="J139">
        <v>9.39</v>
      </c>
      <c r="K139">
        <v>3.91</v>
      </c>
      <c r="L139">
        <v>1.1000000000000001</v>
      </c>
      <c r="M139" s="40" t="s">
        <v>66</v>
      </c>
      <c r="N139">
        <v>0</v>
      </c>
      <c r="O139">
        <v>14.4</v>
      </c>
      <c r="P139">
        <v>22.14</v>
      </c>
      <c r="Q139">
        <v>0.60599999999999998</v>
      </c>
      <c r="R139">
        <v>0</v>
      </c>
      <c r="S139" s="40" t="s">
        <v>67</v>
      </c>
    </row>
    <row r="140" spans="1:19" x14ac:dyDescent="0.45">
      <c r="A140" s="40" t="s">
        <v>89</v>
      </c>
      <c r="B140" s="40" t="s">
        <v>140</v>
      </c>
      <c r="C140">
        <v>40.869999999999997</v>
      </c>
      <c r="D140">
        <v>9.02</v>
      </c>
      <c r="E140">
        <v>4.05</v>
      </c>
      <c r="F140">
        <v>0.03</v>
      </c>
      <c r="G140">
        <v>27.99</v>
      </c>
      <c r="H140">
        <v>3</v>
      </c>
      <c r="I140">
        <v>122.61</v>
      </c>
      <c r="J140">
        <v>27.06</v>
      </c>
      <c r="K140">
        <v>12.15</v>
      </c>
      <c r="L140">
        <v>3.68</v>
      </c>
      <c r="M140" s="40" t="s">
        <v>66</v>
      </c>
      <c r="N140">
        <v>0</v>
      </c>
      <c r="O140">
        <v>70.88</v>
      </c>
      <c r="P140">
        <v>51.73</v>
      </c>
      <c r="Q140">
        <v>0.42199999999999999</v>
      </c>
      <c r="R140">
        <v>4.38</v>
      </c>
      <c r="S140" s="40" t="s">
        <v>67</v>
      </c>
    </row>
    <row r="141" spans="1:19" x14ac:dyDescent="0.45">
      <c r="A141" s="40" t="s">
        <v>109</v>
      </c>
      <c r="B141" s="40" t="s">
        <v>110</v>
      </c>
      <c r="C141">
        <v>18.84</v>
      </c>
      <c r="D141">
        <v>3.55</v>
      </c>
      <c r="E141">
        <v>2.41</v>
      </c>
      <c r="F141">
        <v>0.03</v>
      </c>
      <c r="G141">
        <v>7.06</v>
      </c>
      <c r="H141">
        <v>1</v>
      </c>
      <c r="I141">
        <v>18.84</v>
      </c>
      <c r="J141">
        <v>3.55</v>
      </c>
      <c r="K141">
        <v>2.41</v>
      </c>
      <c r="L141">
        <v>0.56999999999999995</v>
      </c>
      <c r="M141" s="40" t="s">
        <v>66</v>
      </c>
      <c r="N141">
        <v>0</v>
      </c>
      <c r="O141">
        <v>13.59</v>
      </c>
      <c r="P141">
        <v>5.25</v>
      </c>
      <c r="Q141">
        <v>0.27900000000000003</v>
      </c>
      <c r="R141">
        <v>2.67</v>
      </c>
      <c r="S141" s="40" t="s">
        <v>67</v>
      </c>
    </row>
    <row r="142" spans="1:19" x14ac:dyDescent="0.45">
      <c r="A142" s="40" t="s">
        <v>74</v>
      </c>
      <c r="B142" s="40" t="s">
        <v>75</v>
      </c>
      <c r="C142">
        <v>44.32</v>
      </c>
      <c r="D142">
        <v>13.91</v>
      </c>
      <c r="E142">
        <v>6.97</v>
      </c>
      <c r="F142">
        <v>0.03</v>
      </c>
      <c r="G142">
        <v>15.93</v>
      </c>
      <c r="H142">
        <v>2</v>
      </c>
      <c r="I142">
        <v>88.64</v>
      </c>
      <c r="J142">
        <v>27.82</v>
      </c>
      <c r="K142">
        <v>13.94</v>
      </c>
      <c r="L142">
        <v>2.66</v>
      </c>
      <c r="M142" s="40" t="s">
        <v>66</v>
      </c>
      <c r="N142">
        <v>0</v>
      </c>
      <c r="O142">
        <v>60.35</v>
      </c>
      <c r="P142">
        <v>28.29</v>
      </c>
      <c r="Q142">
        <v>0.31900000000000001</v>
      </c>
      <c r="R142">
        <v>5.56</v>
      </c>
      <c r="S142" s="40" t="s">
        <v>67</v>
      </c>
    </row>
    <row r="143" spans="1:19" x14ac:dyDescent="0.45">
      <c r="A143" s="40" t="s">
        <v>64</v>
      </c>
      <c r="B143" s="40" t="s">
        <v>65</v>
      </c>
      <c r="C143">
        <v>33.51</v>
      </c>
      <c r="D143">
        <v>9.68</v>
      </c>
      <c r="E143">
        <v>4.58</v>
      </c>
      <c r="F143">
        <v>0.03</v>
      </c>
      <c r="G143">
        <v>5.31</v>
      </c>
      <c r="H143">
        <v>1</v>
      </c>
      <c r="I143">
        <v>33.51</v>
      </c>
      <c r="J143">
        <v>9.68</v>
      </c>
      <c r="K143">
        <v>4.58</v>
      </c>
      <c r="L143">
        <v>1.01</v>
      </c>
      <c r="M143" s="40" t="s">
        <v>66</v>
      </c>
      <c r="N143">
        <v>0</v>
      </c>
      <c r="O143">
        <v>20.58</v>
      </c>
      <c r="P143">
        <v>12.93</v>
      </c>
      <c r="Q143">
        <v>0.38600000000000001</v>
      </c>
      <c r="R143">
        <v>6.31</v>
      </c>
      <c r="S143" s="40" t="s">
        <v>67</v>
      </c>
    </row>
    <row r="144" spans="1:19" x14ac:dyDescent="0.45">
      <c r="A144" s="40" t="s">
        <v>115</v>
      </c>
      <c r="B144" s="40" t="s">
        <v>116</v>
      </c>
      <c r="C144">
        <v>51.01</v>
      </c>
      <c r="D144">
        <v>17.11</v>
      </c>
      <c r="E144">
        <v>6.62</v>
      </c>
      <c r="F144">
        <v>0.03</v>
      </c>
      <c r="G144">
        <v>5.49</v>
      </c>
      <c r="H144">
        <v>1</v>
      </c>
      <c r="I144">
        <v>51.01</v>
      </c>
      <c r="J144">
        <v>17.11</v>
      </c>
      <c r="K144">
        <v>6.62</v>
      </c>
      <c r="L144">
        <v>1.53</v>
      </c>
      <c r="M144" s="40" t="s">
        <v>66</v>
      </c>
      <c r="N144">
        <v>0</v>
      </c>
      <c r="O144">
        <v>30.75</v>
      </c>
      <c r="P144">
        <v>20.260000000000002</v>
      </c>
      <c r="Q144">
        <v>0.39700000000000002</v>
      </c>
      <c r="R144">
        <v>9.2899999999999991</v>
      </c>
      <c r="S144" s="40" t="s">
        <v>67</v>
      </c>
    </row>
    <row r="145" spans="1:19" x14ac:dyDescent="0.45">
      <c r="A145" s="40" t="s">
        <v>115</v>
      </c>
      <c r="B145" s="40" t="s">
        <v>116</v>
      </c>
      <c r="C145">
        <v>54.77</v>
      </c>
      <c r="D145">
        <v>15.53</v>
      </c>
      <c r="E145">
        <v>6.82</v>
      </c>
      <c r="F145">
        <v>0.03</v>
      </c>
      <c r="G145">
        <v>7.66</v>
      </c>
      <c r="H145">
        <v>2</v>
      </c>
      <c r="I145">
        <v>109.54</v>
      </c>
      <c r="J145">
        <v>31.06</v>
      </c>
      <c r="K145">
        <v>13.64</v>
      </c>
      <c r="L145">
        <v>3.29</v>
      </c>
      <c r="M145" s="40" t="s">
        <v>66</v>
      </c>
      <c r="N145">
        <v>0</v>
      </c>
      <c r="O145">
        <v>55.65</v>
      </c>
      <c r="P145">
        <v>53.89</v>
      </c>
      <c r="Q145">
        <v>0.49199999999999999</v>
      </c>
      <c r="R145">
        <v>14.3</v>
      </c>
      <c r="S145" s="40" t="s">
        <v>67</v>
      </c>
    </row>
    <row r="146" spans="1:19" x14ac:dyDescent="0.45">
      <c r="A146" s="40" t="s">
        <v>89</v>
      </c>
      <c r="B146" s="40" t="s">
        <v>90</v>
      </c>
      <c r="C146">
        <v>63.85</v>
      </c>
      <c r="D146">
        <v>21.99</v>
      </c>
      <c r="E146">
        <v>6.77</v>
      </c>
      <c r="F146">
        <v>0.03</v>
      </c>
      <c r="G146">
        <v>3.31</v>
      </c>
      <c r="H146">
        <v>1</v>
      </c>
      <c r="I146">
        <v>63.85</v>
      </c>
      <c r="J146">
        <v>21.99</v>
      </c>
      <c r="K146">
        <v>6.77</v>
      </c>
      <c r="L146">
        <v>1.92</v>
      </c>
      <c r="M146" s="40" t="s">
        <v>154</v>
      </c>
      <c r="N146">
        <v>56.02</v>
      </c>
      <c r="O146">
        <v>90.01</v>
      </c>
      <c r="P146">
        <v>-26.16</v>
      </c>
      <c r="Q146">
        <v>-0.41</v>
      </c>
      <c r="R146">
        <v>19.29</v>
      </c>
      <c r="S146" s="40" t="s">
        <v>155</v>
      </c>
    </row>
    <row r="147" spans="1:19" x14ac:dyDescent="0.45">
      <c r="A147" s="40" t="s">
        <v>99</v>
      </c>
      <c r="B147" s="40" t="s">
        <v>100</v>
      </c>
      <c r="C147">
        <v>36.79</v>
      </c>
      <c r="D147">
        <v>8.6999999999999993</v>
      </c>
      <c r="E147">
        <v>4.09</v>
      </c>
      <c r="F147">
        <v>0.03</v>
      </c>
      <c r="G147">
        <v>0</v>
      </c>
      <c r="H147">
        <v>2</v>
      </c>
      <c r="I147">
        <v>73.58</v>
      </c>
      <c r="J147">
        <v>17.399999999999999</v>
      </c>
      <c r="K147">
        <v>8.18</v>
      </c>
      <c r="L147">
        <v>2.21</v>
      </c>
      <c r="M147" s="40" t="s">
        <v>66</v>
      </c>
      <c r="N147">
        <v>0</v>
      </c>
      <c r="O147">
        <v>27.79</v>
      </c>
      <c r="P147">
        <v>45.79</v>
      </c>
      <c r="Q147">
        <v>0.622</v>
      </c>
      <c r="R147">
        <v>0</v>
      </c>
      <c r="S147" s="40" t="s">
        <v>67</v>
      </c>
    </row>
    <row r="148" spans="1:19" x14ac:dyDescent="0.45">
      <c r="A148" s="40" t="s">
        <v>149</v>
      </c>
      <c r="B148" s="40" t="s">
        <v>150</v>
      </c>
      <c r="C148">
        <v>29.88</v>
      </c>
      <c r="D148">
        <v>7.53</v>
      </c>
      <c r="E148">
        <v>4.46</v>
      </c>
      <c r="F148">
        <v>0.03</v>
      </c>
      <c r="G148">
        <v>5.6</v>
      </c>
      <c r="H148">
        <v>1</v>
      </c>
      <c r="I148">
        <v>29.88</v>
      </c>
      <c r="J148">
        <v>7.53</v>
      </c>
      <c r="K148">
        <v>4.46</v>
      </c>
      <c r="L148">
        <v>0.9</v>
      </c>
      <c r="M148" s="40" t="s">
        <v>66</v>
      </c>
      <c r="N148">
        <v>0</v>
      </c>
      <c r="O148">
        <v>18.489999999999998</v>
      </c>
      <c r="P148">
        <v>11.39</v>
      </c>
      <c r="Q148">
        <v>0.38100000000000001</v>
      </c>
      <c r="R148">
        <v>5.34</v>
      </c>
      <c r="S148" s="40" t="s">
        <v>67</v>
      </c>
    </row>
    <row r="149" spans="1:19" x14ac:dyDescent="0.45">
      <c r="A149" s="40" t="s">
        <v>64</v>
      </c>
      <c r="B149" s="40" t="s">
        <v>65</v>
      </c>
      <c r="C149">
        <v>36.380000000000003</v>
      </c>
      <c r="D149">
        <v>10.72</v>
      </c>
      <c r="E149">
        <v>4.45</v>
      </c>
      <c r="F149">
        <v>0.03</v>
      </c>
      <c r="G149">
        <v>5.85</v>
      </c>
      <c r="H149">
        <v>1</v>
      </c>
      <c r="I149">
        <v>36.380000000000003</v>
      </c>
      <c r="J149">
        <v>10.72</v>
      </c>
      <c r="K149">
        <v>4.45</v>
      </c>
      <c r="L149">
        <v>1.0900000000000001</v>
      </c>
      <c r="M149" s="40" t="s">
        <v>154</v>
      </c>
      <c r="N149">
        <v>19.64</v>
      </c>
      <c r="O149">
        <v>41.75</v>
      </c>
      <c r="P149">
        <v>-5.37</v>
      </c>
      <c r="Q149">
        <v>-0.14799999999999999</v>
      </c>
      <c r="R149">
        <v>6.22</v>
      </c>
      <c r="S149" s="40" t="s">
        <v>155</v>
      </c>
    </row>
    <row r="150" spans="1:19" x14ac:dyDescent="0.45">
      <c r="A150" s="40" t="s">
        <v>109</v>
      </c>
      <c r="B150" s="40" t="s">
        <v>110</v>
      </c>
      <c r="C150">
        <v>19.82</v>
      </c>
      <c r="D150">
        <v>3.43</v>
      </c>
      <c r="E150">
        <v>2.4900000000000002</v>
      </c>
      <c r="F150">
        <v>0.03</v>
      </c>
      <c r="G150">
        <v>6.96</v>
      </c>
      <c r="H150">
        <v>1</v>
      </c>
      <c r="I150">
        <v>19.82</v>
      </c>
      <c r="J150">
        <v>3.43</v>
      </c>
      <c r="K150">
        <v>2.4900000000000002</v>
      </c>
      <c r="L150">
        <v>0.59</v>
      </c>
      <c r="M150" s="40" t="s">
        <v>66</v>
      </c>
      <c r="N150">
        <v>0</v>
      </c>
      <c r="O150">
        <v>13.47</v>
      </c>
      <c r="P150">
        <v>6.35</v>
      </c>
      <c r="Q150">
        <v>0.32</v>
      </c>
      <c r="R150">
        <v>2.85</v>
      </c>
      <c r="S150" s="40" t="s">
        <v>67</v>
      </c>
    </row>
    <row r="151" spans="1:19" x14ac:dyDescent="0.45">
      <c r="A151" s="40" t="s">
        <v>64</v>
      </c>
      <c r="B151" s="40" t="s">
        <v>65</v>
      </c>
      <c r="C151">
        <v>30.9</v>
      </c>
      <c r="D151">
        <v>9.68</v>
      </c>
      <c r="E151">
        <v>3.85</v>
      </c>
      <c r="F151">
        <v>0.03</v>
      </c>
      <c r="G151">
        <v>19.37</v>
      </c>
      <c r="H151">
        <v>2</v>
      </c>
      <c r="I151">
        <v>61.8</v>
      </c>
      <c r="J151">
        <v>19.36</v>
      </c>
      <c r="K151">
        <v>7.7</v>
      </c>
      <c r="L151">
        <v>1.85</v>
      </c>
      <c r="M151" s="40" t="s">
        <v>66</v>
      </c>
      <c r="N151">
        <v>0</v>
      </c>
      <c r="O151">
        <v>48.28</v>
      </c>
      <c r="P151">
        <v>13.52</v>
      </c>
      <c r="Q151">
        <v>0.219</v>
      </c>
      <c r="R151">
        <v>3.19</v>
      </c>
      <c r="S151" s="40" t="s">
        <v>67</v>
      </c>
    </row>
    <row r="152" spans="1:19" x14ac:dyDescent="0.45">
      <c r="A152" s="40" t="s">
        <v>64</v>
      </c>
      <c r="B152" s="40" t="s">
        <v>65</v>
      </c>
      <c r="C152">
        <v>36.22</v>
      </c>
      <c r="D152">
        <v>10.18</v>
      </c>
      <c r="E152">
        <v>4.51</v>
      </c>
      <c r="F152">
        <v>0.03</v>
      </c>
      <c r="G152">
        <v>8.73</v>
      </c>
      <c r="H152">
        <v>2</v>
      </c>
      <c r="I152">
        <v>72.44</v>
      </c>
      <c r="J152">
        <v>20.36</v>
      </c>
      <c r="K152">
        <v>9.02</v>
      </c>
      <c r="L152">
        <v>2.17</v>
      </c>
      <c r="M152" s="40" t="s">
        <v>66</v>
      </c>
      <c r="N152">
        <v>0</v>
      </c>
      <c r="O152">
        <v>40.28</v>
      </c>
      <c r="P152">
        <v>32.159999999999997</v>
      </c>
      <c r="Q152">
        <v>0.44400000000000001</v>
      </c>
      <c r="R152">
        <v>8.3000000000000007</v>
      </c>
      <c r="S152" s="40" t="s">
        <v>67</v>
      </c>
    </row>
    <row r="153" spans="1:19" x14ac:dyDescent="0.45">
      <c r="A153" s="40" t="s">
        <v>64</v>
      </c>
      <c r="B153" s="40" t="s">
        <v>65</v>
      </c>
      <c r="C153">
        <v>36.07</v>
      </c>
      <c r="D153">
        <v>10.56</v>
      </c>
      <c r="E153">
        <v>3.81</v>
      </c>
      <c r="F153">
        <v>0.03</v>
      </c>
      <c r="G153">
        <v>15.82</v>
      </c>
      <c r="H153">
        <v>3</v>
      </c>
      <c r="I153">
        <v>108.21</v>
      </c>
      <c r="J153">
        <v>31.68</v>
      </c>
      <c r="K153">
        <v>11.43</v>
      </c>
      <c r="L153">
        <v>3.25</v>
      </c>
      <c r="M153" s="40" t="s">
        <v>66</v>
      </c>
      <c r="N153">
        <v>0</v>
      </c>
      <c r="O153">
        <v>62.18</v>
      </c>
      <c r="P153">
        <v>46.03</v>
      </c>
      <c r="Q153">
        <v>0.42499999999999999</v>
      </c>
      <c r="R153">
        <v>6.84</v>
      </c>
      <c r="S153" s="40" t="s">
        <v>67</v>
      </c>
    </row>
    <row r="154" spans="1:19" x14ac:dyDescent="0.45">
      <c r="A154" s="40" t="s">
        <v>64</v>
      </c>
      <c r="B154" s="40" t="s">
        <v>65</v>
      </c>
      <c r="C154">
        <v>33.479999999999997</v>
      </c>
      <c r="D154">
        <v>10.06</v>
      </c>
      <c r="E154">
        <v>4.55</v>
      </c>
      <c r="F154">
        <v>0.03</v>
      </c>
      <c r="G154">
        <v>19.41</v>
      </c>
      <c r="H154">
        <v>2</v>
      </c>
      <c r="I154">
        <v>0</v>
      </c>
      <c r="J154">
        <v>0</v>
      </c>
      <c r="K154">
        <v>0</v>
      </c>
      <c r="L154">
        <v>0</v>
      </c>
      <c r="M154" s="40" t="s">
        <v>66</v>
      </c>
      <c r="N154">
        <v>0</v>
      </c>
      <c r="O154">
        <v>0</v>
      </c>
      <c r="P154">
        <v>-19.41</v>
      </c>
      <c r="Q154">
        <v>0</v>
      </c>
      <c r="R154">
        <v>0</v>
      </c>
      <c r="S154" s="40" t="s">
        <v>166</v>
      </c>
    </row>
    <row r="155" spans="1:19" x14ac:dyDescent="0.45">
      <c r="A155" s="40" t="s">
        <v>74</v>
      </c>
      <c r="B155" s="40" t="s">
        <v>75</v>
      </c>
      <c r="C155">
        <v>48.33</v>
      </c>
      <c r="D155">
        <v>13.89</v>
      </c>
      <c r="E155">
        <v>7.4</v>
      </c>
      <c r="F155">
        <v>0.03</v>
      </c>
      <c r="G155">
        <v>0</v>
      </c>
      <c r="H155">
        <v>2</v>
      </c>
      <c r="I155">
        <v>96.66</v>
      </c>
      <c r="J155">
        <v>27.78</v>
      </c>
      <c r="K155">
        <v>14.8</v>
      </c>
      <c r="L155">
        <v>2.9</v>
      </c>
      <c r="M155" s="40" t="s">
        <v>66</v>
      </c>
      <c r="N155">
        <v>0</v>
      </c>
      <c r="O155">
        <v>45.48</v>
      </c>
      <c r="P155">
        <v>51.18</v>
      </c>
      <c r="Q155">
        <v>0.52900000000000003</v>
      </c>
      <c r="R155">
        <v>0</v>
      </c>
      <c r="S155" s="40" t="s">
        <v>67</v>
      </c>
    </row>
    <row r="156" spans="1:19" x14ac:dyDescent="0.45">
      <c r="A156" s="40" t="s">
        <v>109</v>
      </c>
      <c r="B156" s="40" t="s">
        <v>110</v>
      </c>
      <c r="C156">
        <v>18</v>
      </c>
      <c r="D156">
        <v>3.65</v>
      </c>
      <c r="E156">
        <v>2.44</v>
      </c>
      <c r="F156">
        <v>0.03</v>
      </c>
      <c r="G156">
        <v>12.01</v>
      </c>
      <c r="H156">
        <v>2</v>
      </c>
      <c r="I156">
        <v>36</v>
      </c>
      <c r="J156">
        <v>7.3</v>
      </c>
      <c r="K156">
        <v>4.88</v>
      </c>
      <c r="L156">
        <v>1.08</v>
      </c>
      <c r="M156" s="40" t="s">
        <v>66</v>
      </c>
      <c r="N156">
        <v>0</v>
      </c>
      <c r="O156">
        <v>25.27</v>
      </c>
      <c r="P156">
        <v>10.73</v>
      </c>
      <c r="Q156">
        <v>0.29799999999999999</v>
      </c>
      <c r="R156">
        <v>3</v>
      </c>
      <c r="S156" s="40" t="s">
        <v>67</v>
      </c>
    </row>
    <row r="157" spans="1:19" x14ac:dyDescent="0.45">
      <c r="A157" s="40" t="s">
        <v>135</v>
      </c>
      <c r="B157" s="40" t="s">
        <v>136</v>
      </c>
      <c r="C157">
        <v>14.77</v>
      </c>
      <c r="D157">
        <v>2.16</v>
      </c>
      <c r="E157">
        <v>2.14</v>
      </c>
      <c r="F157">
        <v>0.03</v>
      </c>
      <c r="G157">
        <v>8.2799999999999994</v>
      </c>
      <c r="H157">
        <v>1</v>
      </c>
      <c r="I157">
        <v>0</v>
      </c>
      <c r="J157">
        <v>0</v>
      </c>
      <c r="K157">
        <v>0</v>
      </c>
      <c r="L157">
        <v>0</v>
      </c>
      <c r="M157" s="40" t="s">
        <v>66</v>
      </c>
      <c r="N157">
        <v>0</v>
      </c>
      <c r="O157">
        <v>0</v>
      </c>
      <c r="P157">
        <v>-8.2799999999999994</v>
      </c>
      <c r="Q157">
        <v>0</v>
      </c>
      <c r="R157">
        <v>0</v>
      </c>
      <c r="S157" s="40" t="s">
        <v>166</v>
      </c>
    </row>
    <row r="158" spans="1:19" x14ac:dyDescent="0.45">
      <c r="A158" s="40" t="s">
        <v>89</v>
      </c>
      <c r="B158" s="40" t="s">
        <v>90</v>
      </c>
      <c r="C158">
        <v>55.75</v>
      </c>
      <c r="D158">
        <v>23.1</v>
      </c>
      <c r="E158">
        <v>8.02</v>
      </c>
      <c r="F158">
        <v>0.03</v>
      </c>
      <c r="G158">
        <v>20.420000000000002</v>
      </c>
      <c r="H158">
        <v>2</v>
      </c>
      <c r="I158">
        <v>111.5</v>
      </c>
      <c r="J158">
        <v>46.2</v>
      </c>
      <c r="K158">
        <v>16.04</v>
      </c>
      <c r="L158">
        <v>3.35</v>
      </c>
      <c r="M158" s="40" t="s">
        <v>66</v>
      </c>
      <c r="N158">
        <v>0</v>
      </c>
      <c r="O158">
        <v>86.01</v>
      </c>
      <c r="P158">
        <v>25.49</v>
      </c>
      <c r="Q158">
        <v>0.22900000000000001</v>
      </c>
      <c r="R158">
        <v>5.46</v>
      </c>
      <c r="S158" s="40" t="s">
        <v>67</v>
      </c>
    </row>
    <row r="159" spans="1:19" x14ac:dyDescent="0.45">
      <c r="A159" s="40" t="s">
        <v>109</v>
      </c>
      <c r="B159" s="40" t="s">
        <v>110</v>
      </c>
      <c r="C159">
        <v>20.88</v>
      </c>
      <c r="D159">
        <v>3.61</v>
      </c>
      <c r="E159">
        <v>2.4500000000000002</v>
      </c>
      <c r="F159">
        <v>0.03</v>
      </c>
      <c r="G159">
        <v>10.84</v>
      </c>
      <c r="H159">
        <v>3</v>
      </c>
      <c r="I159">
        <v>62.64</v>
      </c>
      <c r="J159">
        <v>10.83</v>
      </c>
      <c r="K159">
        <v>7.35</v>
      </c>
      <c r="L159">
        <v>1.88</v>
      </c>
      <c r="M159" s="40" t="s">
        <v>66</v>
      </c>
      <c r="N159">
        <v>0</v>
      </c>
      <c r="O159">
        <v>30.9</v>
      </c>
      <c r="P159">
        <v>31.74</v>
      </c>
      <c r="Q159">
        <v>0.50700000000000001</v>
      </c>
      <c r="R159">
        <v>5.78</v>
      </c>
      <c r="S159" s="40" t="s">
        <v>67</v>
      </c>
    </row>
    <row r="160" spans="1:19" x14ac:dyDescent="0.45">
      <c r="A160" s="40" t="s">
        <v>64</v>
      </c>
      <c r="B160" s="40" t="s">
        <v>65</v>
      </c>
      <c r="C160">
        <v>32.92</v>
      </c>
      <c r="D160">
        <v>10.66</v>
      </c>
      <c r="E160">
        <v>4.41</v>
      </c>
      <c r="F160">
        <v>0.03</v>
      </c>
      <c r="G160">
        <v>5.28</v>
      </c>
      <c r="H160">
        <v>1</v>
      </c>
      <c r="I160">
        <v>32.92</v>
      </c>
      <c r="J160">
        <v>10.66</v>
      </c>
      <c r="K160">
        <v>4.41</v>
      </c>
      <c r="L160">
        <v>0.99</v>
      </c>
      <c r="M160" s="40" t="s">
        <v>66</v>
      </c>
      <c r="N160">
        <v>0</v>
      </c>
      <c r="O160">
        <v>21.34</v>
      </c>
      <c r="P160">
        <v>11.58</v>
      </c>
      <c r="Q160">
        <v>0.35199999999999998</v>
      </c>
      <c r="R160">
        <v>6.23</v>
      </c>
      <c r="S160" s="40" t="s">
        <v>67</v>
      </c>
    </row>
    <row r="161" spans="1:19" x14ac:dyDescent="0.45">
      <c r="A161" s="40" t="s">
        <v>149</v>
      </c>
      <c r="B161" s="40" t="s">
        <v>150</v>
      </c>
      <c r="C161">
        <v>29.12</v>
      </c>
      <c r="D161">
        <v>7.17</v>
      </c>
      <c r="E161">
        <v>5.08</v>
      </c>
      <c r="F161">
        <v>0.03</v>
      </c>
      <c r="G161">
        <v>16.73</v>
      </c>
      <c r="H161">
        <v>2</v>
      </c>
      <c r="I161">
        <v>58.24</v>
      </c>
      <c r="J161">
        <v>14.34</v>
      </c>
      <c r="K161">
        <v>10.16</v>
      </c>
      <c r="L161">
        <v>1.75</v>
      </c>
      <c r="M161" s="40" t="s">
        <v>66</v>
      </c>
      <c r="N161">
        <v>0</v>
      </c>
      <c r="O161">
        <v>42.98</v>
      </c>
      <c r="P161">
        <v>15.26</v>
      </c>
      <c r="Q161">
        <v>0.26200000000000001</v>
      </c>
      <c r="R161">
        <v>3.48</v>
      </c>
      <c r="S161" s="40" t="s">
        <v>67</v>
      </c>
    </row>
    <row r="162" spans="1:19" x14ac:dyDescent="0.45">
      <c r="A162" s="40" t="s">
        <v>64</v>
      </c>
      <c r="B162" s="40" t="s">
        <v>65</v>
      </c>
      <c r="C162">
        <v>36.11</v>
      </c>
      <c r="D162">
        <v>10.42</v>
      </c>
      <c r="E162">
        <v>4.4800000000000004</v>
      </c>
      <c r="F162">
        <v>0.03</v>
      </c>
      <c r="G162">
        <v>7.2</v>
      </c>
      <c r="H162">
        <v>1</v>
      </c>
      <c r="I162">
        <v>36.11</v>
      </c>
      <c r="J162">
        <v>10.42</v>
      </c>
      <c r="K162">
        <v>4.4800000000000004</v>
      </c>
      <c r="L162">
        <v>1.08</v>
      </c>
      <c r="M162" s="40" t="s">
        <v>66</v>
      </c>
      <c r="N162">
        <v>0</v>
      </c>
      <c r="O162">
        <v>23.18</v>
      </c>
      <c r="P162">
        <v>12.93</v>
      </c>
      <c r="Q162">
        <v>0.35799999999999998</v>
      </c>
      <c r="R162">
        <v>5.0199999999999996</v>
      </c>
      <c r="S162" s="40" t="s">
        <v>67</v>
      </c>
    </row>
    <row r="163" spans="1:19" x14ac:dyDescent="0.45">
      <c r="A163" s="40" t="s">
        <v>89</v>
      </c>
      <c r="B163" s="40" t="s">
        <v>140</v>
      </c>
      <c r="C163">
        <v>39.090000000000003</v>
      </c>
      <c r="D163">
        <v>8.5500000000000007</v>
      </c>
      <c r="E163">
        <v>3.71</v>
      </c>
      <c r="F163">
        <v>0.03</v>
      </c>
      <c r="G163">
        <v>18.13</v>
      </c>
      <c r="H163">
        <v>2</v>
      </c>
      <c r="I163">
        <v>78.180000000000007</v>
      </c>
      <c r="J163">
        <v>17.100000000000001</v>
      </c>
      <c r="K163">
        <v>7.42</v>
      </c>
      <c r="L163">
        <v>2.35</v>
      </c>
      <c r="M163" s="40" t="s">
        <v>66</v>
      </c>
      <c r="N163">
        <v>0</v>
      </c>
      <c r="O163">
        <v>45</v>
      </c>
      <c r="P163">
        <v>33.18</v>
      </c>
      <c r="Q163">
        <v>0.42399999999999999</v>
      </c>
      <c r="R163">
        <v>4.3099999999999996</v>
      </c>
      <c r="S163" s="40" t="s">
        <v>67</v>
      </c>
    </row>
    <row r="164" spans="1:19" x14ac:dyDescent="0.45">
      <c r="A164" s="40" t="s">
        <v>64</v>
      </c>
      <c r="B164" s="40" t="s">
        <v>65</v>
      </c>
      <c r="C164">
        <v>30.87</v>
      </c>
      <c r="D164">
        <v>9.85</v>
      </c>
      <c r="E164">
        <v>3.62</v>
      </c>
      <c r="F164">
        <v>0.03</v>
      </c>
      <c r="G164">
        <v>8.51</v>
      </c>
      <c r="H164">
        <v>1</v>
      </c>
      <c r="I164">
        <v>30.87</v>
      </c>
      <c r="J164">
        <v>9.85</v>
      </c>
      <c r="K164">
        <v>3.62</v>
      </c>
      <c r="L164">
        <v>0.93</v>
      </c>
      <c r="M164" s="40" t="s">
        <v>66</v>
      </c>
      <c r="N164">
        <v>0</v>
      </c>
      <c r="O164">
        <v>22.91</v>
      </c>
      <c r="P164">
        <v>7.96</v>
      </c>
      <c r="Q164">
        <v>0.25800000000000001</v>
      </c>
      <c r="R164">
        <v>3.63</v>
      </c>
      <c r="S164" s="40" t="s">
        <v>67</v>
      </c>
    </row>
    <row r="165" spans="1:19" x14ac:dyDescent="0.45">
      <c r="A165" s="40" t="s">
        <v>89</v>
      </c>
      <c r="B165" s="40" t="s">
        <v>140</v>
      </c>
      <c r="C165">
        <v>42.22</v>
      </c>
      <c r="D165">
        <v>8.82</v>
      </c>
      <c r="E165">
        <v>4.3</v>
      </c>
      <c r="F165">
        <v>0.03</v>
      </c>
      <c r="G165">
        <v>9.82</v>
      </c>
      <c r="H165">
        <v>1</v>
      </c>
      <c r="I165">
        <v>42.22</v>
      </c>
      <c r="J165">
        <v>8.82</v>
      </c>
      <c r="K165">
        <v>4.3</v>
      </c>
      <c r="L165">
        <v>1.27</v>
      </c>
      <c r="M165" s="40" t="s">
        <v>66</v>
      </c>
      <c r="N165">
        <v>0</v>
      </c>
      <c r="O165">
        <v>24.21</v>
      </c>
      <c r="P165">
        <v>18.010000000000002</v>
      </c>
      <c r="Q165">
        <v>0.42699999999999999</v>
      </c>
      <c r="R165">
        <v>4.3</v>
      </c>
      <c r="S165" s="40" t="s">
        <v>67</v>
      </c>
    </row>
    <row r="166" spans="1:19" x14ac:dyDescent="0.45">
      <c r="A166" s="40" t="s">
        <v>89</v>
      </c>
      <c r="B166" s="40" t="s">
        <v>90</v>
      </c>
      <c r="C166">
        <v>63.57</v>
      </c>
      <c r="D166">
        <v>22.29</v>
      </c>
      <c r="E166">
        <v>7.14</v>
      </c>
      <c r="F166">
        <v>0.03</v>
      </c>
      <c r="G166">
        <v>15.42</v>
      </c>
      <c r="H166">
        <v>3</v>
      </c>
      <c r="I166">
        <v>190.71</v>
      </c>
      <c r="J166">
        <v>66.87</v>
      </c>
      <c r="K166">
        <v>21.42</v>
      </c>
      <c r="L166">
        <v>5.72</v>
      </c>
      <c r="M166" s="40" t="s">
        <v>66</v>
      </c>
      <c r="N166">
        <v>0</v>
      </c>
      <c r="O166">
        <v>109.43</v>
      </c>
      <c r="P166">
        <v>81.28</v>
      </c>
      <c r="Q166">
        <v>0.42599999999999999</v>
      </c>
      <c r="R166">
        <v>12.37</v>
      </c>
      <c r="S166" s="40" t="s">
        <v>67</v>
      </c>
    </row>
    <row r="167" spans="1:19" x14ac:dyDescent="0.45">
      <c r="A167" s="40" t="s">
        <v>135</v>
      </c>
      <c r="B167" s="40" t="s">
        <v>136</v>
      </c>
      <c r="C167">
        <v>15.88</v>
      </c>
      <c r="D167">
        <v>2.15</v>
      </c>
      <c r="E167">
        <v>2</v>
      </c>
      <c r="F167">
        <v>0.03</v>
      </c>
      <c r="G167">
        <v>14.06</v>
      </c>
      <c r="H167">
        <v>2</v>
      </c>
      <c r="I167">
        <v>31.76</v>
      </c>
      <c r="J167">
        <v>4.3</v>
      </c>
      <c r="K167">
        <v>4</v>
      </c>
      <c r="L167">
        <v>0.95</v>
      </c>
      <c r="M167" s="40" t="s">
        <v>66</v>
      </c>
      <c r="N167">
        <v>0</v>
      </c>
      <c r="O167">
        <v>23.31</v>
      </c>
      <c r="P167">
        <v>8.4499999999999993</v>
      </c>
      <c r="Q167">
        <v>0.26600000000000001</v>
      </c>
      <c r="R167">
        <v>2.2599999999999998</v>
      </c>
      <c r="S167" s="40" t="s">
        <v>67</v>
      </c>
    </row>
    <row r="168" spans="1:19" x14ac:dyDescent="0.45">
      <c r="A168" s="40" t="s">
        <v>89</v>
      </c>
      <c r="B168" s="40" t="s">
        <v>140</v>
      </c>
      <c r="C168">
        <v>39.19</v>
      </c>
      <c r="D168">
        <v>8.4</v>
      </c>
      <c r="E168">
        <v>3.69</v>
      </c>
      <c r="F168">
        <v>0.03</v>
      </c>
      <c r="G168">
        <v>19.84</v>
      </c>
      <c r="H168">
        <v>2</v>
      </c>
      <c r="I168">
        <v>78.38</v>
      </c>
      <c r="J168">
        <v>16.8</v>
      </c>
      <c r="K168">
        <v>7.38</v>
      </c>
      <c r="L168">
        <v>2.35</v>
      </c>
      <c r="M168" s="40" t="s">
        <v>66</v>
      </c>
      <c r="N168">
        <v>0</v>
      </c>
      <c r="O168">
        <v>46.37</v>
      </c>
      <c r="P168">
        <v>32.01</v>
      </c>
      <c r="Q168">
        <v>0.40799999999999997</v>
      </c>
      <c r="R168">
        <v>3.95</v>
      </c>
      <c r="S168" s="40" t="s">
        <v>67</v>
      </c>
    </row>
    <row r="169" spans="1:19" x14ac:dyDescent="0.45">
      <c r="A169" s="40" t="s">
        <v>89</v>
      </c>
      <c r="B169" s="40" t="s">
        <v>140</v>
      </c>
      <c r="C169">
        <v>41.76</v>
      </c>
      <c r="D169">
        <v>9.0500000000000007</v>
      </c>
      <c r="E169">
        <v>4.22</v>
      </c>
      <c r="F169">
        <v>0.03</v>
      </c>
      <c r="G169">
        <v>19.79</v>
      </c>
      <c r="H169">
        <v>2</v>
      </c>
      <c r="I169">
        <v>83.52</v>
      </c>
      <c r="J169">
        <v>18.100000000000001</v>
      </c>
      <c r="K169">
        <v>8.44</v>
      </c>
      <c r="L169">
        <v>2.5099999999999998</v>
      </c>
      <c r="M169" s="40" t="s">
        <v>66</v>
      </c>
      <c r="N169">
        <v>0</v>
      </c>
      <c r="O169">
        <v>48.84</v>
      </c>
      <c r="P169">
        <v>34.68</v>
      </c>
      <c r="Q169">
        <v>0.41499999999999998</v>
      </c>
      <c r="R169">
        <v>4.22</v>
      </c>
      <c r="S169" s="40" t="s">
        <v>67</v>
      </c>
    </row>
    <row r="170" spans="1:19" x14ac:dyDescent="0.45">
      <c r="A170" s="40" t="s">
        <v>74</v>
      </c>
      <c r="B170" s="40" t="s">
        <v>75</v>
      </c>
      <c r="C170">
        <v>47.28</v>
      </c>
      <c r="D170">
        <v>14.58</v>
      </c>
      <c r="E170">
        <v>6.05</v>
      </c>
      <c r="F170">
        <v>0.03</v>
      </c>
      <c r="G170">
        <v>13.28</v>
      </c>
      <c r="H170">
        <v>3</v>
      </c>
      <c r="I170">
        <v>141.84</v>
      </c>
      <c r="J170">
        <v>43.74</v>
      </c>
      <c r="K170">
        <v>18.149999999999999</v>
      </c>
      <c r="L170">
        <v>4.26</v>
      </c>
      <c r="M170" s="40" t="s">
        <v>66</v>
      </c>
      <c r="N170">
        <v>0</v>
      </c>
      <c r="O170">
        <v>79.430000000000007</v>
      </c>
      <c r="P170">
        <v>62.41</v>
      </c>
      <c r="Q170">
        <v>0.44</v>
      </c>
      <c r="R170">
        <v>10.68</v>
      </c>
      <c r="S170" s="40" t="s">
        <v>67</v>
      </c>
    </row>
    <row r="171" spans="1:19" x14ac:dyDescent="0.45">
      <c r="A171" s="40" t="s">
        <v>74</v>
      </c>
      <c r="B171" s="40" t="s">
        <v>75</v>
      </c>
      <c r="C171">
        <v>46.78</v>
      </c>
      <c r="D171">
        <v>14.88</v>
      </c>
      <c r="E171">
        <v>6.87</v>
      </c>
      <c r="F171">
        <v>0.03</v>
      </c>
      <c r="G171">
        <v>15.77</v>
      </c>
      <c r="H171">
        <v>3</v>
      </c>
      <c r="I171">
        <v>140.34</v>
      </c>
      <c r="J171">
        <v>44.64</v>
      </c>
      <c r="K171">
        <v>20.61</v>
      </c>
      <c r="L171">
        <v>4.21</v>
      </c>
      <c r="M171" s="40" t="s">
        <v>66</v>
      </c>
      <c r="N171">
        <v>0</v>
      </c>
      <c r="O171">
        <v>85.23</v>
      </c>
      <c r="P171">
        <v>55.11</v>
      </c>
      <c r="Q171">
        <v>0.39300000000000002</v>
      </c>
      <c r="R171">
        <v>8.9</v>
      </c>
      <c r="S171" s="40" t="s">
        <v>67</v>
      </c>
    </row>
    <row r="172" spans="1:19" x14ac:dyDescent="0.45">
      <c r="A172" s="40" t="s">
        <v>89</v>
      </c>
      <c r="B172" s="40" t="s">
        <v>140</v>
      </c>
      <c r="C172">
        <v>42.08</v>
      </c>
      <c r="D172">
        <v>8.5299999999999994</v>
      </c>
      <c r="E172">
        <v>3.77</v>
      </c>
      <c r="F172">
        <v>0.03</v>
      </c>
      <c r="G172">
        <v>1.4</v>
      </c>
      <c r="H172">
        <v>1</v>
      </c>
      <c r="I172">
        <v>42.08</v>
      </c>
      <c r="J172">
        <v>8.5299999999999994</v>
      </c>
      <c r="K172">
        <v>3.77</v>
      </c>
      <c r="L172">
        <v>1.26</v>
      </c>
      <c r="M172" s="40" t="s">
        <v>66</v>
      </c>
      <c r="N172">
        <v>0</v>
      </c>
      <c r="O172">
        <v>14.96</v>
      </c>
      <c r="P172">
        <v>27.12</v>
      </c>
      <c r="Q172">
        <v>0.64400000000000002</v>
      </c>
      <c r="R172">
        <v>30.06</v>
      </c>
      <c r="S172" s="40" t="s">
        <v>67</v>
      </c>
    </row>
    <row r="173" spans="1:19" x14ac:dyDescent="0.45">
      <c r="A173" s="40" t="s">
        <v>83</v>
      </c>
      <c r="B173" s="40" t="s">
        <v>84</v>
      </c>
      <c r="C173">
        <v>26.6</v>
      </c>
      <c r="D173">
        <v>6.27</v>
      </c>
      <c r="E173">
        <v>3.35</v>
      </c>
      <c r="F173">
        <v>0.03</v>
      </c>
      <c r="G173">
        <v>19.809999999999999</v>
      </c>
      <c r="H173">
        <v>2</v>
      </c>
      <c r="I173">
        <v>53.2</v>
      </c>
      <c r="J173">
        <v>12.54</v>
      </c>
      <c r="K173">
        <v>6.7</v>
      </c>
      <c r="L173">
        <v>1.6</v>
      </c>
      <c r="M173" s="40" t="s">
        <v>66</v>
      </c>
      <c r="N173">
        <v>0</v>
      </c>
      <c r="O173">
        <v>40.65</v>
      </c>
      <c r="P173">
        <v>12.55</v>
      </c>
      <c r="Q173">
        <v>0.23599999999999999</v>
      </c>
      <c r="R173">
        <v>2.69</v>
      </c>
      <c r="S173" s="40" t="s">
        <v>67</v>
      </c>
    </row>
    <row r="174" spans="1:19" x14ac:dyDescent="0.45">
      <c r="A174" s="40" t="s">
        <v>149</v>
      </c>
      <c r="B174" s="40" t="s">
        <v>150</v>
      </c>
      <c r="C174">
        <v>29.92</v>
      </c>
      <c r="D174">
        <v>6.8</v>
      </c>
      <c r="E174">
        <v>4.72</v>
      </c>
      <c r="F174">
        <v>0.03</v>
      </c>
      <c r="G174">
        <v>8.94</v>
      </c>
      <c r="H174">
        <v>1</v>
      </c>
      <c r="I174">
        <v>29.92</v>
      </c>
      <c r="J174">
        <v>6.8</v>
      </c>
      <c r="K174">
        <v>4.72</v>
      </c>
      <c r="L174">
        <v>0.9</v>
      </c>
      <c r="M174" s="40" t="s">
        <v>66</v>
      </c>
      <c r="N174">
        <v>0</v>
      </c>
      <c r="O174">
        <v>21.36</v>
      </c>
      <c r="P174">
        <v>8.56</v>
      </c>
      <c r="Q174">
        <v>0.28599999999999998</v>
      </c>
      <c r="R174">
        <v>3.35</v>
      </c>
      <c r="S174" s="40" t="s">
        <v>67</v>
      </c>
    </row>
    <row r="175" spans="1:19" x14ac:dyDescent="0.45">
      <c r="A175" s="40" t="s">
        <v>74</v>
      </c>
      <c r="B175" s="40" t="s">
        <v>75</v>
      </c>
      <c r="C175">
        <v>47.37</v>
      </c>
      <c r="D175">
        <v>14.58</v>
      </c>
      <c r="E175">
        <v>7.09</v>
      </c>
      <c r="F175">
        <v>0.03</v>
      </c>
      <c r="G175">
        <v>4.9000000000000004</v>
      </c>
      <c r="H175">
        <v>2</v>
      </c>
      <c r="I175">
        <v>94.74</v>
      </c>
      <c r="J175">
        <v>29.16</v>
      </c>
      <c r="K175">
        <v>14.18</v>
      </c>
      <c r="L175">
        <v>2.84</v>
      </c>
      <c r="M175" s="40" t="s">
        <v>154</v>
      </c>
      <c r="N175">
        <v>65.040000000000006</v>
      </c>
      <c r="O175">
        <v>116.12</v>
      </c>
      <c r="P175">
        <v>-21.38</v>
      </c>
      <c r="Q175">
        <v>-0.22600000000000001</v>
      </c>
      <c r="R175">
        <v>19.329999999999998</v>
      </c>
      <c r="S175" s="40" t="s">
        <v>155</v>
      </c>
    </row>
    <row r="176" spans="1:19" x14ac:dyDescent="0.45">
      <c r="A176" s="40" t="s">
        <v>83</v>
      </c>
      <c r="B176" s="40" t="s">
        <v>84</v>
      </c>
      <c r="C176">
        <v>26.78</v>
      </c>
      <c r="D176">
        <v>5.72</v>
      </c>
      <c r="E176">
        <v>3.64</v>
      </c>
      <c r="F176">
        <v>0.03</v>
      </c>
      <c r="G176">
        <v>8.92</v>
      </c>
      <c r="H176">
        <v>1</v>
      </c>
      <c r="I176">
        <v>26.78</v>
      </c>
      <c r="J176">
        <v>5.72</v>
      </c>
      <c r="K176">
        <v>3.64</v>
      </c>
      <c r="L176">
        <v>0.8</v>
      </c>
      <c r="M176" s="40" t="s">
        <v>66</v>
      </c>
      <c r="N176">
        <v>0</v>
      </c>
      <c r="O176">
        <v>19.079999999999998</v>
      </c>
      <c r="P176">
        <v>7.7</v>
      </c>
      <c r="Q176">
        <v>0.28799999999999998</v>
      </c>
      <c r="R176">
        <v>3</v>
      </c>
      <c r="S176" s="40" t="s">
        <v>67</v>
      </c>
    </row>
    <row r="177" spans="1:19" x14ac:dyDescent="0.45">
      <c r="A177" s="40" t="s">
        <v>83</v>
      </c>
      <c r="B177" s="40" t="s">
        <v>84</v>
      </c>
      <c r="C177">
        <v>24.77</v>
      </c>
      <c r="D177">
        <v>5.93</v>
      </c>
      <c r="E177">
        <v>3.77</v>
      </c>
      <c r="F177">
        <v>0.03</v>
      </c>
      <c r="G177">
        <v>16.88</v>
      </c>
      <c r="H177">
        <v>3</v>
      </c>
      <c r="I177">
        <v>74.31</v>
      </c>
      <c r="J177">
        <v>17.79</v>
      </c>
      <c r="K177">
        <v>11.31</v>
      </c>
      <c r="L177">
        <v>2.23</v>
      </c>
      <c r="M177" s="40" t="s">
        <v>66</v>
      </c>
      <c r="N177">
        <v>0</v>
      </c>
      <c r="O177">
        <v>48.21</v>
      </c>
      <c r="P177">
        <v>26.1</v>
      </c>
      <c r="Q177">
        <v>0.35099999999999998</v>
      </c>
      <c r="R177">
        <v>4.4000000000000004</v>
      </c>
      <c r="S177" s="40" t="s">
        <v>67</v>
      </c>
    </row>
    <row r="178" spans="1:19" x14ac:dyDescent="0.45">
      <c r="A178" s="40" t="s">
        <v>74</v>
      </c>
      <c r="B178" s="40" t="s">
        <v>75</v>
      </c>
      <c r="C178">
        <v>47.64</v>
      </c>
      <c r="D178">
        <v>14.49</v>
      </c>
      <c r="E178">
        <v>6.83</v>
      </c>
      <c r="F178">
        <v>0.03</v>
      </c>
      <c r="G178">
        <v>3.12</v>
      </c>
      <c r="H178">
        <v>3</v>
      </c>
      <c r="I178">
        <v>142.91999999999999</v>
      </c>
      <c r="J178">
        <v>43.47</v>
      </c>
      <c r="K178">
        <v>20.49</v>
      </c>
      <c r="L178">
        <v>4.29</v>
      </c>
      <c r="M178" s="40" t="s">
        <v>66</v>
      </c>
      <c r="N178">
        <v>0</v>
      </c>
      <c r="O178">
        <v>71.37</v>
      </c>
      <c r="P178">
        <v>71.55</v>
      </c>
      <c r="Q178">
        <v>0.501</v>
      </c>
      <c r="R178">
        <v>45.81</v>
      </c>
      <c r="S178" s="40" t="s">
        <v>67</v>
      </c>
    </row>
    <row r="179" spans="1:19" x14ac:dyDescent="0.45">
      <c r="A179" s="40" t="s">
        <v>89</v>
      </c>
      <c r="B179" s="40" t="s">
        <v>140</v>
      </c>
      <c r="C179">
        <v>42.65</v>
      </c>
      <c r="D179">
        <v>8.5</v>
      </c>
      <c r="E179">
        <v>4.58</v>
      </c>
      <c r="F179">
        <v>0.03</v>
      </c>
      <c r="G179">
        <v>13.29</v>
      </c>
      <c r="H179">
        <v>3</v>
      </c>
      <c r="I179">
        <v>127.95</v>
      </c>
      <c r="J179">
        <v>25.5</v>
      </c>
      <c r="K179">
        <v>13.74</v>
      </c>
      <c r="L179">
        <v>3.84</v>
      </c>
      <c r="M179" s="40" t="s">
        <v>66</v>
      </c>
      <c r="N179">
        <v>0</v>
      </c>
      <c r="O179">
        <v>56.37</v>
      </c>
      <c r="P179">
        <v>71.58</v>
      </c>
      <c r="Q179">
        <v>0.55900000000000005</v>
      </c>
      <c r="R179">
        <v>9.6300000000000008</v>
      </c>
      <c r="S179" s="40" t="s">
        <v>67</v>
      </c>
    </row>
    <row r="180" spans="1:19" x14ac:dyDescent="0.45">
      <c r="A180" s="40" t="s">
        <v>89</v>
      </c>
      <c r="B180" s="40" t="s">
        <v>140</v>
      </c>
      <c r="C180">
        <v>44.77</v>
      </c>
      <c r="D180">
        <v>8.1199999999999992</v>
      </c>
      <c r="E180">
        <v>3.66</v>
      </c>
      <c r="F180">
        <v>0.03</v>
      </c>
      <c r="G180">
        <v>11.24</v>
      </c>
      <c r="H180">
        <v>2</v>
      </c>
      <c r="I180">
        <v>89.54</v>
      </c>
      <c r="J180">
        <v>16.239999999999998</v>
      </c>
      <c r="K180">
        <v>7.32</v>
      </c>
      <c r="L180">
        <v>2.69</v>
      </c>
      <c r="M180" s="40" t="s">
        <v>66</v>
      </c>
      <c r="N180">
        <v>0</v>
      </c>
      <c r="O180">
        <v>37.49</v>
      </c>
      <c r="P180">
        <v>52.05</v>
      </c>
      <c r="Q180">
        <v>0.58099999999999996</v>
      </c>
      <c r="R180">
        <v>7.97</v>
      </c>
      <c r="S180" s="40" t="s">
        <v>67</v>
      </c>
    </row>
    <row r="181" spans="1:19" x14ac:dyDescent="0.45">
      <c r="A181" s="40" t="s">
        <v>99</v>
      </c>
      <c r="B181" s="40" t="s">
        <v>100</v>
      </c>
      <c r="C181">
        <v>37.200000000000003</v>
      </c>
      <c r="D181">
        <v>8.81</v>
      </c>
      <c r="E181">
        <v>3.65</v>
      </c>
      <c r="F181">
        <v>0.03</v>
      </c>
      <c r="G181">
        <v>3.9</v>
      </c>
      <c r="H181">
        <v>1</v>
      </c>
      <c r="I181">
        <v>37.200000000000003</v>
      </c>
      <c r="J181">
        <v>8.81</v>
      </c>
      <c r="K181">
        <v>3.65</v>
      </c>
      <c r="L181">
        <v>1.1200000000000001</v>
      </c>
      <c r="M181" s="40" t="s">
        <v>66</v>
      </c>
      <c r="N181">
        <v>0</v>
      </c>
      <c r="O181">
        <v>17.48</v>
      </c>
      <c r="P181">
        <v>19.72</v>
      </c>
      <c r="Q181">
        <v>0.53</v>
      </c>
      <c r="R181">
        <v>9.5399999999999991</v>
      </c>
      <c r="S181" s="40" t="s">
        <v>67</v>
      </c>
    </row>
    <row r="182" spans="1:19" x14ac:dyDescent="0.45">
      <c r="A182" s="40" t="s">
        <v>83</v>
      </c>
      <c r="B182" s="40" t="s">
        <v>84</v>
      </c>
      <c r="C182">
        <v>23.51</v>
      </c>
      <c r="D182">
        <v>6.35</v>
      </c>
      <c r="E182">
        <v>3.44</v>
      </c>
      <c r="F182">
        <v>0.03</v>
      </c>
      <c r="G182">
        <v>5.59</v>
      </c>
      <c r="H182">
        <v>1</v>
      </c>
      <c r="I182">
        <v>23.51</v>
      </c>
      <c r="J182">
        <v>6.35</v>
      </c>
      <c r="K182">
        <v>3.44</v>
      </c>
      <c r="L182">
        <v>0.71</v>
      </c>
      <c r="M182" s="40" t="s">
        <v>66</v>
      </c>
      <c r="N182">
        <v>0</v>
      </c>
      <c r="O182">
        <v>16.09</v>
      </c>
      <c r="P182">
        <v>7.42</v>
      </c>
      <c r="Q182">
        <v>0.316</v>
      </c>
      <c r="R182">
        <v>4.21</v>
      </c>
      <c r="S182" s="40" t="s">
        <v>67</v>
      </c>
    </row>
    <row r="183" spans="1:19" x14ac:dyDescent="0.45">
      <c r="A183" s="40" t="s">
        <v>74</v>
      </c>
      <c r="B183" s="40" t="s">
        <v>75</v>
      </c>
      <c r="C183">
        <v>40.869999999999997</v>
      </c>
      <c r="D183">
        <v>14.89</v>
      </c>
      <c r="E183">
        <v>6.97</v>
      </c>
      <c r="F183">
        <v>0.03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 s="40" t="s">
        <v>66</v>
      </c>
      <c r="N183">
        <v>0</v>
      </c>
      <c r="O183">
        <v>0</v>
      </c>
      <c r="P183">
        <v>0</v>
      </c>
      <c r="Q183">
        <v>0</v>
      </c>
      <c r="R183">
        <v>0</v>
      </c>
      <c r="S183" s="40" t="s">
        <v>166</v>
      </c>
    </row>
    <row r="184" spans="1:19" x14ac:dyDescent="0.45">
      <c r="A184" s="40" t="s">
        <v>99</v>
      </c>
      <c r="B184" s="40" t="s">
        <v>100</v>
      </c>
      <c r="C184">
        <v>34.840000000000003</v>
      </c>
      <c r="D184">
        <v>9.49</v>
      </c>
      <c r="E184">
        <v>4.41</v>
      </c>
      <c r="F184">
        <v>0.03</v>
      </c>
      <c r="G184">
        <v>3.84</v>
      </c>
      <c r="H184">
        <v>2</v>
      </c>
      <c r="I184">
        <v>69.680000000000007</v>
      </c>
      <c r="J184">
        <v>18.98</v>
      </c>
      <c r="K184">
        <v>8.82</v>
      </c>
      <c r="L184">
        <v>2.09</v>
      </c>
      <c r="M184" s="40" t="s">
        <v>66</v>
      </c>
      <c r="N184">
        <v>0</v>
      </c>
      <c r="O184">
        <v>33.729999999999997</v>
      </c>
      <c r="P184">
        <v>35.950000000000003</v>
      </c>
      <c r="Q184">
        <v>0.51600000000000001</v>
      </c>
      <c r="R184">
        <v>18.149999999999999</v>
      </c>
      <c r="S184" s="40" t="s">
        <v>67</v>
      </c>
    </row>
    <row r="185" spans="1:19" x14ac:dyDescent="0.45">
      <c r="A185" s="40" t="s">
        <v>89</v>
      </c>
      <c r="B185" s="40" t="s">
        <v>140</v>
      </c>
      <c r="C185">
        <v>42.83</v>
      </c>
      <c r="D185">
        <v>8.6999999999999993</v>
      </c>
      <c r="E185">
        <v>3.62</v>
      </c>
      <c r="F185">
        <v>0.03</v>
      </c>
      <c r="G185">
        <v>6.3</v>
      </c>
      <c r="H185">
        <v>1</v>
      </c>
      <c r="I185">
        <v>42.83</v>
      </c>
      <c r="J185">
        <v>8.6999999999999993</v>
      </c>
      <c r="K185">
        <v>3.62</v>
      </c>
      <c r="L185">
        <v>1.28</v>
      </c>
      <c r="M185" s="40" t="s">
        <v>66</v>
      </c>
      <c r="N185">
        <v>0</v>
      </c>
      <c r="O185">
        <v>19.899999999999999</v>
      </c>
      <c r="P185">
        <v>22.93</v>
      </c>
      <c r="Q185">
        <v>0.53500000000000003</v>
      </c>
      <c r="R185">
        <v>6.8</v>
      </c>
      <c r="S185" s="40" t="s">
        <v>67</v>
      </c>
    </row>
    <row r="186" spans="1:19" x14ac:dyDescent="0.45">
      <c r="A186" s="40" t="s">
        <v>64</v>
      </c>
      <c r="B186" s="40" t="s">
        <v>65</v>
      </c>
      <c r="C186">
        <v>36.36</v>
      </c>
      <c r="D186">
        <v>10.37</v>
      </c>
      <c r="E186">
        <v>4.1100000000000003</v>
      </c>
      <c r="F186">
        <v>0.03</v>
      </c>
      <c r="G186">
        <v>19.36</v>
      </c>
      <c r="H186">
        <v>3</v>
      </c>
      <c r="I186">
        <v>109.08</v>
      </c>
      <c r="J186">
        <v>31.11</v>
      </c>
      <c r="K186">
        <v>12.33</v>
      </c>
      <c r="L186">
        <v>3.27</v>
      </c>
      <c r="M186" s="40" t="s">
        <v>66</v>
      </c>
      <c r="N186">
        <v>0</v>
      </c>
      <c r="O186">
        <v>66.069999999999993</v>
      </c>
      <c r="P186">
        <v>43.01</v>
      </c>
      <c r="Q186">
        <v>0.39400000000000002</v>
      </c>
      <c r="R186">
        <v>5.63</v>
      </c>
      <c r="S186" s="40" t="s">
        <v>67</v>
      </c>
    </row>
    <row r="187" spans="1:19" x14ac:dyDescent="0.45">
      <c r="A187" s="40" t="s">
        <v>135</v>
      </c>
      <c r="B187" s="40" t="s">
        <v>136</v>
      </c>
      <c r="C187">
        <v>14.06</v>
      </c>
      <c r="D187">
        <v>1.94</v>
      </c>
      <c r="E187">
        <v>1.84</v>
      </c>
      <c r="F187">
        <v>0.03</v>
      </c>
      <c r="G187">
        <v>9.49</v>
      </c>
      <c r="H187">
        <v>1</v>
      </c>
      <c r="I187">
        <v>14.06</v>
      </c>
      <c r="J187">
        <v>1.94</v>
      </c>
      <c r="K187">
        <v>1.84</v>
      </c>
      <c r="L187">
        <v>0.42</v>
      </c>
      <c r="M187" s="40" t="s">
        <v>66</v>
      </c>
      <c r="N187">
        <v>0</v>
      </c>
      <c r="O187">
        <v>13.69</v>
      </c>
      <c r="P187">
        <v>0.37</v>
      </c>
      <c r="Q187">
        <v>2.5999999999999999E-2</v>
      </c>
      <c r="R187">
        <v>1.48</v>
      </c>
      <c r="S187" s="40" t="s">
        <v>67</v>
      </c>
    </row>
    <row r="188" spans="1:19" x14ac:dyDescent="0.45">
      <c r="A188" s="40" t="s">
        <v>135</v>
      </c>
      <c r="B188" s="40" t="s">
        <v>136</v>
      </c>
      <c r="C188">
        <v>14.97</v>
      </c>
      <c r="D188">
        <v>2.04</v>
      </c>
      <c r="E188">
        <v>1.96</v>
      </c>
      <c r="F188">
        <v>0.03</v>
      </c>
      <c r="G188">
        <v>0</v>
      </c>
      <c r="H188">
        <v>1</v>
      </c>
      <c r="I188">
        <v>14.97</v>
      </c>
      <c r="J188">
        <v>2.04</v>
      </c>
      <c r="K188">
        <v>1.96</v>
      </c>
      <c r="L188">
        <v>0.45</v>
      </c>
      <c r="M188" s="40" t="s">
        <v>154</v>
      </c>
      <c r="N188">
        <v>10.25</v>
      </c>
      <c r="O188">
        <v>14.7</v>
      </c>
      <c r="P188">
        <v>0.27</v>
      </c>
      <c r="Q188">
        <v>1.7999999999999999E-2</v>
      </c>
      <c r="R188">
        <v>0</v>
      </c>
      <c r="S188" s="40" t="s">
        <v>155</v>
      </c>
    </row>
    <row r="189" spans="1:19" x14ac:dyDescent="0.45">
      <c r="A189" s="40" t="s">
        <v>115</v>
      </c>
      <c r="B189" s="40" t="s">
        <v>116</v>
      </c>
      <c r="C189">
        <v>48.98</v>
      </c>
      <c r="D189">
        <v>16.66</v>
      </c>
      <c r="E189">
        <v>6.74</v>
      </c>
      <c r="F189">
        <v>0.03</v>
      </c>
      <c r="G189">
        <v>19.8</v>
      </c>
      <c r="H189">
        <v>2</v>
      </c>
      <c r="I189">
        <v>97.96</v>
      </c>
      <c r="J189">
        <v>33.32</v>
      </c>
      <c r="K189">
        <v>13.48</v>
      </c>
      <c r="L189">
        <v>2.94</v>
      </c>
      <c r="M189" s="40" t="s">
        <v>66</v>
      </c>
      <c r="N189">
        <v>0</v>
      </c>
      <c r="O189">
        <v>69.540000000000006</v>
      </c>
      <c r="P189">
        <v>28.42</v>
      </c>
      <c r="Q189">
        <v>0.28999999999999998</v>
      </c>
      <c r="R189">
        <v>4.95</v>
      </c>
      <c r="S189" s="40" t="s">
        <v>67</v>
      </c>
    </row>
    <row r="190" spans="1:19" x14ac:dyDescent="0.45">
      <c r="A190" s="40" t="s">
        <v>109</v>
      </c>
      <c r="B190" s="40" t="s">
        <v>110</v>
      </c>
      <c r="C190">
        <v>21.94</v>
      </c>
      <c r="D190">
        <v>3.44</v>
      </c>
      <c r="E190">
        <v>2.41</v>
      </c>
      <c r="F190">
        <v>0.03</v>
      </c>
      <c r="G190">
        <v>4.8499999999999996</v>
      </c>
      <c r="H190">
        <v>1</v>
      </c>
      <c r="I190">
        <v>21.94</v>
      </c>
      <c r="J190">
        <v>3.44</v>
      </c>
      <c r="K190">
        <v>2.41</v>
      </c>
      <c r="L190">
        <v>0.66</v>
      </c>
      <c r="M190" s="40" t="s">
        <v>66</v>
      </c>
      <c r="N190">
        <v>0</v>
      </c>
      <c r="O190">
        <v>11.36</v>
      </c>
      <c r="P190">
        <v>10.58</v>
      </c>
      <c r="Q190">
        <v>0.48199999999999998</v>
      </c>
      <c r="R190">
        <v>4.5199999999999996</v>
      </c>
      <c r="S190" s="40" t="s">
        <v>67</v>
      </c>
    </row>
    <row r="191" spans="1:19" x14ac:dyDescent="0.45">
      <c r="A191" s="40" t="s">
        <v>99</v>
      </c>
      <c r="B191" s="40" t="s">
        <v>100</v>
      </c>
      <c r="C191">
        <v>31.87</v>
      </c>
      <c r="D191">
        <v>9.66</v>
      </c>
      <c r="E191">
        <v>3.69</v>
      </c>
      <c r="F191">
        <v>0.03</v>
      </c>
      <c r="G191">
        <v>9.15</v>
      </c>
      <c r="H191">
        <v>1</v>
      </c>
      <c r="I191">
        <v>31.87</v>
      </c>
      <c r="J191">
        <v>9.66</v>
      </c>
      <c r="K191">
        <v>3.69</v>
      </c>
      <c r="L191">
        <v>0.96</v>
      </c>
      <c r="M191" s="40" t="s">
        <v>66</v>
      </c>
      <c r="N191">
        <v>0</v>
      </c>
      <c r="O191">
        <v>23.46</v>
      </c>
      <c r="P191">
        <v>8.41</v>
      </c>
      <c r="Q191">
        <v>0.26400000000000001</v>
      </c>
      <c r="R191">
        <v>3.48</v>
      </c>
      <c r="S191" s="40" t="s">
        <v>67</v>
      </c>
    </row>
    <row r="192" spans="1:19" x14ac:dyDescent="0.45">
      <c r="A192" s="40" t="s">
        <v>74</v>
      </c>
      <c r="B192" s="40" t="s">
        <v>75</v>
      </c>
      <c r="C192">
        <v>44.34</v>
      </c>
      <c r="D192">
        <v>14.15</v>
      </c>
      <c r="E192">
        <v>6.3</v>
      </c>
      <c r="F192">
        <v>0.03</v>
      </c>
      <c r="G192">
        <v>9.0299999999999994</v>
      </c>
      <c r="H192">
        <v>3</v>
      </c>
      <c r="I192">
        <v>133.02000000000001</v>
      </c>
      <c r="J192">
        <v>42.45</v>
      </c>
      <c r="K192">
        <v>18.899999999999999</v>
      </c>
      <c r="L192">
        <v>3.99</v>
      </c>
      <c r="M192" s="40" t="s">
        <v>66</v>
      </c>
      <c r="N192">
        <v>0</v>
      </c>
      <c r="O192">
        <v>74.37</v>
      </c>
      <c r="P192">
        <v>58.65</v>
      </c>
      <c r="Q192">
        <v>0.441</v>
      </c>
      <c r="R192">
        <v>14.73</v>
      </c>
      <c r="S192" s="40" t="s">
        <v>67</v>
      </c>
    </row>
    <row r="193" spans="1:19" x14ac:dyDescent="0.45">
      <c r="A193" s="40" t="s">
        <v>135</v>
      </c>
      <c r="B193" s="40" t="s">
        <v>136</v>
      </c>
      <c r="C193">
        <v>14.59</v>
      </c>
      <c r="D193">
        <v>2.12</v>
      </c>
      <c r="E193">
        <v>1.98</v>
      </c>
      <c r="F193">
        <v>0.03</v>
      </c>
      <c r="G193">
        <v>6.79</v>
      </c>
      <c r="H193">
        <v>1</v>
      </c>
      <c r="I193">
        <v>14.59</v>
      </c>
      <c r="J193">
        <v>2.12</v>
      </c>
      <c r="K193">
        <v>1.98</v>
      </c>
      <c r="L193">
        <v>0.44</v>
      </c>
      <c r="M193" s="40" t="s">
        <v>66</v>
      </c>
      <c r="N193">
        <v>0</v>
      </c>
      <c r="O193">
        <v>11.33</v>
      </c>
      <c r="P193">
        <v>3.26</v>
      </c>
      <c r="Q193">
        <v>0.223</v>
      </c>
      <c r="R193">
        <v>2.15</v>
      </c>
      <c r="S193" s="40" t="s">
        <v>67</v>
      </c>
    </row>
    <row r="194" spans="1:19" x14ac:dyDescent="0.45">
      <c r="A194" s="40" t="s">
        <v>89</v>
      </c>
      <c r="B194" s="40" t="s">
        <v>140</v>
      </c>
      <c r="C194">
        <v>36.32</v>
      </c>
      <c r="D194">
        <v>8.4600000000000009</v>
      </c>
      <c r="E194">
        <v>4.32</v>
      </c>
      <c r="F194">
        <v>0.03</v>
      </c>
      <c r="G194">
        <v>9.43</v>
      </c>
      <c r="H194">
        <v>3</v>
      </c>
      <c r="I194">
        <v>108.96</v>
      </c>
      <c r="J194">
        <v>25.38</v>
      </c>
      <c r="K194">
        <v>12.96</v>
      </c>
      <c r="L194">
        <v>3.27</v>
      </c>
      <c r="M194" s="40" t="s">
        <v>66</v>
      </c>
      <c r="N194">
        <v>0</v>
      </c>
      <c r="O194">
        <v>51.04</v>
      </c>
      <c r="P194">
        <v>57.92</v>
      </c>
      <c r="Q194">
        <v>0.53200000000000003</v>
      </c>
      <c r="R194">
        <v>11.55</v>
      </c>
      <c r="S194" s="40" t="s">
        <v>67</v>
      </c>
    </row>
    <row r="195" spans="1:19" x14ac:dyDescent="0.45">
      <c r="A195" s="40" t="s">
        <v>74</v>
      </c>
      <c r="B195" s="40" t="s">
        <v>75</v>
      </c>
      <c r="C195">
        <v>40.61</v>
      </c>
      <c r="D195">
        <v>13.59</v>
      </c>
      <c r="E195">
        <v>6.95</v>
      </c>
      <c r="F195">
        <v>0.03</v>
      </c>
      <c r="G195">
        <v>15.17</v>
      </c>
      <c r="H195">
        <v>2</v>
      </c>
      <c r="I195">
        <v>81.22</v>
      </c>
      <c r="J195">
        <v>27.18</v>
      </c>
      <c r="K195">
        <v>13.9</v>
      </c>
      <c r="L195">
        <v>2.44</v>
      </c>
      <c r="M195" s="40" t="s">
        <v>66</v>
      </c>
      <c r="N195">
        <v>0</v>
      </c>
      <c r="O195">
        <v>58.69</v>
      </c>
      <c r="P195">
        <v>22.53</v>
      </c>
      <c r="Q195">
        <v>0.27700000000000002</v>
      </c>
      <c r="R195">
        <v>5.35</v>
      </c>
      <c r="S195" s="40" t="s">
        <v>67</v>
      </c>
    </row>
    <row r="196" spans="1:19" x14ac:dyDescent="0.45">
      <c r="A196" s="40" t="s">
        <v>135</v>
      </c>
      <c r="B196" s="40" t="s">
        <v>136</v>
      </c>
      <c r="C196">
        <v>14.86</v>
      </c>
      <c r="D196">
        <v>1.92</v>
      </c>
      <c r="E196">
        <v>1.9</v>
      </c>
      <c r="F196">
        <v>0.03</v>
      </c>
      <c r="G196">
        <v>0</v>
      </c>
      <c r="H196">
        <v>1</v>
      </c>
      <c r="I196">
        <v>14.86</v>
      </c>
      <c r="J196">
        <v>1.92</v>
      </c>
      <c r="K196">
        <v>1.9</v>
      </c>
      <c r="L196">
        <v>0.45</v>
      </c>
      <c r="M196" s="40" t="s">
        <v>66</v>
      </c>
      <c r="N196">
        <v>0</v>
      </c>
      <c r="O196">
        <v>4.2699999999999996</v>
      </c>
      <c r="P196">
        <v>10.59</v>
      </c>
      <c r="Q196">
        <v>0.71299999999999997</v>
      </c>
      <c r="R196">
        <v>0</v>
      </c>
      <c r="S196" s="40" t="s">
        <v>67</v>
      </c>
    </row>
    <row r="197" spans="1:19" x14ac:dyDescent="0.45">
      <c r="A197" s="40" t="s">
        <v>109</v>
      </c>
      <c r="B197" s="40" t="s">
        <v>110</v>
      </c>
      <c r="C197">
        <v>18.32</v>
      </c>
      <c r="D197">
        <v>3.41</v>
      </c>
      <c r="E197">
        <v>2.4700000000000002</v>
      </c>
      <c r="F197">
        <v>0.03</v>
      </c>
      <c r="G197">
        <v>12.17</v>
      </c>
      <c r="H197">
        <v>2</v>
      </c>
      <c r="I197">
        <v>36.64</v>
      </c>
      <c r="J197">
        <v>6.82</v>
      </c>
      <c r="K197">
        <v>4.9400000000000004</v>
      </c>
      <c r="L197">
        <v>1.1000000000000001</v>
      </c>
      <c r="M197" s="40" t="s">
        <v>66</v>
      </c>
      <c r="N197">
        <v>0</v>
      </c>
      <c r="O197">
        <v>25.03</v>
      </c>
      <c r="P197">
        <v>11.61</v>
      </c>
      <c r="Q197">
        <v>0.317</v>
      </c>
      <c r="R197">
        <v>3.01</v>
      </c>
      <c r="S197" s="40" t="s">
        <v>67</v>
      </c>
    </row>
    <row r="198" spans="1:19" x14ac:dyDescent="0.45">
      <c r="A198" s="40" t="s">
        <v>149</v>
      </c>
      <c r="B198" s="40" t="s">
        <v>150</v>
      </c>
      <c r="C198">
        <v>33.11</v>
      </c>
      <c r="D198">
        <v>7.56</v>
      </c>
      <c r="E198">
        <v>4.18</v>
      </c>
      <c r="F198">
        <v>0.03</v>
      </c>
      <c r="G198">
        <v>27.02</v>
      </c>
      <c r="H198">
        <v>3</v>
      </c>
      <c r="I198">
        <v>99.33</v>
      </c>
      <c r="J198">
        <v>22.68</v>
      </c>
      <c r="K198">
        <v>12.54</v>
      </c>
      <c r="L198">
        <v>2.98</v>
      </c>
      <c r="M198" s="40" t="s">
        <v>66</v>
      </c>
      <c r="N198">
        <v>0</v>
      </c>
      <c r="O198">
        <v>65.22</v>
      </c>
      <c r="P198">
        <v>34.11</v>
      </c>
      <c r="Q198">
        <v>0.34300000000000003</v>
      </c>
      <c r="R198">
        <v>3.68</v>
      </c>
      <c r="S198" s="40" t="s">
        <v>67</v>
      </c>
    </row>
    <row r="199" spans="1:19" x14ac:dyDescent="0.45">
      <c r="A199" s="40" t="s">
        <v>135</v>
      </c>
      <c r="B199" s="40" t="s">
        <v>136</v>
      </c>
      <c r="C199">
        <v>15.1</v>
      </c>
      <c r="D199">
        <v>2.13</v>
      </c>
      <c r="E199">
        <v>1.9</v>
      </c>
      <c r="F199">
        <v>0.03</v>
      </c>
      <c r="G199">
        <v>3.43</v>
      </c>
      <c r="H199">
        <v>1</v>
      </c>
      <c r="I199">
        <v>15.1</v>
      </c>
      <c r="J199">
        <v>2.13</v>
      </c>
      <c r="K199">
        <v>1.9</v>
      </c>
      <c r="L199">
        <v>0.45</v>
      </c>
      <c r="M199" s="40" t="s">
        <v>154</v>
      </c>
      <c r="N199">
        <v>11.27</v>
      </c>
      <c r="O199">
        <v>19.18</v>
      </c>
      <c r="P199">
        <v>-4.08</v>
      </c>
      <c r="Q199">
        <v>-0.27</v>
      </c>
      <c r="R199">
        <v>4.4000000000000004</v>
      </c>
      <c r="S199" s="40" t="s">
        <v>155</v>
      </c>
    </row>
    <row r="200" spans="1:19" x14ac:dyDescent="0.45">
      <c r="A200" s="40" t="s">
        <v>64</v>
      </c>
      <c r="B200" s="40" t="s">
        <v>65</v>
      </c>
      <c r="C200">
        <v>31.48</v>
      </c>
      <c r="D200">
        <v>10.72</v>
      </c>
      <c r="E200">
        <v>4.0999999999999996</v>
      </c>
      <c r="F200">
        <v>0.03</v>
      </c>
      <c r="G200">
        <v>16.46</v>
      </c>
      <c r="H200">
        <v>2</v>
      </c>
      <c r="I200">
        <v>62.96</v>
      </c>
      <c r="J200">
        <v>21.44</v>
      </c>
      <c r="K200">
        <v>8.1999999999999993</v>
      </c>
      <c r="L200">
        <v>1.89</v>
      </c>
      <c r="M200" s="40" t="s">
        <v>66</v>
      </c>
      <c r="N200">
        <v>0</v>
      </c>
      <c r="O200">
        <v>47.99</v>
      </c>
      <c r="P200">
        <v>14.97</v>
      </c>
      <c r="Q200">
        <v>0.23799999999999999</v>
      </c>
      <c r="R200">
        <v>3.83</v>
      </c>
      <c r="S200" s="40" t="s">
        <v>67</v>
      </c>
    </row>
    <row r="201" spans="1:19" x14ac:dyDescent="0.45">
      <c r="A201" s="40" t="s">
        <v>64</v>
      </c>
      <c r="B201" s="40" t="s">
        <v>65</v>
      </c>
      <c r="C201">
        <v>31.99</v>
      </c>
      <c r="D201">
        <v>10.72</v>
      </c>
      <c r="E201">
        <v>3.73</v>
      </c>
      <c r="F201">
        <v>0.03</v>
      </c>
      <c r="G201">
        <v>10.7</v>
      </c>
      <c r="H201">
        <v>2</v>
      </c>
      <c r="I201">
        <v>63.98</v>
      </c>
      <c r="J201">
        <v>21.44</v>
      </c>
      <c r="K201">
        <v>7.46</v>
      </c>
      <c r="L201">
        <v>1.92</v>
      </c>
      <c r="M201" s="40" t="s">
        <v>66</v>
      </c>
      <c r="N201">
        <v>0</v>
      </c>
      <c r="O201">
        <v>41.52</v>
      </c>
      <c r="P201">
        <v>22.46</v>
      </c>
      <c r="Q201">
        <v>0.35099999999999998</v>
      </c>
      <c r="R201">
        <v>5.98</v>
      </c>
      <c r="S201" s="40" t="s">
        <v>67</v>
      </c>
    </row>
    <row r="202" spans="1:19" x14ac:dyDescent="0.45">
      <c r="A202" s="40" t="s">
        <v>74</v>
      </c>
      <c r="B202" s="40" t="s">
        <v>75</v>
      </c>
      <c r="C202">
        <v>41.85</v>
      </c>
      <c r="D202">
        <v>13.69</v>
      </c>
      <c r="E202">
        <v>7</v>
      </c>
      <c r="F202">
        <v>0.03</v>
      </c>
      <c r="G202">
        <v>26.46</v>
      </c>
      <c r="H202">
        <v>3</v>
      </c>
      <c r="I202">
        <v>125.55</v>
      </c>
      <c r="J202">
        <v>41.07</v>
      </c>
      <c r="K202">
        <v>21</v>
      </c>
      <c r="L202">
        <v>3.77</v>
      </c>
      <c r="M202" s="40" t="s">
        <v>66</v>
      </c>
      <c r="N202">
        <v>0</v>
      </c>
      <c r="O202">
        <v>92.3</v>
      </c>
      <c r="P202">
        <v>33.25</v>
      </c>
      <c r="Q202">
        <v>0.26500000000000001</v>
      </c>
      <c r="R202">
        <v>4.74</v>
      </c>
      <c r="S202" s="40" t="s">
        <v>67</v>
      </c>
    </row>
    <row r="203" spans="1:19" x14ac:dyDescent="0.45">
      <c r="A203" s="40" t="s">
        <v>109</v>
      </c>
      <c r="B203" s="40" t="s">
        <v>110</v>
      </c>
      <c r="C203">
        <v>21.96</v>
      </c>
      <c r="D203">
        <v>3.59</v>
      </c>
      <c r="E203">
        <v>2.2999999999999998</v>
      </c>
      <c r="F203">
        <v>0.03</v>
      </c>
      <c r="G203">
        <v>8.77</v>
      </c>
      <c r="H203">
        <v>1</v>
      </c>
      <c r="I203">
        <v>21.96</v>
      </c>
      <c r="J203">
        <v>3.59</v>
      </c>
      <c r="K203">
        <v>2.2999999999999998</v>
      </c>
      <c r="L203">
        <v>0.66</v>
      </c>
      <c r="M203" s="40" t="s">
        <v>154</v>
      </c>
      <c r="N203">
        <v>10.41</v>
      </c>
      <c r="O203">
        <v>25.73</v>
      </c>
      <c r="P203">
        <v>-3.77</v>
      </c>
      <c r="Q203">
        <v>-0.17199999999999999</v>
      </c>
      <c r="R203">
        <v>2.5</v>
      </c>
      <c r="S203" s="40" t="s">
        <v>155</v>
      </c>
    </row>
    <row r="204" spans="1:19" x14ac:dyDescent="0.45">
      <c r="A204" s="40" t="s">
        <v>89</v>
      </c>
      <c r="B204" s="40" t="s">
        <v>90</v>
      </c>
      <c r="C204">
        <v>61.16</v>
      </c>
      <c r="D204">
        <v>23.34</v>
      </c>
      <c r="E204">
        <v>6.45</v>
      </c>
      <c r="F204">
        <v>0.03</v>
      </c>
      <c r="G204">
        <v>23.42</v>
      </c>
      <c r="H204">
        <v>3</v>
      </c>
      <c r="I204">
        <v>183.48</v>
      </c>
      <c r="J204">
        <v>70.02</v>
      </c>
      <c r="K204">
        <v>19.350000000000001</v>
      </c>
      <c r="L204">
        <v>5.5</v>
      </c>
      <c r="M204" s="40" t="s">
        <v>154</v>
      </c>
      <c r="N204">
        <v>112.73</v>
      </c>
      <c r="O204">
        <v>231.02</v>
      </c>
      <c r="P204">
        <v>-47.54</v>
      </c>
      <c r="Q204">
        <v>-0.25900000000000001</v>
      </c>
      <c r="R204">
        <v>7.83</v>
      </c>
      <c r="S204" s="40" t="s">
        <v>155</v>
      </c>
    </row>
    <row r="205" spans="1:19" x14ac:dyDescent="0.45">
      <c r="A205" s="40" t="s">
        <v>83</v>
      </c>
      <c r="B205" s="40" t="s">
        <v>84</v>
      </c>
      <c r="C205">
        <v>22.94</v>
      </c>
      <c r="D205">
        <v>5.85</v>
      </c>
      <c r="E205">
        <v>3.54</v>
      </c>
      <c r="F205">
        <v>0.03</v>
      </c>
      <c r="G205">
        <v>7.87</v>
      </c>
      <c r="H205">
        <v>1</v>
      </c>
      <c r="I205">
        <v>22.94</v>
      </c>
      <c r="J205">
        <v>5.85</v>
      </c>
      <c r="K205">
        <v>3.54</v>
      </c>
      <c r="L205">
        <v>0.69</v>
      </c>
      <c r="M205" s="40" t="s">
        <v>66</v>
      </c>
      <c r="N205">
        <v>0</v>
      </c>
      <c r="O205">
        <v>17.95</v>
      </c>
      <c r="P205">
        <v>4.99</v>
      </c>
      <c r="Q205">
        <v>0.218</v>
      </c>
      <c r="R205">
        <v>2.91</v>
      </c>
      <c r="S205" s="40" t="s">
        <v>67</v>
      </c>
    </row>
    <row r="206" spans="1:19" x14ac:dyDescent="0.45">
      <c r="A206" s="40" t="s">
        <v>99</v>
      </c>
      <c r="B206" s="40" t="s">
        <v>100</v>
      </c>
      <c r="C206">
        <v>34.75</v>
      </c>
      <c r="D206">
        <v>8.57</v>
      </c>
      <c r="E206">
        <v>3.77</v>
      </c>
      <c r="F206">
        <v>0.03</v>
      </c>
      <c r="G206">
        <v>1.53</v>
      </c>
      <c r="H206">
        <v>1</v>
      </c>
      <c r="I206">
        <v>34.75</v>
      </c>
      <c r="J206">
        <v>8.57</v>
      </c>
      <c r="K206">
        <v>3.77</v>
      </c>
      <c r="L206">
        <v>1.04</v>
      </c>
      <c r="M206" s="40" t="s">
        <v>66</v>
      </c>
      <c r="N206">
        <v>0</v>
      </c>
      <c r="O206">
        <v>14.91</v>
      </c>
      <c r="P206">
        <v>19.84</v>
      </c>
      <c r="Q206">
        <v>0.57099999999999995</v>
      </c>
      <c r="R206">
        <v>22.71</v>
      </c>
      <c r="S206" s="40" t="s">
        <v>67</v>
      </c>
    </row>
    <row r="207" spans="1:19" x14ac:dyDescent="0.45">
      <c r="A207" s="40" t="s">
        <v>89</v>
      </c>
      <c r="B207" s="40" t="s">
        <v>140</v>
      </c>
      <c r="C207">
        <v>43.99</v>
      </c>
      <c r="D207">
        <v>8.67</v>
      </c>
      <c r="E207">
        <v>4.37</v>
      </c>
      <c r="F207">
        <v>0.03</v>
      </c>
      <c r="G207">
        <v>6.56</v>
      </c>
      <c r="H207">
        <v>2</v>
      </c>
      <c r="I207">
        <v>87.98</v>
      </c>
      <c r="J207">
        <v>17.34</v>
      </c>
      <c r="K207">
        <v>8.74</v>
      </c>
      <c r="L207">
        <v>2.64</v>
      </c>
      <c r="M207" s="40" t="s">
        <v>66</v>
      </c>
      <c r="N207">
        <v>0</v>
      </c>
      <c r="O207">
        <v>35.28</v>
      </c>
      <c r="P207">
        <v>52.7</v>
      </c>
      <c r="Q207">
        <v>0.59899999999999998</v>
      </c>
      <c r="R207">
        <v>13.41</v>
      </c>
      <c r="S207" s="40" t="s">
        <v>67</v>
      </c>
    </row>
    <row r="208" spans="1:19" x14ac:dyDescent="0.45">
      <c r="A208" s="40" t="s">
        <v>64</v>
      </c>
      <c r="B208" s="40" t="s">
        <v>65</v>
      </c>
      <c r="C208">
        <v>33.43</v>
      </c>
      <c r="D208">
        <v>10.61</v>
      </c>
      <c r="E208">
        <v>4.1900000000000004</v>
      </c>
      <c r="F208">
        <v>0.03</v>
      </c>
      <c r="G208">
        <v>16.98</v>
      </c>
      <c r="H208">
        <v>2</v>
      </c>
      <c r="I208">
        <v>66.86</v>
      </c>
      <c r="J208">
        <v>21.22</v>
      </c>
      <c r="K208">
        <v>8.3800000000000008</v>
      </c>
      <c r="L208">
        <v>2.0099999999999998</v>
      </c>
      <c r="M208" s="40" t="s">
        <v>66</v>
      </c>
      <c r="N208">
        <v>0</v>
      </c>
      <c r="O208">
        <v>48.59</v>
      </c>
      <c r="P208">
        <v>18.27</v>
      </c>
      <c r="Q208">
        <v>0.27300000000000002</v>
      </c>
      <c r="R208">
        <v>3.94</v>
      </c>
      <c r="S208" s="40" t="s">
        <v>67</v>
      </c>
    </row>
    <row r="209" spans="1:19" x14ac:dyDescent="0.45">
      <c r="A209" s="40" t="s">
        <v>64</v>
      </c>
      <c r="B209" s="40" t="s">
        <v>65</v>
      </c>
      <c r="C209">
        <v>34.479999999999997</v>
      </c>
      <c r="D209">
        <v>10.41</v>
      </c>
      <c r="E209">
        <v>4.45</v>
      </c>
      <c r="F209">
        <v>0.03</v>
      </c>
      <c r="G209">
        <v>0</v>
      </c>
      <c r="H209">
        <v>1</v>
      </c>
      <c r="I209">
        <v>34.479999999999997</v>
      </c>
      <c r="J209">
        <v>10.41</v>
      </c>
      <c r="K209">
        <v>4.45</v>
      </c>
      <c r="L209">
        <v>1.03</v>
      </c>
      <c r="M209" s="40" t="s">
        <v>66</v>
      </c>
      <c r="N209">
        <v>0</v>
      </c>
      <c r="O209">
        <v>15.89</v>
      </c>
      <c r="P209">
        <v>18.59</v>
      </c>
      <c r="Q209">
        <v>0.53900000000000003</v>
      </c>
      <c r="R209">
        <v>0</v>
      </c>
      <c r="S209" s="40" t="s">
        <v>67</v>
      </c>
    </row>
    <row r="210" spans="1:19" x14ac:dyDescent="0.45">
      <c r="A210" s="40" t="s">
        <v>149</v>
      </c>
      <c r="B210" s="40" t="s">
        <v>150</v>
      </c>
      <c r="C210">
        <v>30.75</v>
      </c>
      <c r="D210">
        <v>7.37</v>
      </c>
      <c r="E210">
        <v>4.74</v>
      </c>
      <c r="F210">
        <v>0.03</v>
      </c>
      <c r="G210">
        <v>1.6</v>
      </c>
      <c r="H210">
        <v>1</v>
      </c>
      <c r="I210">
        <v>30.75</v>
      </c>
      <c r="J210">
        <v>7.37</v>
      </c>
      <c r="K210">
        <v>4.74</v>
      </c>
      <c r="L210">
        <v>0.92</v>
      </c>
      <c r="M210" s="40" t="s">
        <v>66</v>
      </c>
      <c r="N210">
        <v>0</v>
      </c>
      <c r="O210">
        <v>14.63</v>
      </c>
      <c r="P210">
        <v>16.12</v>
      </c>
      <c r="Q210">
        <v>0.52400000000000002</v>
      </c>
      <c r="R210">
        <v>19.22</v>
      </c>
      <c r="S210" s="40" t="s">
        <v>67</v>
      </c>
    </row>
    <row r="211" spans="1:19" x14ac:dyDescent="0.45">
      <c r="A211" s="40" t="s">
        <v>109</v>
      </c>
      <c r="B211" s="40" t="s">
        <v>110</v>
      </c>
      <c r="C211">
        <v>18.46</v>
      </c>
      <c r="D211">
        <v>3.44</v>
      </c>
      <c r="E211">
        <v>2.4</v>
      </c>
      <c r="F211">
        <v>0.03</v>
      </c>
      <c r="G211">
        <v>6.18</v>
      </c>
      <c r="H211">
        <v>1</v>
      </c>
      <c r="I211">
        <v>18.46</v>
      </c>
      <c r="J211">
        <v>3.44</v>
      </c>
      <c r="K211">
        <v>2.4</v>
      </c>
      <c r="L211">
        <v>0.55000000000000004</v>
      </c>
      <c r="M211" s="40" t="s">
        <v>66</v>
      </c>
      <c r="N211">
        <v>0</v>
      </c>
      <c r="O211">
        <v>12.57</v>
      </c>
      <c r="P211">
        <v>5.89</v>
      </c>
      <c r="Q211">
        <v>0.31900000000000001</v>
      </c>
      <c r="R211">
        <v>2.99</v>
      </c>
      <c r="S211" s="40" t="s">
        <v>67</v>
      </c>
    </row>
    <row r="212" spans="1:19" x14ac:dyDescent="0.45">
      <c r="A212" s="40" t="s">
        <v>115</v>
      </c>
      <c r="B212" s="40" t="s">
        <v>116</v>
      </c>
      <c r="C212">
        <v>47.98</v>
      </c>
      <c r="D212">
        <v>16.2</v>
      </c>
      <c r="E212">
        <v>6.15</v>
      </c>
      <c r="F212">
        <v>0.03</v>
      </c>
      <c r="G212">
        <v>7.74</v>
      </c>
      <c r="H212">
        <v>3</v>
      </c>
      <c r="I212">
        <v>0</v>
      </c>
      <c r="J212">
        <v>0</v>
      </c>
      <c r="K212">
        <v>0</v>
      </c>
      <c r="L212">
        <v>0</v>
      </c>
      <c r="M212" s="40" t="s">
        <v>66</v>
      </c>
      <c r="N212">
        <v>0</v>
      </c>
      <c r="O212">
        <v>0</v>
      </c>
      <c r="P212">
        <v>-7.74</v>
      </c>
      <c r="Q212">
        <v>0</v>
      </c>
      <c r="R212">
        <v>0</v>
      </c>
      <c r="S212" s="40" t="s">
        <v>166</v>
      </c>
    </row>
    <row r="213" spans="1:19" x14ac:dyDescent="0.45">
      <c r="A213" s="40" t="s">
        <v>83</v>
      </c>
      <c r="B213" s="40" t="s">
        <v>84</v>
      </c>
      <c r="C213">
        <v>25.13</v>
      </c>
      <c r="D213">
        <v>6.46</v>
      </c>
      <c r="E213">
        <v>3.51</v>
      </c>
      <c r="F213">
        <v>0.03</v>
      </c>
      <c r="G213">
        <v>6.4</v>
      </c>
      <c r="H213">
        <v>1</v>
      </c>
      <c r="I213">
        <v>25.13</v>
      </c>
      <c r="J213">
        <v>6.46</v>
      </c>
      <c r="K213">
        <v>3.51</v>
      </c>
      <c r="L213">
        <v>0.75</v>
      </c>
      <c r="M213" s="40" t="s">
        <v>66</v>
      </c>
      <c r="N213">
        <v>0</v>
      </c>
      <c r="O213">
        <v>17.12</v>
      </c>
      <c r="P213">
        <v>8.01</v>
      </c>
      <c r="Q213">
        <v>0.31900000000000001</v>
      </c>
      <c r="R213">
        <v>3.93</v>
      </c>
      <c r="S213" s="40" t="s">
        <v>67</v>
      </c>
    </row>
    <row r="214" spans="1:19" x14ac:dyDescent="0.45">
      <c r="A214" s="40" t="s">
        <v>89</v>
      </c>
      <c r="B214" s="40" t="s">
        <v>140</v>
      </c>
      <c r="C214">
        <v>42.11</v>
      </c>
      <c r="D214">
        <v>8.41</v>
      </c>
      <c r="E214">
        <v>4.26</v>
      </c>
      <c r="F214">
        <v>0.03</v>
      </c>
      <c r="G214">
        <v>10.56</v>
      </c>
      <c r="H214">
        <v>2</v>
      </c>
      <c r="I214">
        <v>84.22</v>
      </c>
      <c r="J214">
        <v>16.82</v>
      </c>
      <c r="K214">
        <v>8.52</v>
      </c>
      <c r="L214">
        <v>2.5299999999999998</v>
      </c>
      <c r="M214" s="40" t="s">
        <v>66</v>
      </c>
      <c r="N214">
        <v>0</v>
      </c>
      <c r="O214">
        <v>38.43</v>
      </c>
      <c r="P214">
        <v>45.79</v>
      </c>
      <c r="Q214">
        <v>0.54400000000000004</v>
      </c>
      <c r="R214">
        <v>7.98</v>
      </c>
      <c r="S214" s="40" t="s">
        <v>67</v>
      </c>
    </row>
    <row r="215" spans="1:19" x14ac:dyDescent="0.45">
      <c r="A215" s="40" t="s">
        <v>99</v>
      </c>
      <c r="B215" s="40" t="s">
        <v>100</v>
      </c>
      <c r="C215">
        <v>33.880000000000003</v>
      </c>
      <c r="D215">
        <v>9.01</v>
      </c>
      <c r="E215">
        <v>4.25</v>
      </c>
      <c r="F215">
        <v>0.03</v>
      </c>
      <c r="G215">
        <v>16.52</v>
      </c>
      <c r="H215">
        <v>2</v>
      </c>
      <c r="I215">
        <v>67.760000000000005</v>
      </c>
      <c r="J215">
        <v>18.02</v>
      </c>
      <c r="K215">
        <v>8.5</v>
      </c>
      <c r="L215">
        <v>2.0299999999999998</v>
      </c>
      <c r="M215" s="40" t="s">
        <v>66</v>
      </c>
      <c r="N215">
        <v>0</v>
      </c>
      <c r="O215">
        <v>45.07</v>
      </c>
      <c r="P215">
        <v>22.69</v>
      </c>
      <c r="Q215">
        <v>0.33500000000000002</v>
      </c>
      <c r="R215">
        <v>4.0999999999999996</v>
      </c>
      <c r="S215" s="40" t="s">
        <v>67</v>
      </c>
    </row>
    <row r="216" spans="1:19" x14ac:dyDescent="0.45">
      <c r="A216" s="40" t="s">
        <v>74</v>
      </c>
      <c r="B216" s="40" t="s">
        <v>75</v>
      </c>
      <c r="C216">
        <v>41.05</v>
      </c>
      <c r="D216">
        <v>13.86</v>
      </c>
      <c r="E216">
        <v>6.27</v>
      </c>
      <c r="F216">
        <v>0.03</v>
      </c>
      <c r="G216">
        <v>12.39</v>
      </c>
      <c r="H216">
        <v>3</v>
      </c>
      <c r="I216">
        <v>123.15</v>
      </c>
      <c r="J216">
        <v>41.58</v>
      </c>
      <c r="K216">
        <v>18.809999999999999</v>
      </c>
      <c r="L216">
        <v>3.69</v>
      </c>
      <c r="M216" s="40" t="s">
        <v>66</v>
      </c>
      <c r="N216">
        <v>0</v>
      </c>
      <c r="O216">
        <v>76.47</v>
      </c>
      <c r="P216">
        <v>46.68</v>
      </c>
      <c r="Q216">
        <v>0.379</v>
      </c>
      <c r="R216">
        <v>9.94</v>
      </c>
      <c r="S216" s="40" t="s">
        <v>67</v>
      </c>
    </row>
    <row r="217" spans="1:19" x14ac:dyDescent="0.45">
      <c r="A217" s="40" t="s">
        <v>89</v>
      </c>
      <c r="B217" s="40" t="s">
        <v>140</v>
      </c>
      <c r="C217">
        <v>44.01</v>
      </c>
      <c r="D217">
        <v>8.1999999999999993</v>
      </c>
      <c r="E217">
        <v>3.75</v>
      </c>
      <c r="F217">
        <v>0.03</v>
      </c>
      <c r="G217">
        <v>8.4</v>
      </c>
      <c r="H217">
        <v>1</v>
      </c>
      <c r="I217">
        <v>44.01</v>
      </c>
      <c r="J217">
        <v>8.1999999999999993</v>
      </c>
      <c r="K217">
        <v>3.75</v>
      </c>
      <c r="L217">
        <v>1.32</v>
      </c>
      <c r="M217" s="40" t="s">
        <v>66</v>
      </c>
      <c r="N217">
        <v>0</v>
      </c>
      <c r="O217">
        <v>21.67</v>
      </c>
      <c r="P217">
        <v>22.34</v>
      </c>
      <c r="Q217">
        <v>0.50800000000000001</v>
      </c>
      <c r="R217">
        <v>5.24</v>
      </c>
      <c r="S217" s="40" t="s">
        <v>67</v>
      </c>
    </row>
    <row r="218" spans="1:19" x14ac:dyDescent="0.45">
      <c r="A218" s="40" t="s">
        <v>109</v>
      </c>
      <c r="B218" s="40" t="s">
        <v>110</v>
      </c>
      <c r="C218">
        <v>18.739999999999998</v>
      </c>
      <c r="D218">
        <v>3.51</v>
      </c>
      <c r="E218">
        <v>2.7</v>
      </c>
      <c r="F218">
        <v>0.03</v>
      </c>
      <c r="G218">
        <v>5.48</v>
      </c>
      <c r="H218">
        <v>1</v>
      </c>
      <c r="I218">
        <v>18.739999999999998</v>
      </c>
      <c r="J218">
        <v>3.51</v>
      </c>
      <c r="K218">
        <v>2.7</v>
      </c>
      <c r="L218">
        <v>0.56000000000000005</v>
      </c>
      <c r="M218" s="40" t="s">
        <v>66</v>
      </c>
      <c r="N218">
        <v>0</v>
      </c>
      <c r="O218">
        <v>12.25</v>
      </c>
      <c r="P218">
        <v>6.49</v>
      </c>
      <c r="Q218">
        <v>0.34599999999999997</v>
      </c>
      <c r="R218">
        <v>3.42</v>
      </c>
      <c r="S218" s="40" t="s">
        <v>67</v>
      </c>
    </row>
    <row r="219" spans="1:19" x14ac:dyDescent="0.45">
      <c r="A219" s="40" t="s">
        <v>83</v>
      </c>
      <c r="B219" s="40" t="s">
        <v>84</v>
      </c>
      <c r="C219">
        <v>27.05</v>
      </c>
      <c r="D219">
        <v>6.24</v>
      </c>
      <c r="E219">
        <v>3.38</v>
      </c>
      <c r="F219">
        <v>0.03</v>
      </c>
      <c r="G219">
        <v>14.93</v>
      </c>
      <c r="H219">
        <v>2</v>
      </c>
      <c r="I219">
        <v>54.1</v>
      </c>
      <c r="J219">
        <v>12.48</v>
      </c>
      <c r="K219">
        <v>6.76</v>
      </c>
      <c r="L219">
        <v>1.62</v>
      </c>
      <c r="M219" s="40" t="s">
        <v>66</v>
      </c>
      <c r="N219">
        <v>0</v>
      </c>
      <c r="O219">
        <v>35.79</v>
      </c>
      <c r="P219">
        <v>18.309999999999999</v>
      </c>
      <c r="Q219">
        <v>0.33800000000000002</v>
      </c>
      <c r="R219">
        <v>3.62</v>
      </c>
      <c r="S219" s="40" t="s">
        <v>67</v>
      </c>
    </row>
    <row r="220" spans="1:19" x14ac:dyDescent="0.45">
      <c r="A220" s="40" t="s">
        <v>99</v>
      </c>
      <c r="B220" s="40" t="s">
        <v>100</v>
      </c>
      <c r="C220">
        <v>31.61</v>
      </c>
      <c r="D220">
        <v>9.18</v>
      </c>
      <c r="E220">
        <v>4.07</v>
      </c>
      <c r="F220">
        <v>0.03</v>
      </c>
      <c r="G220">
        <v>6.28</v>
      </c>
      <c r="H220">
        <v>1</v>
      </c>
      <c r="I220">
        <v>31.61</v>
      </c>
      <c r="J220">
        <v>9.18</v>
      </c>
      <c r="K220">
        <v>4.07</v>
      </c>
      <c r="L220">
        <v>0.95</v>
      </c>
      <c r="M220" s="40" t="s">
        <v>66</v>
      </c>
      <c r="N220">
        <v>0</v>
      </c>
      <c r="O220">
        <v>20.48</v>
      </c>
      <c r="P220">
        <v>11.13</v>
      </c>
      <c r="Q220">
        <v>0.35199999999999998</v>
      </c>
      <c r="R220">
        <v>5.03</v>
      </c>
      <c r="S220" s="40" t="s">
        <v>67</v>
      </c>
    </row>
    <row r="221" spans="1:19" x14ac:dyDescent="0.45">
      <c r="A221" s="40" t="s">
        <v>149</v>
      </c>
      <c r="B221" s="40" t="s">
        <v>150</v>
      </c>
      <c r="C221">
        <v>28.49</v>
      </c>
      <c r="D221">
        <v>6.72</v>
      </c>
      <c r="E221">
        <v>4.33</v>
      </c>
      <c r="F221">
        <v>0.03</v>
      </c>
      <c r="G221">
        <v>9.2799999999999994</v>
      </c>
      <c r="H221">
        <v>2</v>
      </c>
      <c r="I221">
        <v>56.98</v>
      </c>
      <c r="J221">
        <v>13.44</v>
      </c>
      <c r="K221">
        <v>8.66</v>
      </c>
      <c r="L221">
        <v>1.71</v>
      </c>
      <c r="M221" s="40" t="s">
        <v>66</v>
      </c>
      <c r="N221">
        <v>0</v>
      </c>
      <c r="O221">
        <v>33.090000000000003</v>
      </c>
      <c r="P221">
        <v>23.89</v>
      </c>
      <c r="Q221">
        <v>0.41899999999999998</v>
      </c>
      <c r="R221">
        <v>6.14</v>
      </c>
      <c r="S221" s="40" t="s">
        <v>67</v>
      </c>
    </row>
    <row r="222" spans="1:19" x14ac:dyDescent="0.45">
      <c r="A222" s="40" t="s">
        <v>83</v>
      </c>
      <c r="B222" s="40" t="s">
        <v>84</v>
      </c>
      <c r="C222">
        <v>23.9</v>
      </c>
      <c r="D222">
        <v>5.95</v>
      </c>
      <c r="E222">
        <v>3.56</v>
      </c>
      <c r="F222">
        <v>0.03</v>
      </c>
      <c r="G222">
        <v>7.29</v>
      </c>
      <c r="H222">
        <v>2</v>
      </c>
      <c r="I222">
        <v>47.8</v>
      </c>
      <c r="J222">
        <v>11.9</v>
      </c>
      <c r="K222">
        <v>7.12</v>
      </c>
      <c r="L222">
        <v>1.43</v>
      </c>
      <c r="M222" s="40" t="s">
        <v>66</v>
      </c>
      <c r="N222">
        <v>0</v>
      </c>
      <c r="O222">
        <v>27.74</v>
      </c>
      <c r="P222">
        <v>20.059999999999999</v>
      </c>
      <c r="Q222">
        <v>0.42</v>
      </c>
      <c r="R222">
        <v>6.56</v>
      </c>
      <c r="S222" s="40" t="s">
        <v>67</v>
      </c>
    </row>
    <row r="223" spans="1:19" x14ac:dyDescent="0.45">
      <c r="A223" s="40" t="s">
        <v>64</v>
      </c>
      <c r="B223" s="40" t="s">
        <v>65</v>
      </c>
      <c r="C223">
        <v>36.42</v>
      </c>
      <c r="D223">
        <v>10.199999999999999</v>
      </c>
      <c r="E223">
        <v>4.54</v>
      </c>
      <c r="F223">
        <v>0.03</v>
      </c>
      <c r="G223">
        <v>15.97</v>
      </c>
      <c r="H223">
        <v>2</v>
      </c>
      <c r="I223">
        <v>72.84</v>
      </c>
      <c r="J223">
        <v>20.399999999999999</v>
      </c>
      <c r="K223">
        <v>9.08</v>
      </c>
      <c r="L223">
        <v>2.19</v>
      </c>
      <c r="M223" s="40" t="s">
        <v>66</v>
      </c>
      <c r="N223">
        <v>0</v>
      </c>
      <c r="O223">
        <v>47.64</v>
      </c>
      <c r="P223">
        <v>25.2</v>
      </c>
      <c r="Q223">
        <v>0.34599999999999997</v>
      </c>
      <c r="R223">
        <v>4.5599999999999996</v>
      </c>
      <c r="S223" s="40" t="s">
        <v>67</v>
      </c>
    </row>
    <row r="224" spans="1:19" x14ac:dyDescent="0.45">
      <c r="A224" s="40" t="s">
        <v>64</v>
      </c>
      <c r="B224" s="40" t="s">
        <v>65</v>
      </c>
      <c r="C224">
        <v>30.02</v>
      </c>
      <c r="D224">
        <v>9.58</v>
      </c>
      <c r="E224">
        <v>4.41</v>
      </c>
      <c r="F224">
        <v>0.03</v>
      </c>
      <c r="G224">
        <v>8.01</v>
      </c>
      <c r="H224">
        <v>1</v>
      </c>
      <c r="I224">
        <v>30.02</v>
      </c>
      <c r="J224">
        <v>9.58</v>
      </c>
      <c r="K224">
        <v>4.41</v>
      </c>
      <c r="L224">
        <v>0.9</v>
      </c>
      <c r="M224" s="40" t="s">
        <v>66</v>
      </c>
      <c r="N224">
        <v>0</v>
      </c>
      <c r="O224">
        <v>22.9</v>
      </c>
      <c r="P224">
        <v>7.12</v>
      </c>
      <c r="Q224">
        <v>0.23699999999999999</v>
      </c>
      <c r="R224">
        <v>3.75</v>
      </c>
      <c r="S224" s="40" t="s">
        <v>67</v>
      </c>
    </row>
    <row r="225" spans="1:19" x14ac:dyDescent="0.45">
      <c r="A225" s="40" t="s">
        <v>64</v>
      </c>
      <c r="B225" s="40" t="s">
        <v>65</v>
      </c>
      <c r="C225">
        <v>36.81</v>
      </c>
      <c r="D225">
        <v>10.23</v>
      </c>
      <c r="E225">
        <v>3.83</v>
      </c>
      <c r="F225">
        <v>0.03</v>
      </c>
      <c r="G225">
        <v>12.21</v>
      </c>
      <c r="H225">
        <v>2</v>
      </c>
      <c r="I225">
        <v>73.62</v>
      </c>
      <c r="J225">
        <v>20.46</v>
      </c>
      <c r="K225">
        <v>7.66</v>
      </c>
      <c r="L225">
        <v>2.21</v>
      </c>
      <c r="M225" s="40" t="s">
        <v>66</v>
      </c>
      <c r="N225">
        <v>0</v>
      </c>
      <c r="O225">
        <v>42.54</v>
      </c>
      <c r="P225">
        <v>31.08</v>
      </c>
      <c r="Q225">
        <v>0.42199999999999999</v>
      </c>
      <c r="R225">
        <v>6.03</v>
      </c>
      <c r="S225" s="40" t="s">
        <v>67</v>
      </c>
    </row>
    <row r="226" spans="1:19" x14ac:dyDescent="0.45">
      <c r="A226" s="40" t="s">
        <v>135</v>
      </c>
      <c r="B226" s="40" t="s">
        <v>136</v>
      </c>
      <c r="C226">
        <v>14.67</v>
      </c>
      <c r="D226">
        <v>1.91</v>
      </c>
      <c r="E226">
        <v>1.86</v>
      </c>
      <c r="F226">
        <v>0.03</v>
      </c>
      <c r="G226">
        <v>18.739999999999998</v>
      </c>
      <c r="H226">
        <v>2</v>
      </c>
      <c r="I226">
        <v>29.34</v>
      </c>
      <c r="J226">
        <v>3.82</v>
      </c>
      <c r="K226">
        <v>3.72</v>
      </c>
      <c r="L226">
        <v>0.88</v>
      </c>
      <c r="M226" s="40" t="s">
        <v>66</v>
      </c>
      <c r="N226">
        <v>0</v>
      </c>
      <c r="O226">
        <v>27.16</v>
      </c>
      <c r="P226">
        <v>2.1800000000000002</v>
      </c>
      <c r="Q226">
        <v>7.3999999999999996E-2</v>
      </c>
      <c r="R226">
        <v>1.57</v>
      </c>
      <c r="S226" s="40" t="s">
        <v>67</v>
      </c>
    </row>
    <row r="227" spans="1:19" x14ac:dyDescent="0.45">
      <c r="A227" s="40" t="s">
        <v>64</v>
      </c>
      <c r="B227" s="40" t="s">
        <v>65</v>
      </c>
      <c r="C227">
        <v>31.94</v>
      </c>
      <c r="D227">
        <v>10.06</v>
      </c>
      <c r="E227">
        <v>3.73</v>
      </c>
      <c r="F227">
        <v>0.03</v>
      </c>
      <c r="G227">
        <v>15</v>
      </c>
      <c r="H227">
        <v>3</v>
      </c>
      <c r="I227">
        <v>95.82</v>
      </c>
      <c r="J227">
        <v>30.18</v>
      </c>
      <c r="K227">
        <v>11.19</v>
      </c>
      <c r="L227">
        <v>2.87</v>
      </c>
      <c r="M227" s="40" t="s">
        <v>66</v>
      </c>
      <c r="N227">
        <v>0</v>
      </c>
      <c r="O227">
        <v>59.24</v>
      </c>
      <c r="P227">
        <v>36.58</v>
      </c>
      <c r="Q227">
        <v>0.38200000000000001</v>
      </c>
      <c r="R227">
        <v>6.39</v>
      </c>
      <c r="S227" s="40" t="s">
        <v>67</v>
      </c>
    </row>
    <row r="228" spans="1:19" x14ac:dyDescent="0.45">
      <c r="A228" s="40" t="s">
        <v>99</v>
      </c>
      <c r="B228" s="40" t="s">
        <v>100</v>
      </c>
      <c r="C228">
        <v>32.76</v>
      </c>
      <c r="D228">
        <v>9.67</v>
      </c>
      <c r="E228">
        <v>3.82</v>
      </c>
      <c r="F228">
        <v>0.03</v>
      </c>
      <c r="G228">
        <v>13.02</v>
      </c>
      <c r="H228">
        <v>2</v>
      </c>
      <c r="I228">
        <v>65.52</v>
      </c>
      <c r="J228">
        <v>19.34</v>
      </c>
      <c r="K228">
        <v>7.64</v>
      </c>
      <c r="L228">
        <v>1.97</v>
      </c>
      <c r="M228" s="40" t="s">
        <v>66</v>
      </c>
      <c r="N228">
        <v>0</v>
      </c>
      <c r="O228">
        <v>41.97</v>
      </c>
      <c r="P228">
        <v>23.55</v>
      </c>
      <c r="Q228">
        <v>0.35899999999999999</v>
      </c>
      <c r="R228">
        <v>5.03</v>
      </c>
      <c r="S228" s="40" t="s">
        <v>67</v>
      </c>
    </row>
    <row r="229" spans="1:19" x14ac:dyDescent="0.45">
      <c r="A229" s="40" t="s">
        <v>89</v>
      </c>
      <c r="B229" s="40" t="s">
        <v>140</v>
      </c>
      <c r="C229">
        <v>40.270000000000003</v>
      </c>
      <c r="D229">
        <v>8.56</v>
      </c>
      <c r="E229">
        <v>3.96</v>
      </c>
      <c r="F229">
        <v>0.03</v>
      </c>
      <c r="G229">
        <v>2.5</v>
      </c>
      <c r="H229">
        <v>1</v>
      </c>
      <c r="I229">
        <v>40.270000000000003</v>
      </c>
      <c r="J229">
        <v>8.56</v>
      </c>
      <c r="K229">
        <v>3.96</v>
      </c>
      <c r="L229">
        <v>1.21</v>
      </c>
      <c r="M229" s="40" t="s">
        <v>66</v>
      </c>
      <c r="N229">
        <v>0</v>
      </c>
      <c r="O229">
        <v>16.23</v>
      </c>
      <c r="P229">
        <v>24.04</v>
      </c>
      <c r="Q229">
        <v>0.59699999999999998</v>
      </c>
      <c r="R229">
        <v>16.11</v>
      </c>
      <c r="S229" s="40" t="s">
        <v>67</v>
      </c>
    </row>
    <row r="230" spans="1:19" x14ac:dyDescent="0.45">
      <c r="A230" s="40" t="s">
        <v>115</v>
      </c>
      <c r="B230" s="40" t="s">
        <v>116</v>
      </c>
      <c r="C230">
        <v>49.69</v>
      </c>
      <c r="D230">
        <v>17.190000000000001</v>
      </c>
      <c r="E230">
        <v>5.81</v>
      </c>
      <c r="F230">
        <v>0.03</v>
      </c>
      <c r="G230">
        <v>5.29</v>
      </c>
      <c r="H230">
        <v>2</v>
      </c>
      <c r="I230">
        <v>99.38</v>
      </c>
      <c r="J230">
        <v>34.380000000000003</v>
      </c>
      <c r="K230">
        <v>11.62</v>
      </c>
      <c r="L230">
        <v>2.98</v>
      </c>
      <c r="M230" s="40" t="s">
        <v>66</v>
      </c>
      <c r="N230">
        <v>0</v>
      </c>
      <c r="O230">
        <v>54.27</v>
      </c>
      <c r="P230">
        <v>45.11</v>
      </c>
      <c r="Q230">
        <v>0.45400000000000001</v>
      </c>
      <c r="R230">
        <v>18.79</v>
      </c>
      <c r="S230" s="40" t="s">
        <v>67</v>
      </c>
    </row>
    <row r="231" spans="1:19" x14ac:dyDescent="0.45">
      <c r="A231" s="40" t="s">
        <v>149</v>
      </c>
      <c r="B231" s="40" t="s">
        <v>150</v>
      </c>
      <c r="C231">
        <v>32.19</v>
      </c>
      <c r="D231">
        <v>7.03</v>
      </c>
      <c r="E231">
        <v>4.32</v>
      </c>
      <c r="F231">
        <v>0.03</v>
      </c>
      <c r="G231">
        <v>7.06</v>
      </c>
      <c r="H231">
        <v>1</v>
      </c>
      <c r="I231">
        <v>32.19</v>
      </c>
      <c r="J231">
        <v>7.03</v>
      </c>
      <c r="K231">
        <v>4.32</v>
      </c>
      <c r="L231">
        <v>0.97</v>
      </c>
      <c r="M231" s="40" t="s">
        <v>154</v>
      </c>
      <c r="N231">
        <v>25.8</v>
      </c>
      <c r="O231">
        <v>45.18</v>
      </c>
      <c r="P231">
        <v>-12.99</v>
      </c>
      <c r="Q231">
        <v>-0.40400000000000003</v>
      </c>
      <c r="R231">
        <v>4.5599999999999996</v>
      </c>
      <c r="S231" s="40" t="s">
        <v>155</v>
      </c>
    </row>
    <row r="232" spans="1:19" x14ac:dyDescent="0.45">
      <c r="A232" s="40" t="s">
        <v>135</v>
      </c>
      <c r="B232" s="40" t="s">
        <v>136</v>
      </c>
      <c r="C232">
        <v>16.34</v>
      </c>
      <c r="D232">
        <v>1.92</v>
      </c>
      <c r="E232">
        <v>2.12</v>
      </c>
      <c r="F232">
        <v>0.03</v>
      </c>
      <c r="G232">
        <v>0</v>
      </c>
      <c r="H232">
        <v>1</v>
      </c>
      <c r="I232">
        <v>16.34</v>
      </c>
      <c r="J232">
        <v>1.92</v>
      </c>
      <c r="K232">
        <v>2.12</v>
      </c>
      <c r="L232">
        <v>0.49</v>
      </c>
      <c r="M232" s="40" t="s">
        <v>66</v>
      </c>
      <c r="N232">
        <v>0</v>
      </c>
      <c r="O232">
        <v>4.53</v>
      </c>
      <c r="P232">
        <v>11.81</v>
      </c>
      <c r="Q232">
        <v>0.72299999999999998</v>
      </c>
      <c r="R232">
        <v>0</v>
      </c>
      <c r="S232" s="40" t="s">
        <v>67</v>
      </c>
    </row>
    <row r="233" spans="1:19" x14ac:dyDescent="0.45">
      <c r="A233" s="40" t="s">
        <v>83</v>
      </c>
      <c r="B233" s="40" t="s">
        <v>84</v>
      </c>
      <c r="C233">
        <v>25.14</v>
      </c>
      <c r="D233">
        <v>5.9</v>
      </c>
      <c r="E233">
        <v>3.87</v>
      </c>
      <c r="F233">
        <v>0.03</v>
      </c>
      <c r="G233">
        <v>5.8</v>
      </c>
      <c r="H233">
        <v>1</v>
      </c>
      <c r="I233">
        <v>25.14</v>
      </c>
      <c r="J233">
        <v>5.9</v>
      </c>
      <c r="K233">
        <v>3.87</v>
      </c>
      <c r="L233">
        <v>0.75</v>
      </c>
      <c r="M233" s="40" t="s">
        <v>66</v>
      </c>
      <c r="N233">
        <v>0</v>
      </c>
      <c r="O233">
        <v>16.32</v>
      </c>
      <c r="P233">
        <v>8.82</v>
      </c>
      <c r="Q233">
        <v>0.35099999999999998</v>
      </c>
      <c r="R233">
        <v>4.33</v>
      </c>
      <c r="S233" s="40" t="s">
        <v>67</v>
      </c>
    </row>
    <row r="234" spans="1:19" x14ac:dyDescent="0.45">
      <c r="A234" s="40" t="s">
        <v>149</v>
      </c>
      <c r="B234" s="40" t="s">
        <v>150</v>
      </c>
      <c r="C234">
        <v>33.020000000000003</v>
      </c>
      <c r="D234">
        <v>7.35</v>
      </c>
      <c r="E234">
        <v>5.13</v>
      </c>
      <c r="F234">
        <v>0.03</v>
      </c>
      <c r="G234">
        <v>0</v>
      </c>
      <c r="H234">
        <v>3</v>
      </c>
      <c r="I234">
        <v>99.06</v>
      </c>
      <c r="J234">
        <v>22.05</v>
      </c>
      <c r="K234">
        <v>15.39</v>
      </c>
      <c r="L234">
        <v>2.97</v>
      </c>
      <c r="M234" s="40" t="s">
        <v>66</v>
      </c>
      <c r="N234">
        <v>0</v>
      </c>
      <c r="O234">
        <v>40.409999999999997</v>
      </c>
      <c r="P234">
        <v>58.65</v>
      </c>
      <c r="Q234">
        <v>0.59199999999999997</v>
      </c>
      <c r="R234">
        <v>0</v>
      </c>
      <c r="S234" s="40" t="s">
        <v>67</v>
      </c>
    </row>
    <row r="235" spans="1:19" x14ac:dyDescent="0.45">
      <c r="A235" s="40" t="s">
        <v>83</v>
      </c>
      <c r="B235" s="40" t="s">
        <v>84</v>
      </c>
      <c r="C235">
        <v>23.27</v>
      </c>
      <c r="D235">
        <v>6.47</v>
      </c>
      <c r="E235">
        <v>3.83</v>
      </c>
      <c r="F235">
        <v>0.03</v>
      </c>
      <c r="G235">
        <v>17.34</v>
      </c>
      <c r="H235">
        <v>2</v>
      </c>
      <c r="I235">
        <v>46.54</v>
      </c>
      <c r="J235">
        <v>12.94</v>
      </c>
      <c r="K235">
        <v>7.66</v>
      </c>
      <c r="L235">
        <v>1.4</v>
      </c>
      <c r="M235" s="40" t="s">
        <v>66</v>
      </c>
      <c r="N235">
        <v>0</v>
      </c>
      <c r="O235">
        <v>39.340000000000003</v>
      </c>
      <c r="P235">
        <v>7.2</v>
      </c>
      <c r="Q235">
        <v>0.155</v>
      </c>
      <c r="R235">
        <v>2.68</v>
      </c>
      <c r="S235" s="40" t="s">
        <v>67</v>
      </c>
    </row>
    <row r="236" spans="1:19" x14ac:dyDescent="0.45">
      <c r="A236" s="40" t="s">
        <v>149</v>
      </c>
      <c r="B236" s="40" t="s">
        <v>150</v>
      </c>
      <c r="C236">
        <v>33.39</v>
      </c>
      <c r="D236">
        <v>7.25</v>
      </c>
      <c r="E236">
        <v>4.2699999999999996</v>
      </c>
      <c r="F236">
        <v>0.03</v>
      </c>
      <c r="G236">
        <v>10.14</v>
      </c>
      <c r="H236">
        <v>1</v>
      </c>
      <c r="I236">
        <v>33.39</v>
      </c>
      <c r="J236">
        <v>7.25</v>
      </c>
      <c r="K236">
        <v>4.2699999999999996</v>
      </c>
      <c r="L236">
        <v>1</v>
      </c>
      <c r="M236" s="40" t="s">
        <v>66</v>
      </c>
      <c r="N236">
        <v>0</v>
      </c>
      <c r="O236">
        <v>22.66</v>
      </c>
      <c r="P236">
        <v>10.73</v>
      </c>
      <c r="Q236">
        <v>0.32100000000000001</v>
      </c>
      <c r="R236">
        <v>3.29</v>
      </c>
      <c r="S236" s="40" t="s">
        <v>67</v>
      </c>
    </row>
    <row r="237" spans="1:19" x14ac:dyDescent="0.45">
      <c r="A237" s="40" t="s">
        <v>109</v>
      </c>
      <c r="B237" s="40" t="s">
        <v>110</v>
      </c>
      <c r="C237">
        <v>21.16</v>
      </c>
      <c r="D237">
        <v>3.71</v>
      </c>
      <c r="E237">
        <v>2.35</v>
      </c>
      <c r="F237">
        <v>0.03</v>
      </c>
      <c r="G237">
        <v>6.45</v>
      </c>
      <c r="H237">
        <v>2</v>
      </c>
      <c r="I237">
        <v>42.32</v>
      </c>
      <c r="J237">
        <v>7.42</v>
      </c>
      <c r="K237">
        <v>4.7</v>
      </c>
      <c r="L237">
        <v>1.27</v>
      </c>
      <c r="M237" s="40" t="s">
        <v>154</v>
      </c>
      <c r="N237">
        <v>22.63</v>
      </c>
      <c r="O237">
        <v>42.47</v>
      </c>
      <c r="P237">
        <v>-0.15</v>
      </c>
      <c r="Q237">
        <v>-4.0000000000000001E-3</v>
      </c>
      <c r="R237">
        <v>6.56</v>
      </c>
      <c r="S237" s="40" t="s">
        <v>155</v>
      </c>
    </row>
    <row r="238" spans="1:19" x14ac:dyDescent="0.45">
      <c r="A238" s="40" t="s">
        <v>64</v>
      </c>
      <c r="B238" s="40" t="s">
        <v>65</v>
      </c>
      <c r="C238">
        <v>32.590000000000003</v>
      </c>
      <c r="D238">
        <v>10.119999999999999</v>
      </c>
      <c r="E238">
        <v>4.4800000000000004</v>
      </c>
      <c r="F238">
        <v>0.03</v>
      </c>
      <c r="G238">
        <v>5.33</v>
      </c>
      <c r="H238">
        <v>1</v>
      </c>
      <c r="I238">
        <v>32.590000000000003</v>
      </c>
      <c r="J238">
        <v>10.119999999999999</v>
      </c>
      <c r="K238">
        <v>4.4800000000000004</v>
      </c>
      <c r="L238">
        <v>0.98</v>
      </c>
      <c r="M238" s="40" t="s">
        <v>66</v>
      </c>
      <c r="N238">
        <v>0</v>
      </c>
      <c r="O238">
        <v>20.91</v>
      </c>
      <c r="P238">
        <v>11.68</v>
      </c>
      <c r="Q238">
        <v>0.35799999999999998</v>
      </c>
      <c r="R238">
        <v>6.11</v>
      </c>
      <c r="S238" s="40" t="s">
        <v>67</v>
      </c>
    </row>
    <row r="239" spans="1:19" x14ac:dyDescent="0.45">
      <c r="A239" s="40" t="s">
        <v>74</v>
      </c>
      <c r="B239" s="40" t="s">
        <v>75</v>
      </c>
      <c r="C239">
        <v>45.74</v>
      </c>
      <c r="D239">
        <v>14.3</v>
      </c>
      <c r="E239">
        <v>6.35</v>
      </c>
      <c r="F239">
        <v>0.03</v>
      </c>
      <c r="G239">
        <v>6.72</v>
      </c>
      <c r="H239">
        <v>1</v>
      </c>
      <c r="I239">
        <v>45.74</v>
      </c>
      <c r="J239">
        <v>14.3</v>
      </c>
      <c r="K239">
        <v>6.35</v>
      </c>
      <c r="L239">
        <v>1.37</v>
      </c>
      <c r="M239" s="40" t="s">
        <v>66</v>
      </c>
      <c r="N239">
        <v>0</v>
      </c>
      <c r="O239">
        <v>28.74</v>
      </c>
      <c r="P239">
        <v>17</v>
      </c>
      <c r="Q239">
        <v>0.372</v>
      </c>
      <c r="R239">
        <v>6.81</v>
      </c>
      <c r="S239" s="40" t="s">
        <v>67</v>
      </c>
    </row>
    <row r="240" spans="1:19" x14ac:dyDescent="0.45">
      <c r="A240" s="40" t="s">
        <v>109</v>
      </c>
      <c r="B240" s="40" t="s">
        <v>110</v>
      </c>
      <c r="C240">
        <v>19.16</v>
      </c>
      <c r="D240">
        <v>3.78</v>
      </c>
      <c r="E240">
        <v>2.71</v>
      </c>
      <c r="F240">
        <v>0.03</v>
      </c>
      <c r="G240">
        <v>0</v>
      </c>
      <c r="H240">
        <v>1</v>
      </c>
      <c r="I240">
        <v>19.16</v>
      </c>
      <c r="J240">
        <v>3.78</v>
      </c>
      <c r="K240">
        <v>2.71</v>
      </c>
      <c r="L240">
        <v>0.56999999999999995</v>
      </c>
      <c r="M240" s="40" t="s">
        <v>66</v>
      </c>
      <c r="N240">
        <v>0</v>
      </c>
      <c r="O240">
        <v>7.06</v>
      </c>
      <c r="P240">
        <v>12.1</v>
      </c>
      <c r="Q240">
        <v>0.63200000000000001</v>
      </c>
      <c r="R240">
        <v>0</v>
      </c>
      <c r="S240" s="40" t="s">
        <v>67</v>
      </c>
    </row>
    <row r="241" spans="1:19" x14ac:dyDescent="0.45">
      <c r="A241" s="40" t="s">
        <v>99</v>
      </c>
      <c r="B241" s="40" t="s">
        <v>100</v>
      </c>
      <c r="C241">
        <v>36.74</v>
      </c>
      <c r="D241">
        <v>9.33</v>
      </c>
      <c r="E241">
        <v>3.65</v>
      </c>
      <c r="F241">
        <v>0.03</v>
      </c>
      <c r="G241">
        <v>16.47</v>
      </c>
      <c r="H241">
        <v>2</v>
      </c>
      <c r="I241">
        <v>73.48</v>
      </c>
      <c r="J241">
        <v>18.66</v>
      </c>
      <c r="K241">
        <v>7.3</v>
      </c>
      <c r="L241">
        <v>2.2000000000000002</v>
      </c>
      <c r="M241" s="40" t="s">
        <v>66</v>
      </c>
      <c r="N241">
        <v>0</v>
      </c>
      <c r="O241">
        <v>44.63</v>
      </c>
      <c r="P241">
        <v>28.85</v>
      </c>
      <c r="Q241">
        <v>0.39300000000000002</v>
      </c>
      <c r="R241">
        <v>4.46</v>
      </c>
      <c r="S241" s="40" t="s">
        <v>67</v>
      </c>
    </row>
    <row r="242" spans="1:19" x14ac:dyDescent="0.45">
      <c r="A242" s="40" t="s">
        <v>83</v>
      </c>
      <c r="B242" s="40" t="s">
        <v>84</v>
      </c>
      <c r="C242">
        <v>24.39</v>
      </c>
      <c r="D242">
        <v>5.85</v>
      </c>
      <c r="E242">
        <v>3.26</v>
      </c>
      <c r="F242">
        <v>0.03</v>
      </c>
      <c r="G242">
        <v>12.43</v>
      </c>
      <c r="H242">
        <v>2</v>
      </c>
      <c r="I242">
        <v>48.78</v>
      </c>
      <c r="J242">
        <v>11.7</v>
      </c>
      <c r="K242">
        <v>6.52</v>
      </c>
      <c r="L242">
        <v>1.46</v>
      </c>
      <c r="M242" s="40" t="s">
        <v>66</v>
      </c>
      <c r="N242">
        <v>0</v>
      </c>
      <c r="O242">
        <v>32.11</v>
      </c>
      <c r="P242">
        <v>16.670000000000002</v>
      </c>
      <c r="Q242">
        <v>0.34200000000000003</v>
      </c>
      <c r="R242">
        <v>3.92</v>
      </c>
      <c r="S242" s="40" t="s">
        <v>67</v>
      </c>
    </row>
    <row r="243" spans="1:19" x14ac:dyDescent="0.45">
      <c r="A243" s="40" t="s">
        <v>109</v>
      </c>
      <c r="B243" s="40" t="s">
        <v>110</v>
      </c>
      <c r="C243">
        <v>20.2</v>
      </c>
      <c r="D243">
        <v>3.71</v>
      </c>
      <c r="E243">
        <v>2.86</v>
      </c>
      <c r="F243">
        <v>0.03</v>
      </c>
      <c r="G243">
        <v>6.53</v>
      </c>
      <c r="H243">
        <v>2</v>
      </c>
      <c r="I243">
        <v>40.4</v>
      </c>
      <c r="J243">
        <v>7.42</v>
      </c>
      <c r="K243">
        <v>5.72</v>
      </c>
      <c r="L243">
        <v>1.21</v>
      </c>
      <c r="M243" s="40" t="s">
        <v>66</v>
      </c>
      <c r="N243">
        <v>0</v>
      </c>
      <c r="O243">
        <v>20.88</v>
      </c>
      <c r="P243">
        <v>19.52</v>
      </c>
      <c r="Q243">
        <v>0.48299999999999998</v>
      </c>
      <c r="R243">
        <v>6.19</v>
      </c>
      <c r="S243" s="40" t="s">
        <v>67</v>
      </c>
    </row>
    <row r="244" spans="1:19" x14ac:dyDescent="0.45">
      <c r="A244" s="40" t="s">
        <v>115</v>
      </c>
      <c r="B244" s="40" t="s">
        <v>116</v>
      </c>
      <c r="C244">
        <v>50.96</v>
      </c>
      <c r="D244">
        <v>16.649999999999999</v>
      </c>
      <c r="E244">
        <v>5.78</v>
      </c>
      <c r="F244">
        <v>0.03</v>
      </c>
      <c r="G244">
        <v>20.5</v>
      </c>
      <c r="H244">
        <v>2</v>
      </c>
      <c r="I244">
        <v>101.92</v>
      </c>
      <c r="J244">
        <v>33.299999999999997</v>
      </c>
      <c r="K244">
        <v>11.56</v>
      </c>
      <c r="L244">
        <v>3.06</v>
      </c>
      <c r="M244" s="40" t="s">
        <v>66</v>
      </c>
      <c r="N244">
        <v>0</v>
      </c>
      <c r="O244">
        <v>68.42</v>
      </c>
      <c r="P244">
        <v>33.5</v>
      </c>
      <c r="Q244">
        <v>0.32900000000000001</v>
      </c>
      <c r="R244">
        <v>4.97</v>
      </c>
      <c r="S244" s="40" t="s">
        <v>67</v>
      </c>
    </row>
    <row r="245" spans="1:19" x14ac:dyDescent="0.45">
      <c r="A245" s="40" t="s">
        <v>83</v>
      </c>
      <c r="B245" s="40" t="s">
        <v>84</v>
      </c>
      <c r="C245">
        <v>25.03</v>
      </c>
      <c r="D245">
        <v>6.38</v>
      </c>
      <c r="E245">
        <v>3.21</v>
      </c>
      <c r="F245">
        <v>0.03</v>
      </c>
      <c r="G245">
        <v>4.5999999999999996</v>
      </c>
      <c r="H245">
        <v>1</v>
      </c>
      <c r="I245">
        <v>25.03</v>
      </c>
      <c r="J245">
        <v>6.38</v>
      </c>
      <c r="K245">
        <v>3.21</v>
      </c>
      <c r="L245">
        <v>0.75</v>
      </c>
      <c r="M245" s="40" t="s">
        <v>66</v>
      </c>
      <c r="N245">
        <v>0</v>
      </c>
      <c r="O245">
        <v>14.94</v>
      </c>
      <c r="P245">
        <v>10.09</v>
      </c>
      <c r="Q245">
        <v>0.40300000000000002</v>
      </c>
      <c r="R245">
        <v>5.44</v>
      </c>
      <c r="S245" s="40" t="s">
        <v>67</v>
      </c>
    </row>
    <row r="246" spans="1:19" x14ac:dyDescent="0.45">
      <c r="A246" s="40" t="s">
        <v>109</v>
      </c>
      <c r="B246" s="40" t="s">
        <v>110</v>
      </c>
      <c r="C246">
        <v>18.11</v>
      </c>
      <c r="D246">
        <v>3.77</v>
      </c>
      <c r="E246">
        <v>2.39</v>
      </c>
      <c r="F246">
        <v>0.03</v>
      </c>
      <c r="G246">
        <v>5.07</v>
      </c>
      <c r="H246">
        <v>1</v>
      </c>
      <c r="I246">
        <v>18.11</v>
      </c>
      <c r="J246">
        <v>3.77</v>
      </c>
      <c r="K246">
        <v>2.39</v>
      </c>
      <c r="L246">
        <v>0.54</v>
      </c>
      <c r="M246" s="40" t="s">
        <v>154</v>
      </c>
      <c r="N246">
        <v>9.68</v>
      </c>
      <c r="O246">
        <v>21.45</v>
      </c>
      <c r="P246">
        <v>-3.34</v>
      </c>
      <c r="Q246">
        <v>-0.184</v>
      </c>
      <c r="R246">
        <v>3.57</v>
      </c>
      <c r="S246" s="40" t="s">
        <v>155</v>
      </c>
    </row>
    <row r="247" spans="1:19" x14ac:dyDescent="0.45">
      <c r="A247" s="40" t="s">
        <v>99</v>
      </c>
      <c r="B247" s="40" t="s">
        <v>100</v>
      </c>
      <c r="C247">
        <v>36.369999999999997</v>
      </c>
      <c r="D247">
        <v>8.57</v>
      </c>
      <c r="E247">
        <v>3.64</v>
      </c>
      <c r="F247">
        <v>0.03</v>
      </c>
      <c r="G247">
        <v>6.33</v>
      </c>
      <c r="H247">
        <v>1</v>
      </c>
      <c r="I247">
        <v>36.369999999999997</v>
      </c>
      <c r="J247">
        <v>8.57</v>
      </c>
      <c r="K247">
        <v>3.64</v>
      </c>
      <c r="L247">
        <v>1.0900000000000001</v>
      </c>
      <c r="M247" s="40" t="s">
        <v>66</v>
      </c>
      <c r="N247">
        <v>0</v>
      </c>
      <c r="O247">
        <v>19.63</v>
      </c>
      <c r="P247">
        <v>16.739999999999998</v>
      </c>
      <c r="Q247">
        <v>0.46</v>
      </c>
      <c r="R247">
        <v>5.75</v>
      </c>
      <c r="S247" s="40" t="s">
        <v>67</v>
      </c>
    </row>
    <row r="248" spans="1:19" x14ac:dyDescent="0.45">
      <c r="A248" s="40" t="s">
        <v>109</v>
      </c>
      <c r="B248" s="40" t="s">
        <v>110</v>
      </c>
      <c r="C248">
        <v>20.21</v>
      </c>
      <c r="D248">
        <v>3.43</v>
      </c>
      <c r="E248">
        <v>2.6</v>
      </c>
      <c r="F248">
        <v>0.03</v>
      </c>
      <c r="G248">
        <v>6.97</v>
      </c>
      <c r="H248">
        <v>1</v>
      </c>
      <c r="I248">
        <v>20.21</v>
      </c>
      <c r="J248">
        <v>3.43</v>
      </c>
      <c r="K248">
        <v>2.6</v>
      </c>
      <c r="L248">
        <v>0.61</v>
      </c>
      <c r="M248" s="40" t="s">
        <v>66</v>
      </c>
      <c r="N248">
        <v>0</v>
      </c>
      <c r="O248">
        <v>13.61</v>
      </c>
      <c r="P248">
        <v>6.6</v>
      </c>
      <c r="Q248">
        <v>0.32700000000000001</v>
      </c>
      <c r="R248">
        <v>2.9</v>
      </c>
      <c r="S248" s="40" t="s">
        <v>67</v>
      </c>
    </row>
    <row r="249" spans="1:19" x14ac:dyDescent="0.45">
      <c r="A249" s="40" t="s">
        <v>109</v>
      </c>
      <c r="B249" s="40" t="s">
        <v>110</v>
      </c>
      <c r="C249">
        <v>21.18</v>
      </c>
      <c r="D249">
        <v>3.51</v>
      </c>
      <c r="E249">
        <v>2.65</v>
      </c>
      <c r="F249">
        <v>0.03</v>
      </c>
      <c r="G249">
        <v>10.73</v>
      </c>
      <c r="H249">
        <v>3</v>
      </c>
      <c r="I249">
        <v>63.54</v>
      </c>
      <c r="J249">
        <v>10.53</v>
      </c>
      <c r="K249">
        <v>7.95</v>
      </c>
      <c r="L249">
        <v>1.91</v>
      </c>
      <c r="M249" s="40" t="s">
        <v>66</v>
      </c>
      <c r="N249">
        <v>0</v>
      </c>
      <c r="O249">
        <v>31.12</v>
      </c>
      <c r="P249">
        <v>32.42</v>
      </c>
      <c r="Q249">
        <v>0.51</v>
      </c>
      <c r="R249">
        <v>5.92</v>
      </c>
      <c r="S249" s="40" t="s">
        <v>67</v>
      </c>
    </row>
    <row r="250" spans="1:19" x14ac:dyDescent="0.45">
      <c r="A250" s="40" t="s">
        <v>74</v>
      </c>
      <c r="B250" s="40" t="s">
        <v>75</v>
      </c>
      <c r="C250">
        <v>49.53</v>
      </c>
      <c r="D250">
        <v>14.53</v>
      </c>
      <c r="E250">
        <v>6.87</v>
      </c>
      <c r="F250">
        <v>0.03</v>
      </c>
      <c r="G250">
        <v>6.81</v>
      </c>
      <c r="H250">
        <v>1</v>
      </c>
      <c r="I250">
        <v>49.53</v>
      </c>
      <c r="J250">
        <v>14.53</v>
      </c>
      <c r="K250">
        <v>6.87</v>
      </c>
      <c r="L250">
        <v>1.49</v>
      </c>
      <c r="M250" s="40" t="s">
        <v>66</v>
      </c>
      <c r="N250">
        <v>0</v>
      </c>
      <c r="O250">
        <v>29.7</v>
      </c>
      <c r="P250">
        <v>19.829999999999998</v>
      </c>
      <c r="Q250">
        <v>0.4</v>
      </c>
      <c r="R250">
        <v>7.27</v>
      </c>
      <c r="S250" s="40" t="s">
        <v>67</v>
      </c>
    </row>
    <row r="251" spans="1:19" x14ac:dyDescent="0.45">
      <c r="A251" s="40" t="s">
        <v>89</v>
      </c>
      <c r="B251" s="40" t="s">
        <v>90</v>
      </c>
      <c r="C251">
        <v>64.89</v>
      </c>
      <c r="D251">
        <v>23.46</v>
      </c>
      <c r="E251">
        <v>6.76</v>
      </c>
      <c r="F251">
        <v>0.03</v>
      </c>
      <c r="G251">
        <v>0</v>
      </c>
      <c r="H251">
        <v>1</v>
      </c>
      <c r="I251">
        <v>64.89</v>
      </c>
      <c r="J251">
        <v>23.46</v>
      </c>
      <c r="K251">
        <v>6.76</v>
      </c>
      <c r="L251">
        <v>1.95</v>
      </c>
      <c r="M251" s="40" t="s">
        <v>66</v>
      </c>
      <c r="N251">
        <v>0</v>
      </c>
      <c r="O251">
        <v>32.17</v>
      </c>
      <c r="P251">
        <v>32.72</v>
      </c>
      <c r="Q251">
        <v>0.504</v>
      </c>
      <c r="R251">
        <v>0</v>
      </c>
      <c r="S251" s="40" t="s">
        <v>67</v>
      </c>
    </row>
    <row r="252" spans="1:19" x14ac:dyDescent="0.45">
      <c r="A252" s="40" t="s">
        <v>115</v>
      </c>
      <c r="B252" s="40" t="s">
        <v>116</v>
      </c>
      <c r="C252">
        <v>45.18</v>
      </c>
      <c r="D252">
        <v>16.3</v>
      </c>
      <c r="E252">
        <v>6.12</v>
      </c>
      <c r="F252">
        <v>0.03</v>
      </c>
      <c r="G252">
        <v>3.48</v>
      </c>
      <c r="H252">
        <v>1</v>
      </c>
      <c r="I252">
        <v>45.18</v>
      </c>
      <c r="J252">
        <v>16.3</v>
      </c>
      <c r="K252">
        <v>6.12</v>
      </c>
      <c r="L252">
        <v>1.36</v>
      </c>
      <c r="M252" s="40" t="s">
        <v>66</v>
      </c>
      <c r="N252">
        <v>0</v>
      </c>
      <c r="O252">
        <v>27.26</v>
      </c>
      <c r="P252">
        <v>17.920000000000002</v>
      </c>
      <c r="Q252">
        <v>0.39700000000000002</v>
      </c>
      <c r="R252">
        <v>12.98</v>
      </c>
      <c r="S252" s="40" t="s">
        <v>67</v>
      </c>
    </row>
    <row r="253" spans="1:19" x14ac:dyDescent="0.45">
      <c r="A253" s="40" t="s">
        <v>115</v>
      </c>
      <c r="B253" s="40" t="s">
        <v>116</v>
      </c>
      <c r="C253">
        <v>48.11</v>
      </c>
      <c r="D253">
        <v>16.72</v>
      </c>
      <c r="E253">
        <v>5.97</v>
      </c>
      <c r="F253">
        <v>0.03</v>
      </c>
      <c r="G253">
        <v>0</v>
      </c>
      <c r="H253">
        <v>2</v>
      </c>
      <c r="I253">
        <v>96.22</v>
      </c>
      <c r="J253">
        <v>33.44</v>
      </c>
      <c r="K253">
        <v>11.94</v>
      </c>
      <c r="L253">
        <v>2.89</v>
      </c>
      <c r="M253" s="40" t="s">
        <v>66</v>
      </c>
      <c r="N253">
        <v>0</v>
      </c>
      <c r="O253">
        <v>48.27</v>
      </c>
      <c r="P253">
        <v>47.95</v>
      </c>
      <c r="Q253">
        <v>0.498</v>
      </c>
      <c r="R253">
        <v>0</v>
      </c>
      <c r="S253" s="40" t="s">
        <v>67</v>
      </c>
    </row>
    <row r="254" spans="1:19" x14ac:dyDescent="0.45">
      <c r="A254" s="40" t="s">
        <v>99</v>
      </c>
      <c r="B254" s="40" t="s">
        <v>100</v>
      </c>
      <c r="C254">
        <v>33.71</v>
      </c>
      <c r="D254">
        <v>9.65</v>
      </c>
      <c r="E254">
        <v>3.97</v>
      </c>
      <c r="F254">
        <v>0.03</v>
      </c>
      <c r="G254">
        <v>19.54</v>
      </c>
      <c r="H254">
        <v>2</v>
      </c>
      <c r="I254">
        <v>67.42</v>
      </c>
      <c r="J254">
        <v>19.3</v>
      </c>
      <c r="K254">
        <v>7.94</v>
      </c>
      <c r="L254">
        <v>2.02</v>
      </c>
      <c r="M254" s="40" t="s">
        <v>66</v>
      </c>
      <c r="N254">
        <v>0</v>
      </c>
      <c r="O254">
        <v>48.8</v>
      </c>
      <c r="P254">
        <v>18.62</v>
      </c>
      <c r="Q254">
        <v>0.27600000000000002</v>
      </c>
      <c r="R254">
        <v>3.45</v>
      </c>
      <c r="S254" s="40" t="s">
        <v>67</v>
      </c>
    </row>
    <row r="255" spans="1:19" x14ac:dyDescent="0.45">
      <c r="A255" s="40" t="s">
        <v>149</v>
      </c>
      <c r="B255" s="40" t="s">
        <v>150</v>
      </c>
      <c r="C255">
        <v>31.26</v>
      </c>
      <c r="D255">
        <v>7.1</v>
      </c>
      <c r="E255">
        <v>4.12</v>
      </c>
      <c r="F255">
        <v>0.03</v>
      </c>
      <c r="G255">
        <v>7.17</v>
      </c>
      <c r="H255">
        <v>1</v>
      </c>
      <c r="I255">
        <v>31.26</v>
      </c>
      <c r="J255">
        <v>7.1</v>
      </c>
      <c r="K255">
        <v>4.12</v>
      </c>
      <c r="L255">
        <v>0.94</v>
      </c>
      <c r="M255" s="40" t="s">
        <v>66</v>
      </c>
      <c r="N255">
        <v>0</v>
      </c>
      <c r="O255">
        <v>19.329999999999998</v>
      </c>
      <c r="P255">
        <v>11.93</v>
      </c>
      <c r="Q255">
        <v>0.38200000000000001</v>
      </c>
      <c r="R255">
        <v>4.3600000000000003</v>
      </c>
      <c r="S255" s="40" t="s">
        <v>67</v>
      </c>
    </row>
    <row r="256" spans="1:19" x14ac:dyDescent="0.45">
      <c r="A256" s="40" t="s">
        <v>89</v>
      </c>
      <c r="B256" s="40" t="s">
        <v>140</v>
      </c>
      <c r="C256">
        <v>39.49</v>
      </c>
      <c r="D256">
        <v>8.66</v>
      </c>
      <c r="E256">
        <v>3.91</v>
      </c>
      <c r="F256">
        <v>0.03</v>
      </c>
      <c r="G256">
        <v>1.39</v>
      </c>
      <c r="H256">
        <v>1</v>
      </c>
      <c r="I256">
        <v>39.49</v>
      </c>
      <c r="J256">
        <v>8.66</v>
      </c>
      <c r="K256">
        <v>3.91</v>
      </c>
      <c r="L256">
        <v>1.18</v>
      </c>
      <c r="M256" s="40" t="s">
        <v>66</v>
      </c>
      <c r="N256">
        <v>0</v>
      </c>
      <c r="O256">
        <v>15.14</v>
      </c>
      <c r="P256">
        <v>24.35</v>
      </c>
      <c r="Q256">
        <v>0.61699999999999999</v>
      </c>
      <c r="R256">
        <v>28.41</v>
      </c>
      <c r="S256" s="40" t="s">
        <v>67</v>
      </c>
    </row>
    <row r="257" spans="1:19" x14ac:dyDescent="0.45">
      <c r="A257" s="40" t="s">
        <v>115</v>
      </c>
      <c r="B257" s="40" t="s">
        <v>116</v>
      </c>
      <c r="C257">
        <v>51.05</v>
      </c>
      <c r="D257">
        <v>16.13</v>
      </c>
      <c r="E257">
        <v>6.54</v>
      </c>
      <c r="F257">
        <v>0.03</v>
      </c>
      <c r="G257">
        <v>11.51</v>
      </c>
      <c r="H257">
        <v>2</v>
      </c>
      <c r="I257">
        <v>102.1</v>
      </c>
      <c r="J257">
        <v>32.26</v>
      </c>
      <c r="K257">
        <v>13.08</v>
      </c>
      <c r="L257">
        <v>3.06</v>
      </c>
      <c r="M257" s="40" t="s">
        <v>154</v>
      </c>
      <c r="N257">
        <v>62.83</v>
      </c>
      <c r="O257">
        <v>122.74</v>
      </c>
      <c r="P257">
        <v>-20.64</v>
      </c>
      <c r="Q257">
        <v>-0.20200000000000001</v>
      </c>
      <c r="R257">
        <v>8.8699999999999992</v>
      </c>
      <c r="S257" s="40" t="s">
        <v>155</v>
      </c>
    </row>
    <row r="258" spans="1:19" x14ac:dyDescent="0.45">
      <c r="A258" s="40" t="s">
        <v>115</v>
      </c>
      <c r="B258" s="40" t="s">
        <v>116</v>
      </c>
      <c r="C258">
        <v>52.34</v>
      </c>
      <c r="D258">
        <v>15.71</v>
      </c>
      <c r="E258">
        <v>6.06</v>
      </c>
      <c r="F258">
        <v>0.03</v>
      </c>
      <c r="G258">
        <v>19.940000000000001</v>
      </c>
      <c r="H258">
        <v>2</v>
      </c>
      <c r="I258">
        <v>104.68</v>
      </c>
      <c r="J258">
        <v>31.42</v>
      </c>
      <c r="K258">
        <v>12.12</v>
      </c>
      <c r="L258">
        <v>3.14</v>
      </c>
      <c r="M258" s="40" t="s">
        <v>154</v>
      </c>
      <c r="N258">
        <v>84.91</v>
      </c>
      <c r="O258">
        <v>151.53</v>
      </c>
      <c r="P258">
        <v>-46.85</v>
      </c>
      <c r="Q258">
        <v>-0.44800000000000001</v>
      </c>
      <c r="R258">
        <v>5.25</v>
      </c>
      <c r="S258" s="40" t="s">
        <v>155</v>
      </c>
    </row>
    <row r="259" spans="1:19" x14ac:dyDescent="0.45">
      <c r="A259" s="40" t="s">
        <v>64</v>
      </c>
      <c r="B259" s="40" t="s">
        <v>65</v>
      </c>
      <c r="C259">
        <v>30.45</v>
      </c>
      <c r="D259">
        <v>10.53</v>
      </c>
      <c r="E259">
        <v>4.45</v>
      </c>
      <c r="F259">
        <v>0.03</v>
      </c>
      <c r="G259">
        <v>7.54</v>
      </c>
      <c r="H259">
        <v>2</v>
      </c>
      <c r="I259">
        <v>60.9</v>
      </c>
      <c r="J259">
        <v>21.06</v>
      </c>
      <c r="K259">
        <v>8.9</v>
      </c>
      <c r="L259">
        <v>1.83</v>
      </c>
      <c r="M259" s="40" t="s">
        <v>66</v>
      </c>
      <c r="N259">
        <v>0</v>
      </c>
      <c r="O259">
        <v>39.33</v>
      </c>
      <c r="P259">
        <v>21.57</v>
      </c>
      <c r="Q259">
        <v>0.35399999999999998</v>
      </c>
      <c r="R259">
        <v>8.08</v>
      </c>
      <c r="S259" s="40" t="s">
        <v>67</v>
      </c>
    </row>
    <row r="260" spans="1:19" x14ac:dyDescent="0.45">
      <c r="A260" s="40" t="s">
        <v>89</v>
      </c>
      <c r="B260" s="40" t="s">
        <v>140</v>
      </c>
      <c r="C260">
        <v>37.270000000000003</v>
      </c>
      <c r="D260">
        <v>8.18</v>
      </c>
      <c r="E260">
        <v>4.5599999999999996</v>
      </c>
      <c r="F260">
        <v>0.03</v>
      </c>
      <c r="G260">
        <v>6.01</v>
      </c>
      <c r="H260">
        <v>1</v>
      </c>
      <c r="I260">
        <v>37.270000000000003</v>
      </c>
      <c r="J260">
        <v>8.18</v>
      </c>
      <c r="K260">
        <v>4.5599999999999996</v>
      </c>
      <c r="L260">
        <v>1.1200000000000001</v>
      </c>
      <c r="M260" s="40" t="s">
        <v>66</v>
      </c>
      <c r="N260">
        <v>0</v>
      </c>
      <c r="O260">
        <v>19.87</v>
      </c>
      <c r="P260">
        <v>17.399999999999999</v>
      </c>
      <c r="Q260">
        <v>0.46700000000000003</v>
      </c>
      <c r="R260">
        <v>6.2</v>
      </c>
      <c r="S260" s="40" t="s">
        <v>67</v>
      </c>
    </row>
    <row r="261" spans="1:19" x14ac:dyDescent="0.45">
      <c r="A261" s="40" t="s">
        <v>115</v>
      </c>
      <c r="B261" s="40" t="s">
        <v>116</v>
      </c>
      <c r="C261">
        <v>49.95</v>
      </c>
      <c r="D261">
        <v>15.96</v>
      </c>
      <c r="E261">
        <v>6.49</v>
      </c>
      <c r="F261">
        <v>0.03</v>
      </c>
      <c r="G261">
        <v>10.36</v>
      </c>
      <c r="H261">
        <v>1</v>
      </c>
      <c r="I261">
        <v>49.95</v>
      </c>
      <c r="J261">
        <v>15.96</v>
      </c>
      <c r="K261">
        <v>6.49</v>
      </c>
      <c r="L261">
        <v>1.5</v>
      </c>
      <c r="M261" s="40" t="s">
        <v>66</v>
      </c>
      <c r="N261">
        <v>0</v>
      </c>
      <c r="O261">
        <v>34.31</v>
      </c>
      <c r="P261">
        <v>15.64</v>
      </c>
      <c r="Q261">
        <v>0.313</v>
      </c>
      <c r="R261">
        <v>4.82</v>
      </c>
      <c r="S261" s="40" t="s">
        <v>67</v>
      </c>
    </row>
    <row r="262" spans="1:19" x14ac:dyDescent="0.45">
      <c r="A262" s="40" t="s">
        <v>89</v>
      </c>
      <c r="B262" s="40" t="s">
        <v>90</v>
      </c>
      <c r="C262">
        <v>54.36</v>
      </c>
      <c r="D262">
        <v>22.64</v>
      </c>
      <c r="E262">
        <v>7.09</v>
      </c>
      <c r="F262">
        <v>0.03</v>
      </c>
      <c r="G262">
        <v>19.09</v>
      </c>
      <c r="H262">
        <v>2</v>
      </c>
      <c r="I262">
        <v>108.72</v>
      </c>
      <c r="J262">
        <v>45.28</v>
      </c>
      <c r="K262">
        <v>14.18</v>
      </c>
      <c r="L262">
        <v>3.26</v>
      </c>
      <c r="M262" s="40" t="s">
        <v>66</v>
      </c>
      <c r="N262">
        <v>0</v>
      </c>
      <c r="O262">
        <v>81.81</v>
      </c>
      <c r="P262">
        <v>26.91</v>
      </c>
      <c r="Q262">
        <v>0.248</v>
      </c>
      <c r="R262">
        <v>5.7</v>
      </c>
      <c r="S262" s="40" t="s">
        <v>67</v>
      </c>
    </row>
    <row r="263" spans="1:19" x14ac:dyDescent="0.45">
      <c r="A263" s="40" t="s">
        <v>64</v>
      </c>
      <c r="B263" s="40" t="s">
        <v>65</v>
      </c>
      <c r="C263">
        <v>34.96</v>
      </c>
      <c r="D263">
        <v>9.94</v>
      </c>
      <c r="E263">
        <v>4.1100000000000003</v>
      </c>
      <c r="F263">
        <v>0.03</v>
      </c>
      <c r="G263">
        <v>8.5500000000000007</v>
      </c>
      <c r="H263">
        <v>1</v>
      </c>
      <c r="I263">
        <v>34.96</v>
      </c>
      <c r="J263">
        <v>9.94</v>
      </c>
      <c r="K263">
        <v>4.1100000000000003</v>
      </c>
      <c r="L263">
        <v>1.05</v>
      </c>
      <c r="M263" s="40" t="s">
        <v>66</v>
      </c>
      <c r="N263">
        <v>0</v>
      </c>
      <c r="O263">
        <v>23.65</v>
      </c>
      <c r="P263">
        <v>11.31</v>
      </c>
      <c r="Q263">
        <v>0.32400000000000001</v>
      </c>
      <c r="R263">
        <v>4.09</v>
      </c>
      <c r="S263" s="40" t="s">
        <v>67</v>
      </c>
    </row>
    <row r="264" spans="1:19" x14ac:dyDescent="0.45">
      <c r="A264" s="40" t="s">
        <v>83</v>
      </c>
      <c r="B264" s="40" t="s">
        <v>84</v>
      </c>
      <c r="C264">
        <v>23.18</v>
      </c>
      <c r="D264">
        <v>6.03</v>
      </c>
      <c r="E264">
        <v>3.96</v>
      </c>
      <c r="F264">
        <v>0.03</v>
      </c>
      <c r="G264">
        <v>7.31</v>
      </c>
      <c r="H264">
        <v>1</v>
      </c>
      <c r="I264">
        <v>23.18</v>
      </c>
      <c r="J264">
        <v>6.03</v>
      </c>
      <c r="K264">
        <v>3.96</v>
      </c>
      <c r="L264">
        <v>0.7</v>
      </c>
      <c r="M264" s="40" t="s">
        <v>154</v>
      </c>
      <c r="N264">
        <v>15.71</v>
      </c>
      <c r="O264">
        <v>33.71</v>
      </c>
      <c r="P264">
        <v>-10.53</v>
      </c>
      <c r="Q264">
        <v>-0.45400000000000001</v>
      </c>
      <c r="R264">
        <v>3.17</v>
      </c>
      <c r="S264" s="40" t="s">
        <v>155</v>
      </c>
    </row>
    <row r="265" spans="1:19" x14ac:dyDescent="0.45">
      <c r="A265" s="40" t="s">
        <v>109</v>
      </c>
      <c r="B265" s="40" t="s">
        <v>110</v>
      </c>
      <c r="C265">
        <v>20.2</v>
      </c>
      <c r="D265">
        <v>3.68</v>
      </c>
      <c r="E265">
        <v>2.8</v>
      </c>
      <c r="F265">
        <v>0.03</v>
      </c>
      <c r="G265">
        <v>1.46</v>
      </c>
      <c r="H265">
        <v>1</v>
      </c>
      <c r="I265">
        <v>20.2</v>
      </c>
      <c r="J265">
        <v>3.68</v>
      </c>
      <c r="K265">
        <v>2.8</v>
      </c>
      <c r="L265">
        <v>0.61</v>
      </c>
      <c r="M265" s="40" t="s">
        <v>66</v>
      </c>
      <c r="N265">
        <v>0</v>
      </c>
      <c r="O265">
        <v>8.5500000000000007</v>
      </c>
      <c r="P265">
        <v>11.65</v>
      </c>
      <c r="Q265">
        <v>0.57699999999999996</v>
      </c>
      <c r="R265">
        <v>13.84</v>
      </c>
      <c r="S265" s="40" t="s">
        <v>67</v>
      </c>
    </row>
    <row r="266" spans="1:19" x14ac:dyDescent="0.45">
      <c r="A266" s="40" t="s">
        <v>109</v>
      </c>
      <c r="B266" s="40" t="s">
        <v>110</v>
      </c>
      <c r="C266">
        <v>21.42</v>
      </c>
      <c r="D266">
        <v>3.74</v>
      </c>
      <c r="E266">
        <v>2.71</v>
      </c>
      <c r="F266">
        <v>0.03</v>
      </c>
      <c r="G266">
        <v>7.95</v>
      </c>
      <c r="H266">
        <v>1</v>
      </c>
      <c r="I266">
        <v>21.42</v>
      </c>
      <c r="J266">
        <v>3.74</v>
      </c>
      <c r="K266">
        <v>2.71</v>
      </c>
      <c r="L266">
        <v>0.64</v>
      </c>
      <c r="M266" s="40" t="s">
        <v>66</v>
      </c>
      <c r="N266">
        <v>0</v>
      </c>
      <c r="O266">
        <v>15.04</v>
      </c>
      <c r="P266">
        <v>6.38</v>
      </c>
      <c r="Q266">
        <v>0.29799999999999999</v>
      </c>
      <c r="R266">
        <v>2.69</v>
      </c>
      <c r="S266" s="40" t="s">
        <v>67</v>
      </c>
    </row>
    <row r="267" spans="1:19" x14ac:dyDescent="0.45">
      <c r="A267" s="40" t="s">
        <v>109</v>
      </c>
      <c r="B267" s="40" t="s">
        <v>110</v>
      </c>
      <c r="C267">
        <v>21.92</v>
      </c>
      <c r="D267">
        <v>3.56</v>
      </c>
      <c r="E267">
        <v>2.5499999999999998</v>
      </c>
      <c r="F267">
        <v>0.03</v>
      </c>
      <c r="G267">
        <v>5.74</v>
      </c>
      <c r="H267">
        <v>1</v>
      </c>
      <c r="I267">
        <v>21.92</v>
      </c>
      <c r="J267">
        <v>3.56</v>
      </c>
      <c r="K267">
        <v>2.5499999999999998</v>
      </c>
      <c r="L267">
        <v>0.66</v>
      </c>
      <c r="M267" s="40" t="s">
        <v>66</v>
      </c>
      <c r="N267">
        <v>0</v>
      </c>
      <c r="O267">
        <v>12.51</v>
      </c>
      <c r="P267">
        <v>9.41</v>
      </c>
      <c r="Q267">
        <v>0.42899999999999999</v>
      </c>
      <c r="R267">
        <v>3.82</v>
      </c>
      <c r="S267" s="40" t="s">
        <v>67</v>
      </c>
    </row>
    <row r="268" spans="1:19" x14ac:dyDescent="0.45">
      <c r="A268" s="40" t="s">
        <v>109</v>
      </c>
      <c r="B268" s="40" t="s">
        <v>110</v>
      </c>
      <c r="C268">
        <v>20.170000000000002</v>
      </c>
      <c r="D268">
        <v>3.6</v>
      </c>
      <c r="E268">
        <v>2.75</v>
      </c>
      <c r="F268">
        <v>0.03</v>
      </c>
      <c r="G268">
        <v>0</v>
      </c>
      <c r="H268">
        <v>1</v>
      </c>
      <c r="I268">
        <v>20.170000000000002</v>
      </c>
      <c r="J268">
        <v>3.6</v>
      </c>
      <c r="K268">
        <v>2.75</v>
      </c>
      <c r="L268">
        <v>0.61</v>
      </c>
      <c r="M268" s="40" t="s">
        <v>66</v>
      </c>
      <c r="N268">
        <v>0</v>
      </c>
      <c r="O268">
        <v>6.96</v>
      </c>
      <c r="P268">
        <v>13.21</v>
      </c>
      <c r="Q268">
        <v>0.65500000000000003</v>
      </c>
      <c r="R268">
        <v>0</v>
      </c>
      <c r="S268" s="40" t="s">
        <v>67</v>
      </c>
    </row>
    <row r="269" spans="1:19" x14ac:dyDescent="0.45">
      <c r="A269" s="40" t="s">
        <v>83</v>
      </c>
      <c r="B269" s="40" t="s">
        <v>84</v>
      </c>
      <c r="C269">
        <v>26.1</v>
      </c>
      <c r="D269">
        <v>6.45</v>
      </c>
      <c r="E269">
        <v>3.31</v>
      </c>
      <c r="F269">
        <v>0.03</v>
      </c>
      <c r="G269">
        <v>10.19</v>
      </c>
      <c r="H269">
        <v>1</v>
      </c>
      <c r="I269">
        <v>26.1</v>
      </c>
      <c r="J269">
        <v>6.45</v>
      </c>
      <c r="K269">
        <v>3.31</v>
      </c>
      <c r="L269">
        <v>0.78</v>
      </c>
      <c r="M269" s="40" t="s">
        <v>66</v>
      </c>
      <c r="N269">
        <v>0</v>
      </c>
      <c r="O269">
        <v>20.73</v>
      </c>
      <c r="P269">
        <v>5.37</v>
      </c>
      <c r="Q269">
        <v>0.20599999999999999</v>
      </c>
      <c r="R269">
        <v>2.56</v>
      </c>
      <c r="S269" s="40" t="s">
        <v>67</v>
      </c>
    </row>
    <row r="270" spans="1:19" x14ac:dyDescent="0.45">
      <c r="A270" s="40" t="s">
        <v>99</v>
      </c>
      <c r="B270" s="40" t="s">
        <v>100</v>
      </c>
      <c r="C270">
        <v>34.270000000000003</v>
      </c>
      <c r="D270">
        <v>9.0399999999999991</v>
      </c>
      <c r="E270">
        <v>3.74</v>
      </c>
      <c r="F270">
        <v>0.03</v>
      </c>
      <c r="G270">
        <v>4.37</v>
      </c>
      <c r="H270">
        <v>1</v>
      </c>
      <c r="I270">
        <v>34.270000000000003</v>
      </c>
      <c r="J270">
        <v>9.0399999999999991</v>
      </c>
      <c r="K270">
        <v>3.74</v>
      </c>
      <c r="L270">
        <v>1.03</v>
      </c>
      <c r="M270" s="40" t="s">
        <v>66</v>
      </c>
      <c r="N270">
        <v>0</v>
      </c>
      <c r="O270">
        <v>18.18</v>
      </c>
      <c r="P270">
        <v>16.09</v>
      </c>
      <c r="Q270">
        <v>0.47</v>
      </c>
      <c r="R270">
        <v>7.84</v>
      </c>
      <c r="S270" s="40" t="s">
        <v>67</v>
      </c>
    </row>
    <row r="271" spans="1:19" x14ac:dyDescent="0.45">
      <c r="A271" s="40" t="s">
        <v>135</v>
      </c>
      <c r="B271" s="40" t="s">
        <v>136</v>
      </c>
      <c r="C271">
        <v>14.05</v>
      </c>
      <c r="D271">
        <v>2.0099999999999998</v>
      </c>
      <c r="E271">
        <v>2.15</v>
      </c>
      <c r="F271">
        <v>0.03</v>
      </c>
      <c r="G271">
        <v>8.44</v>
      </c>
      <c r="H271">
        <v>3</v>
      </c>
      <c r="I271">
        <v>42.15</v>
      </c>
      <c r="J271">
        <v>6.03</v>
      </c>
      <c r="K271">
        <v>6.45</v>
      </c>
      <c r="L271">
        <v>1.26</v>
      </c>
      <c r="M271" s="40" t="s">
        <v>66</v>
      </c>
      <c r="N271">
        <v>0</v>
      </c>
      <c r="O271">
        <v>22.18</v>
      </c>
      <c r="P271">
        <v>19.97</v>
      </c>
      <c r="Q271">
        <v>0.47399999999999998</v>
      </c>
      <c r="R271">
        <v>4.99</v>
      </c>
      <c r="S271" s="40" t="s">
        <v>67</v>
      </c>
    </row>
    <row r="272" spans="1:19" x14ac:dyDescent="0.45">
      <c r="A272" s="40" t="s">
        <v>149</v>
      </c>
      <c r="B272" s="40" t="s">
        <v>150</v>
      </c>
      <c r="C272">
        <v>29.77</v>
      </c>
      <c r="D272">
        <v>7.29</v>
      </c>
      <c r="E272">
        <v>4.88</v>
      </c>
      <c r="F272">
        <v>0.03</v>
      </c>
      <c r="G272">
        <v>9.27</v>
      </c>
      <c r="H272">
        <v>1</v>
      </c>
      <c r="I272">
        <v>29.77</v>
      </c>
      <c r="J272">
        <v>7.29</v>
      </c>
      <c r="K272">
        <v>4.88</v>
      </c>
      <c r="L272">
        <v>0.89</v>
      </c>
      <c r="M272" s="40" t="s">
        <v>66</v>
      </c>
      <c r="N272">
        <v>0</v>
      </c>
      <c r="O272">
        <v>22.33</v>
      </c>
      <c r="P272">
        <v>7.44</v>
      </c>
      <c r="Q272">
        <v>0.25</v>
      </c>
      <c r="R272">
        <v>3.21</v>
      </c>
      <c r="S272" s="40" t="s">
        <v>67</v>
      </c>
    </row>
    <row r="273" spans="1:19" x14ac:dyDescent="0.45">
      <c r="A273" s="40" t="s">
        <v>115</v>
      </c>
      <c r="B273" s="40" t="s">
        <v>116</v>
      </c>
      <c r="C273">
        <v>55.94</v>
      </c>
      <c r="D273">
        <v>16.27</v>
      </c>
      <c r="E273">
        <v>6.66</v>
      </c>
      <c r="F273">
        <v>0.03</v>
      </c>
      <c r="G273">
        <v>8.17</v>
      </c>
      <c r="H273">
        <v>1</v>
      </c>
      <c r="I273">
        <v>55.94</v>
      </c>
      <c r="J273">
        <v>16.27</v>
      </c>
      <c r="K273">
        <v>6.66</v>
      </c>
      <c r="L273">
        <v>1.68</v>
      </c>
      <c r="M273" s="40" t="s">
        <v>66</v>
      </c>
      <c r="N273">
        <v>0</v>
      </c>
      <c r="O273">
        <v>32.78</v>
      </c>
      <c r="P273">
        <v>23.16</v>
      </c>
      <c r="Q273">
        <v>0.41399999999999998</v>
      </c>
      <c r="R273">
        <v>6.85</v>
      </c>
      <c r="S273" s="40" t="s">
        <v>67</v>
      </c>
    </row>
    <row r="274" spans="1:19" x14ac:dyDescent="0.45">
      <c r="A274" s="40" t="s">
        <v>89</v>
      </c>
      <c r="B274" s="40" t="s">
        <v>90</v>
      </c>
      <c r="C274">
        <v>55.97</v>
      </c>
      <c r="D274">
        <v>22.52</v>
      </c>
      <c r="E274">
        <v>6.95</v>
      </c>
      <c r="F274">
        <v>0.03</v>
      </c>
      <c r="G274">
        <v>13.42</v>
      </c>
      <c r="H274">
        <v>2</v>
      </c>
      <c r="I274">
        <v>111.94</v>
      </c>
      <c r="J274">
        <v>45.04</v>
      </c>
      <c r="K274">
        <v>13.9</v>
      </c>
      <c r="L274">
        <v>3.36</v>
      </c>
      <c r="M274" s="40" t="s">
        <v>66</v>
      </c>
      <c r="N274">
        <v>0</v>
      </c>
      <c r="O274">
        <v>75.72</v>
      </c>
      <c r="P274">
        <v>36.22</v>
      </c>
      <c r="Q274">
        <v>0.32400000000000001</v>
      </c>
      <c r="R274">
        <v>8.34</v>
      </c>
      <c r="S274" s="40" t="s">
        <v>67</v>
      </c>
    </row>
    <row r="275" spans="1:19" x14ac:dyDescent="0.45">
      <c r="A275" s="40" t="s">
        <v>99</v>
      </c>
      <c r="B275" s="40" t="s">
        <v>100</v>
      </c>
      <c r="C275">
        <v>31.97</v>
      </c>
      <c r="D275">
        <v>8.75</v>
      </c>
      <c r="E275">
        <v>3.96</v>
      </c>
      <c r="F275">
        <v>0.03</v>
      </c>
      <c r="G275">
        <v>6.15</v>
      </c>
      <c r="H275">
        <v>1</v>
      </c>
      <c r="I275">
        <v>31.97</v>
      </c>
      <c r="J275">
        <v>8.75</v>
      </c>
      <c r="K275">
        <v>3.96</v>
      </c>
      <c r="L275">
        <v>0.96</v>
      </c>
      <c r="M275" s="40" t="s">
        <v>66</v>
      </c>
      <c r="N275">
        <v>0</v>
      </c>
      <c r="O275">
        <v>19.82</v>
      </c>
      <c r="P275">
        <v>12.15</v>
      </c>
      <c r="Q275">
        <v>0.38</v>
      </c>
      <c r="R275">
        <v>5.2</v>
      </c>
      <c r="S275" s="40" t="s">
        <v>67</v>
      </c>
    </row>
    <row r="276" spans="1:19" x14ac:dyDescent="0.45">
      <c r="A276" s="40" t="s">
        <v>89</v>
      </c>
      <c r="B276" s="40" t="s">
        <v>90</v>
      </c>
      <c r="C276">
        <v>65.739999999999995</v>
      </c>
      <c r="D276">
        <v>23.13</v>
      </c>
      <c r="E276">
        <v>7.9</v>
      </c>
      <c r="F276">
        <v>0.03</v>
      </c>
      <c r="G276">
        <v>9.41</v>
      </c>
      <c r="H276">
        <v>1</v>
      </c>
      <c r="I276">
        <v>65.739999999999995</v>
      </c>
      <c r="J276">
        <v>23.13</v>
      </c>
      <c r="K276">
        <v>7.9</v>
      </c>
      <c r="L276">
        <v>1.97</v>
      </c>
      <c r="M276" s="40" t="s">
        <v>66</v>
      </c>
      <c r="N276">
        <v>0</v>
      </c>
      <c r="O276">
        <v>42.41</v>
      </c>
      <c r="P276">
        <v>23.33</v>
      </c>
      <c r="Q276">
        <v>0.35499999999999998</v>
      </c>
      <c r="R276">
        <v>6.99</v>
      </c>
      <c r="S276" s="40" t="s">
        <v>67</v>
      </c>
    </row>
    <row r="277" spans="1:19" x14ac:dyDescent="0.45">
      <c r="A277" s="40" t="s">
        <v>89</v>
      </c>
      <c r="B277" s="40" t="s">
        <v>90</v>
      </c>
      <c r="C277">
        <v>57.65</v>
      </c>
      <c r="D277">
        <v>23.49</v>
      </c>
      <c r="E277">
        <v>7.79</v>
      </c>
      <c r="F277">
        <v>0.03</v>
      </c>
      <c r="G277">
        <v>13.16</v>
      </c>
      <c r="H277">
        <v>2</v>
      </c>
      <c r="I277">
        <v>115.3</v>
      </c>
      <c r="J277">
        <v>46.98</v>
      </c>
      <c r="K277">
        <v>15.58</v>
      </c>
      <c r="L277">
        <v>3.46</v>
      </c>
      <c r="M277" s="40" t="s">
        <v>66</v>
      </c>
      <c r="N277">
        <v>0</v>
      </c>
      <c r="O277">
        <v>79.180000000000007</v>
      </c>
      <c r="P277">
        <v>36.119999999999997</v>
      </c>
      <c r="Q277">
        <v>0.313</v>
      </c>
      <c r="R277">
        <v>8.76</v>
      </c>
      <c r="S277" s="40" t="s">
        <v>67</v>
      </c>
    </row>
    <row r="278" spans="1:19" x14ac:dyDescent="0.45">
      <c r="A278" s="40" t="s">
        <v>64</v>
      </c>
      <c r="B278" s="40" t="s">
        <v>65</v>
      </c>
      <c r="C278">
        <v>32.03</v>
      </c>
      <c r="D278">
        <v>10.07</v>
      </c>
      <c r="E278">
        <v>3.72</v>
      </c>
      <c r="F278">
        <v>0.03</v>
      </c>
      <c r="G278">
        <v>7.7</v>
      </c>
      <c r="H278">
        <v>1</v>
      </c>
      <c r="I278">
        <v>32.03</v>
      </c>
      <c r="J278">
        <v>10.07</v>
      </c>
      <c r="K278">
        <v>3.72</v>
      </c>
      <c r="L278">
        <v>0.96</v>
      </c>
      <c r="M278" s="40" t="s">
        <v>66</v>
      </c>
      <c r="N278">
        <v>0</v>
      </c>
      <c r="O278">
        <v>22.45</v>
      </c>
      <c r="P278">
        <v>9.58</v>
      </c>
      <c r="Q278">
        <v>0.29899999999999999</v>
      </c>
      <c r="R278">
        <v>4.16</v>
      </c>
      <c r="S278" s="40" t="s">
        <v>67</v>
      </c>
    </row>
    <row r="279" spans="1:19" x14ac:dyDescent="0.45">
      <c r="A279" s="40" t="s">
        <v>64</v>
      </c>
      <c r="B279" s="40" t="s">
        <v>65</v>
      </c>
      <c r="C279">
        <v>32.08</v>
      </c>
      <c r="D279">
        <v>9.9700000000000006</v>
      </c>
      <c r="E279">
        <v>3.92</v>
      </c>
      <c r="F279">
        <v>0.03</v>
      </c>
      <c r="G279">
        <v>4.09</v>
      </c>
      <c r="H279">
        <v>1</v>
      </c>
      <c r="I279">
        <v>32.08</v>
      </c>
      <c r="J279">
        <v>9.9700000000000006</v>
      </c>
      <c r="K279">
        <v>3.92</v>
      </c>
      <c r="L279">
        <v>0.96</v>
      </c>
      <c r="M279" s="40" t="s">
        <v>66</v>
      </c>
      <c r="N279">
        <v>0</v>
      </c>
      <c r="O279">
        <v>18.940000000000001</v>
      </c>
      <c r="P279">
        <v>13.14</v>
      </c>
      <c r="Q279">
        <v>0.41</v>
      </c>
      <c r="R279">
        <v>7.84</v>
      </c>
      <c r="S279" s="40" t="s">
        <v>67</v>
      </c>
    </row>
    <row r="280" spans="1:19" x14ac:dyDescent="0.45">
      <c r="A280" s="40" t="s">
        <v>83</v>
      </c>
      <c r="B280" s="40" t="s">
        <v>84</v>
      </c>
      <c r="C280">
        <v>26.91</v>
      </c>
      <c r="D280">
        <v>5.77</v>
      </c>
      <c r="E280">
        <v>3.88</v>
      </c>
      <c r="F280">
        <v>0.03</v>
      </c>
      <c r="G280">
        <v>9.8000000000000007</v>
      </c>
      <c r="H280">
        <v>1</v>
      </c>
      <c r="I280">
        <v>26.91</v>
      </c>
      <c r="J280">
        <v>5.77</v>
      </c>
      <c r="K280">
        <v>3.88</v>
      </c>
      <c r="L280">
        <v>0.81</v>
      </c>
      <c r="M280" s="40" t="s">
        <v>66</v>
      </c>
      <c r="N280">
        <v>0</v>
      </c>
      <c r="O280">
        <v>20.260000000000002</v>
      </c>
      <c r="P280">
        <v>6.65</v>
      </c>
      <c r="Q280">
        <v>0.247</v>
      </c>
      <c r="R280">
        <v>2.75</v>
      </c>
      <c r="S280" s="40" t="s">
        <v>67</v>
      </c>
    </row>
    <row r="281" spans="1:19" x14ac:dyDescent="0.45">
      <c r="A281" s="40" t="s">
        <v>115</v>
      </c>
      <c r="B281" s="40" t="s">
        <v>116</v>
      </c>
      <c r="C281">
        <v>45.76</v>
      </c>
      <c r="D281">
        <v>17.04</v>
      </c>
      <c r="E281">
        <v>6.33</v>
      </c>
      <c r="F281">
        <v>0.03</v>
      </c>
      <c r="G281">
        <v>6.3</v>
      </c>
      <c r="H281">
        <v>1</v>
      </c>
      <c r="I281">
        <v>45.76</v>
      </c>
      <c r="J281">
        <v>17.04</v>
      </c>
      <c r="K281">
        <v>6.33</v>
      </c>
      <c r="L281">
        <v>1.37</v>
      </c>
      <c r="M281" s="40" t="s">
        <v>66</v>
      </c>
      <c r="N281">
        <v>0</v>
      </c>
      <c r="O281">
        <v>31.04</v>
      </c>
      <c r="P281">
        <v>14.72</v>
      </c>
      <c r="Q281">
        <v>0.32200000000000001</v>
      </c>
      <c r="R281">
        <v>7.26</v>
      </c>
      <c r="S281" s="40" t="s">
        <v>67</v>
      </c>
    </row>
    <row r="282" spans="1:19" x14ac:dyDescent="0.45">
      <c r="A282" s="40" t="s">
        <v>109</v>
      </c>
      <c r="B282" s="40" t="s">
        <v>110</v>
      </c>
      <c r="C282">
        <v>18.46</v>
      </c>
      <c r="D282">
        <v>3.65</v>
      </c>
      <c r="E282">
        <v>2.44</v>
      </c>
      <c r="F282">
        <v>0.03</v>
      </c>
      <c r="G282">
        <v>3.75</v>
      </c>
      <c r="H282">
        <v>1</v>
      </c>
      <c r="I282">
        <v>18.46</v>
      </c>
      <c r="J282">
        <v>3.65</v>
      </c>
      <c r="K282">
        <v>2.44</v>
      </c>
      <c r="L282">
        <v>0.55000000000000004</v>
      </c>
      <c r="M282" s="40" t="s">
        <v>66</v>
      </c>
      <c r="N282">
        <v>0</v>
      </c>
      <c r="O282">
        <v>10.39</v>
      </c>
      <c r="P282">
        <v>8.07</v>
      </c>
      <c r="Q282">
        <v>0.437</v>
      </c>
      <c r="R282">
        <v>4.92</v>
      </c>
      <c r="S282" s="40" t="s">
        <v>67</v>
      </c>
    </row>
    <row r="283" spans="1:19" x14ac:dyDescent="0.45">
      <c r="A283" s="40" t="s">
        <v>83</v>
      </c>
      <c r="B283" s="40" t="s">
        <v>84</v>
      </c>
      <c r="C283">
        <v>26.14</v>
      </c>
      <c r="D283">
        <v>6</v>
      </c>
      <c r="E283">
        <v>3.45</v>
      </c>
      <c r="F283">
        <v>0.03</v>
      </c>
      <c r="G283">
        <v>2.11</v>
      </c>
      <c r="H283">
        <v>2</v>
      </c>
      <c r="I283">
        <v>52.28</v>
      </c>
      <c r="J283">
        <v>12</v>
      </c>
      <c r="K283">
        <v>6.9</v>
      </c>
      <c r="L283">
        <v>1.57</v>
      </c>
      <c r="M283" s="40" t="s">
        <v>66</v>
      </c>
      <c r="N283">
        <v>0</v>
      </c>
      <c r="O283">
        <v>22.58</v>
      </c>
      <c r="P283">
        <v>29.7</v>
      </c>
      <c r="Q283">
        <v>0.56799999999999995</v>
      </c>
      <c r="R283">
        <v>24.78</v>
      </c>
      <c r="S283" s="40" t="s">
        <v>67</v>
      </c>
    </row>
    <row r="284" spans="1:19" x14ac:dyDescent="0.45">
      <c r="A284" s="40" t="s">
        <v>89</v>
      </c>
      <c r="B284" s="40" t="s">
        <v>90</v>
      </c>
      <c r="C284">
        <v>65.569999999999993</v>
      </c>
      <c r="D284">
        <v>20.99</v>
      </c>
      <c r="E284">
        <v>6.7</v>
      </c>
      <c r="F284">
        <v>0.03</v>
      </c>
      <c r="G284">
        <v>6.09</v>
      </c>
      <c r="H284">
        <v>1</v>
      </c>
      <c r="I284">
        <v>65.569999999999993</v>
      </c>
      <c r="J284">
        <v>20.99</v>
      </c>
      <c r="K284">
        <v>6.7</v>
      </c>
      <c r="L284">
        <v>1.97</v>
      </c>
      <c r="M284" s="40" t="s">
        <v>66</v>
      </c>
      <c r="N284">
        <v>0</v>
      </c>
      <c r="O284">
        <v>35.75</v>
      </c>
      <c r="P284">
        <v>29.82</v>
      </c>
      <c r="Q284">
        <v>0.45500000000000002</v>
      </c>
      <c r="R284">
        <v>10.77</v>
      </c>
      <c r="S284" s="40" t="s">
        <v>67</v>
      </c>
    </row>
    <row r="285" spans="1:19" x14ac:dyDescent="0.45">
      <c r="A285" s="40" t="s">
        <v>135</v>
      </c>
      <c r="B285" s="40" t="s">
        <v>136</v>
      </c>
      <c r="C285">
        <v>15.26</v>
      </c>
      <c r="D285">
        <v>2.1</v>
      </c>
      <c r="E285">
        <v>2.09</v>
      </c>
      <c r="F285">
        <v>0.03</v>
      </c>
      <c r="G285">
        <v>17.77</v>
      </c>
      <c r="H285">
        <v>2</v>
      </c>
      <c r="I285">
        <v>30.52</v>
      </c>
      <c r="J285">
        <v>4.2</v>
      </c>
      <c r="K285">
        <v>4.18</v>
      </c>
      <c r="L285">
        <v>0.92</v>
      </c>
      <c r="M285" s="40" t="s">
        <v>66</v>
      </c>
      <c r="N285">
        <v>0</v>
      </c>
      <c r="O285">
        <v>27.07</v>
      </c>
      <c r="P285">
        <v>3.45</v>
      </c>
      <c r="Q285">
        <v>0.113</v>
      </c>
      <c r="R285">
        <v>1.72</v>
      </c>
      <c r="S285" s="40" t="s">
        <v>67</v>
      </c>
    </row>
    <row r="286" spans="1:19" x14ac:dyDescent="0.45">
      <c r="A286" s="40" t="s">
        <v>135</v>
      </c>
      <c r="B286" s="40" t="s">
        <v>136</v>
      </c>
      <c r="C286">
        <v>13.59</v>
      </c>
      <c r="D286">
        <v>2.15</v>
      </c>
      <c r="E286">
        <v>2.2799999999999998</v>
      </c>
      <c r="F286">
        <v>0.03</v>
      </c>
      <c r="G286">
        <v>0</v>
      </c>
      <c r="H286">
        <v>2</v>
      </c>
      <c r="I286">
        <v>27.18</v>
      </c>
      <c r="J286">
        <v>4.3</v>
      </c>
      <c r="K286">
        <v>4.5599999999999996</v>
      </c>
      <c r="L286">
        <v>0.82</v>
      </c>
      <c r="M286" s="40" t="s">
        <v>66</v>
      </c>
      <c r="N286">
        <v>0</v>
      </c>
      <c r="O286">
        <v>9.68</v>
      </c>
      <c r="P286">
        <v>17.5</v>
      </c>
      <c r="Q286">
        <v>0.64400000000000002</v>
      </c>
      <c r="R286">
        <v>0</v>
      </c>
      <c r="S286" s="40" t="s">
        <v>67</v>
      </c>
    </row>
    <row r="287" spans="1:19" x14ac:dyDescent="0.45">
      <c r="A287" s="40" t="s">
        <v>109</v>
      </c>
      <c r="B287" s="40" t="s">
        <v>110</v>
      </c>
      <c r="C287">
        <v>20.16</v>
      </c>
      <c r="D287">
        <v>3.67</v>
      </c>
      <c r="E287">
        <v>2.74</v>
      </c>
      <c r="F287">
        <v>0.03</v>
      </c>
      <c r="G287">
        <v>2.2000000000000002</v>
      </c>
      <c r="H287">
        <v>1</v>
      </c>
      <c r="I287">
        <v>20.16</v>
      </c>
      <c r="J287">
        <v>3.67</v>
      </c>
      <c r="K287">
        <v>2.74</v>
      </c>
      <c r="L287">
        <v>0.6</v>
      </c>
      <c r="M287" s="40" t="s">
        <v>66</v>
      </c>
      <c r="N287">
        <v>0</v>
      </c>
      <c r="O287">
        <v>9.2100000000000009</v>
      </c>
      <c r="P287">
        <v>10.95</v>
      </c>
      <c r="Q287">
        <v>0.54300000000000004</v>
      </c>
      <c r="R287">
        <v>9.16</v>
      </c>
      <c r="S287" s="40" t="s">
        <v>67</v>
      </c>
    </row>
    <row r="288" spans="1:19" x14ac:dyDescent="0.45">
      <c r="A288" s="40" t="s">
        <v>149</v>
      </c>
      <c r="B288" s="40" t="s">
        <v>150</v>
      </c>
      <c r="C288">
        <v>31.44</v>
      </c>
      <c r="D288">
        <v>6.67</v>
      </c>
      <c r="E288">
        <v>4.5</v>
      </c>
      <c r="F288">
        <v>0.03</v>
      </c>
      <c r="G288">
        <v>6.4</v>
      </c>
      <c r="H288">
        <v>2</v>
      </c>
      <c r="I288">
        <v>62.88</v>
      </c>
      <c r="J288">
        <v>13.34</v>
      </c>
      <c r="K288">
        <v>9</v>
      </c>
      <c r="L288">
        <v>1.89</v>
      </c>
      <c r="M288" s="40" t="s">
        <v>66</v>
      </c>
      <c r="N288">
        <v>0</v>
      </c>
      <c r="O288">
        <v>30.63</v>
      </c>
      <c r="P288">
        <v>32.25</v>
      </c>
      <c r="Q288">
        <v>0.51300000000000001</v>
      </c>
      <c r="R288">
        <v>9.83</v>
      </c>
      <c r="S288" s="40" t="s">
        <v>67</v>
      </c>
    </row>
    <row r="289" spans="1:19" x14ac:dyDescent="0.45">
      <c r="A289" s="40" t="s">
        <v>74</v>
      </c>
      <c r="B289" s="40" t="s">
        <v>75</v>
      </c>
      <c r="C289">
        <v>41.3</v>
      </c>
      <c r="D289">
        <v>14.57</v>
      </c>
      <c r="E289">
        <v>5.91</v>
      </c>
      <c r="F289">
        <v>0.03</v>
      </c>
      <c r="G289">
        <v>1.32</v>
      </c>
      <c r="H289">
        <v>1</v>
      </c>
      <c r="I289">
        <v>41.3</v>
      </c>
      <c r="J289">
        <v>14.57</v>
      </c>
      <c r="K289">
        <v>5.91</v>
      </c>
      <c r="L289">
        <v>1.24</v>
      </c>
      <c r="M289" s="40" t="s">
        <v>66</v>
      </c>
      <c r="N289">
        <v>0</v>
      </c>
      <c r="O289">
        <v>23.04</v>
      </c>
      <c r="P289">
        <v>18.260000000000002</v>
      </c>
      <c r="Q289">
        <v>0.442</v>
      </c>
      <c r="R289">
        <v>31.29</v>
      </c>
      <c r="S289" s="40" t="s">
        <v>67</v>
      </c>
    </row>
    <row r="290" spans="1:19" x14ac:dyDescent="0.45">
      <c r="A290" s="40" t="s">
        <v>83</v>
      </c>
      <c r="B290" s="40" t="s">
        <v>84</v>
      </c>
      <c r="C290">
        <v>26.07</v>
      </c>
      <c r="D290">
        <v>6.34</v>
      </c>
      <c r="E290">
        <v>3.62</v>
      </c>
      <c r="F290">
        <v>0.03</v>
      </c>
      <c r="G290">
        <v>4.26</v>
      </c>
      <c r="H290">
        <v>1</v>
      </c>
      <c r="I290">
        <v>26.07</v>
      </c>
      <c r="J290">
        <v>6.34</v>
      </c>
      <c r="K290">
        <v>3.62</v>
      </c>
      <c r="L290">
        <v>0.78</v>
      </c>
      <c r="M290" s="40" t="s">
        <v>66</v>
      </c>
      <c r="N290">
        <v>0</v>
      </c>
      <c r="O290">
        <v>15</v>
      </c>
      <c r="P290">
        <v>11.07</v>
      </c>
      <c r="Q290">
        <v>0.42499999999999999</v>
      </c>
      <c r="R290">
        <v>6.12</v>
      </c>
      <c r="S290" s="40" t="s">
        <v>67</v>
      </c>
    </row>
    <row r="291" spans="1:19" x14ac:dyDescent="0.45">
      <c r="A291" s="40" t="s">
        <v>149</v>
      </c>
      <c r="B291" s="40" t="s">
        <v>150</v>
      </c>
      <c r="C291">
        <v>31.97</v>
      </c>
      <c r="D291">
        <v>7</v>
      </c>
      <c r="E291">
        <v>4.13</v>
      </c>
      <c r="F291">
        <v>0.03</v>
      </c>
      <c r="G291">
        <v>15.35</v>
      </c>
      <c r="H291">
        <v>3</v>
      </c>
      <c r="I291">
        <v>95.91</v>
      </c>
      <c r="J291">
        <v>21</v>
      </c>
      <c r="K291">
        <v>12.39</v>
      </c>
      <c r="L291">
        <v>2.88</v>
      </c>
      <c r="M291" s="40" t="s">
        <v>66</v>
      </c>
      <c r="N291">
        <v>0</v>
      </c>
      <c r="O291">
        <v>51.62</v>
      </c>
      <c r="P291">
        <v>44.29</v>
      </c>
      <c r="Q291">
        <v>0.46200000000000002</v>
      </c>
      <c r="R291">
        <v>6.25</v>
      </c>
      <c r="S291" s="40" t="s">
        <v>67</v>
      </c>
    </row>
    <row r="292" spans="1:19" x14ac:dyDescent="0.45">
      <c r="A292" s="40" t="s">
        <v>149</v>
      </c>
      <c r="B292" s="40" t="s">
        <v>150</v>
      </c>
      <c r="C292">
        <v>33.04</v>
      </c>
      <c r="D292">
        <v>7.26</v>
      </c>
      <c r="E292">
        <v>5.09</v>
      </c>
      <c r="F292">
        <v>0.03</v>
      </c>
      <c r="G292">
        <v>7.48</v>
      </c>
      <c r="H292">
        <v>3</v>
      </c>
      <c r="I292">
        <v>99.12</v>
      </c>
      <c r="J292">
        <v>21.78</v>
      </c>
      <c r="K292">
        <v>15.27</v>
      </c>
      <c r="L292">
        <v>2.97</v>
      </c>
      <c r="M292" s="40" t="s">
        <v>66</v>
      </c>
      <c r="N292">
        <v>0</v>
      </c>
      <c r="O292">
        <v>47.5</v>
      </c>
      <c r="P292">
        <v>51.62</v>
      </c>
      <c r="Q292">
        <v>0.52100000000000002</v>
      </c>
      <c r="R292">
        <v>13.25</v>
      </c>
      <c r="S292" s="40" t="s">
        <v>67</v>
      </c>
    </row>
    <row r="293" spans="1:19" x14ac:dyDescent="0.45">
      <c r="A293" s="40" t="s">
        <v>99</v>
      </c>
      <c r="B293" s="40" t="s">
        <v>100</v>
      </c>
      <c r="C293">
        <v>37.53</v>
      </c>
      <c r="D293">
        <v>8.8000000000000007</v>
      </c>
      <c r="E293">
        <v>4.0199999999999996</v>
      </c>
      <c r="F293">
        <v>0.03</v>
      </c>
      <c r="G293">
        <v>12.54</v>
      </c>
      <c r="H293">
        <v>2</v>
      </c>
      <c r="I293">
        <v>75.06</v>
      </c>
      <c r="J293">
        <v>17.600000000000001</v>
      </c>
      <c r="K293">
        <v>8.0399999999999991</v>
      </c>
      <c r="L293">
        <v>2.25</v>
      </c>
      <c r="M293" s="40" t="s">
        <v>66</v>
      </c>
      <c r="N293">
        <v>0</v>
      </c>
      <c r="O293">
        <v>40.43</v>
      </c>
      <c r="P293">
        <v>34.630000000000003</v>
      </c>
      <c r="Q293">
        <v>0.46100000000000002</v>
      </c>
      <c r="R293">
        <v>5.99</v>
      </c>
      <c r="S293" s="40" t="s">
        <v>67</v>
      </c>
    </row>
    <row r="294" spans="1:19" x14ac:dyDescent="0.45">
      <c r="A294" s="40" t="s">
        <v>109</v>
      </c>
      <c r="B294" s="40" t="s">
        <v>110</v>
      </c>
      <c r="C294">
        <v>18.32</v>
      </c>
      <c r="D294">
        <v>3.59</v>
      </c>
      <c r="E294">
        <v>2.52</v>
      </c>
      <c r="F294">
        <v>0.03</v>
      </c>
      <c r="G294">
        <v>4.1500000000000004</v>
      </c>
      <c r="H294">
        <v>1</v>
      </c>
      <c r="I294">
        <v>18.32</v>
      </c>
      <c r="J294">
        <v>3.59</v>
      </c>
      <c r="K294">
        <v>2.52</v>
      </c>
      <c r="L294">
        <v>0.55000000000000004</v>
      </c>
      <c r="M294" s="40" t="s">
        <v>66</v>
      </c>
      <c r="N294">
        <v>0</v>
      </c>
      <c r="O294">
        <v>10.81</v>
      </c>
      <c r="P294">
        <v>7.51</v>
      </c>
      <c r="Q294">
        <v>0.41</v>
      </c>
      <c r="R294">
        <v>4.41</v>
      </c>
      <c r="S294" s="40" t="s">
        <v>67</v>
      </c>
    </row>
    <row r="295" spans="1:19" x14ac:dyDescent="0.45">
      <c r="A295" s="40" t="s">
        <v>89</v>
      </c>
      <c r="B295" s="40" t="s">
        <v>140</v>
      </c>
      <c r="C295">
        <v>42.43</v>
      </c>
      <c r="D295">
        <v>8.5299999999999994</v>
      </c>
      <c r="E295">
        <v>4.55</v>
      </c>
      <c r="F295">
        <v>0.03</v>
      </c>
      <c r="G295">
        <v>3.43</v>
      </c>
      <c r="H295">
        <v>1</v>
      </c>
      <c r="I295">
        <v>42.43</v>
      </c>
      <c r="J295">
        <v>8.5299999999999994</v>
      </c>
      <c r="K295">
        <v>4.55</v>
      </c>
      <c r="L295">
        <v>1.27</v>
      </c>
      <c r="M295" s="40" t="s">
        <v>66</v>
      </c>
      <c r="N295">
        <v>0</v>
      </c>
      <c r="O295">
        <v>17.78</v>
      </c>
      <c r="P295">
        <v>24.65</v>
      </c>
      <c r="Q295">
        <v>0.58099999999999996</v>
      </c>
      <c r="R295">
        <v>12.37</v>
      </c>
      <c r="S295" s="40" t="s">
        <v>67</v>
      </c>
    </row>
    <row r="296" spans="1:19" x14ac:dyDescent="0.45">
      <c r="A296" s="40" t="s">
        <v>135</v>
      </c>
      <c r="B296" s="40" t="s">
        <v>136</v>
      </c>
      <c r="C296">
        <v>16.68</v>
      </c>
      <c r="D296">
        <v>2.0699999999999998</v>
      </c>
      <c r="E296">
        <v>2.2799999999999998</v>
      </c>
      <c r="F296">
        <v>0.03</v>
      </c>
      <c r="G296">
        <v>0</v>
      </c>
      <c r="H296">
        <v>1</v>
      </c>
      <c r="I296">
        <v>16.68</v>
      </c>
      <c r="J296">
        <v>2.0699999999999998</v>
      </c>
      <c r="K296">
        <v>2.2799999999999998</v>
      </c>
      <c r="L296">
        <v>0.5</v>
      </c>
      <c r="M296" s="40" t="s">
        <v>66</v>
      </c>
      <c r="N296">
        <v>0</v>
      </c>
      <c r="O296">
        <v>4.8499999999999996</v>
      </c>
      <c r="P296">
        <v>11.83</v>
      </c>
      <c r="Q296">
        <v>0.70899999999999996</v>
      </c>
      <c r="R296">
        <v>0</v>
      </c>
      <c r="S296" s="40" t="s">
        <v>67</v>
      </c>
    </row>
    <row r="297" spans="1:19" x14ac:dyDescent="0.45">
      <c r="A297" s="40" t="s">
        <v>89</v>
      </c>
      <c r="B297" s="40" t="s">
        <v>90</v>
      </c>
      <c r="C297">
        <v>64.400000000000006</v>
      </c>
      <c r="D297">
        <v>22.42</v>
      </c>
      <c r="E297">
        <v>6.6</v>
      </c>
      <c r="F297">
        <v>0.03</v>
      </c>
      <c r="G297">
        <v>17.14</v>
      </c>
      <c r="H297">
        <v>2</v>
      </c>
      <c r="I297">
        <v>128.80000000000001</v>
      </c>
      <c r="J297">
        <v>44.84</v>
      </c>
      <c r="K297">
        <v>13.2</v>
      </c>
      <c r="L297">
        <v>3.86</v>
      </c>
      <c r="M297" s="40" t="s">
        <v>66</v>
      </c>
      <c r="N297">
        <v>0</v>
      </c>
      <c r="O297">
        <v>79.040000000000006</v>
      </c>
      <c r="P297">
        <v>49.76</v>
      </c>
      <c r="Q297">
        <v>0.38600000000000001</v>
      </c>
      <c r="R297">
        <v>7.51</v>
      </c>
      <c r="S297" s="40" t="s">
        <v>67</v>
      </c>
    </row>
    <row r="298" spans="1:19" x14ac:dyDescent="0.45">
      <c r="A298" s="40" t="s">
        <v>109</v>
      </c>
      <c r="B298" s="40" t="s">
        <v>110</v>
      </c>
      <c r="C298">
        <v>18.440000000000001</v>
      </c>
      <c r="D298">
        <v>3.58</v>
      </c>
      <c r="E298">
        <v>2.58</v>
      </c>
      <c r="F298">
        <v>0.03</v>
      </c>
      <c r="G298">
        <v>11.91</v>
      </c>
      <c r="H298">
        <v>3</v>
      </c>
      <c r="I298">
        <v>55.32</v>
      </c>
      <c r="J298">
        <v>10.74</v>
      </c>
      <c r="K298">
        <v>7.74</v>
      </c>
      <c r="L298">
        <v>1.66</v>
      </c>
      <c r="M298" s="40" t="s">
        <v>66</v>
      </c>
      <c r="N298">
        <v>0</v>
      </c>
      <c r="O298">
        <v>32.049999999999997</v>
      </c>
      <c r="P298">
        <v>23.27</v>
      </c>
      <c r="Q298">
        <v>0.42099999999999999</v>
      </c>
      <c r="R298">
        <v>4.6399999999999997</v>
      </c>
      <c r="S298" s="40" t="s">
        <v>67</v>
      </c>
    </row>
    <row r="299" spans="1:19" x14ac:dyDescent="0.45">
      <c r="A299" s="40" t="s">
        <v>74</v>
      </c>
      <c r="B299" s="40" t="s">
        <v>75</v>
      </c>
      <c r="C299">
        <v>48.51</v>
      </c>
      <c r="D299">
        <v>14.89</v>
      </c>
      <c r="E299">
        <v>7.02</v>
      </c>
      <c r="F299">
        <v>0.03</v>
      </c>
      <c r="G299">
        <v>22.81</v>
      </c>
      <c r="H299">
        <v>3</v>
      </c>
      <c r="I299">
        <v>145.53</v>
      </c>
      <c r="J299">
        <v>44.67</v>
      </c>
      <c r="K299">
        <v>21.06</v>
      </c>
      <c r="L299">
        <v>4.37</v>
      </c>
      <c r="M299" s="40" t="s">
        <v>66</v>
      </c>
      <c r="N299">
        <v>0</v>
      </c>
      <c r="O299">
        <v>92.91</v>
      </c>
      <c r="P299">
        <v>52.62</v>
      </c>
      <c r="Q299">
        <v>0.36199999999999999</v>
      </c>
      <c r="R299">
        <v>6.38</v>
      </c>
      <c r="S299" s="40" t="s">
        <v>67</v>
      </c>
    </row>
    <row r="300" spans="1:19" x14ac:dyDescent="0.45">
      <c r="A300" s="40" t="s">
        <v>89</v>
      </c>
      <c r="B300" s="40" t="s">
        <v>90</v>
      </c>
      <c r="C300">
        <v>57.44</v>
      </c>
      <c r="D300">
        <v>21.63</v>
      </c>
      <c r="E300">
        <v>7.98</v>
      </c>
      <c r="F300">
        <v>0.03</v>
      </c>
      <c r="G300">
        <v>14.62</v>
      </c>
      <c r="H300">
        <v>3</v>
      </c>
      <c r="I300">
        <v>172.32</v>
      </c>
      <c r="J300">
        <v>64.89</v>
      </c>
      <c r="K300">
        <v>23.94</v>
      </c>
      <c r="L300">
        <v>5.17</v>
      </c>
      <c r="M300" s="40" t="s">
        <v>66</v>
      </c>
      <c r="N300">
        <v>0</v>
      </c>
      <c r="O300">
        <v>108.62</v>
      </c>
      <c r="P300">
        <v>63.7</v>
      </c>
      <c r="Q300">
        <v>0.37</v>
      </c>
      <c r="R300">
        <v>11.79</v>
      </c>
      <c r="S300" s="40" t="s">
        <v>67</v>
      </c>
    </row>
    <row r="301" spans="1:19" x14ac:dyDescent="0.45">
      <c r="A301" s="40" t="s">
        <v>83</v>
      </c>
      <c r="B301" s="40" t="s">
        <v>84</v>
      </c>
      <c r="C301">
        <v>27.98</v>
      </c>
      <c r="D301">
        <v>6.03</v>
      </c>
      <c r="E301">
        <v>3.33</v>
      </c>
      <c r="F301">
        <v>0.03</v>
      </c>
      <c r="G301">
        <v>9.1300000000000008</v>
      </c>
      <c r="H301">
        <v>1</v>
      </c>
      <c r="I301">
        <v>27.98</v>
      </c>
      <c r="J301">
        <v>6.03</v>
      </c>
      <c r="K301">
        <v>3.33</v>
      </c>
      <c r="L301">
        <v>0.84</v>
      </c>
      <c r="M301" s="40" t="s">
        <v>66</v>
      </c>
      <c r="N301">
        <v>0</v>
      </c>
      <c r="O301">
        <v>19.329999999999998</v>
      </c>
      <c r="P301">
        <v>8.65</v>
      </c>
      <c r="Q301">
        <v>0.309</v>
      </c>
      <c r="R301">
        <v>3.06</v>
      </c>
      <c r="S301" s="40" t="s">
        <v>67</v>
      </c>
    </row>
    <row r="302" spans="1:19" x14ac:dyDescent="0.45">
      <c r="A302" s="40" t="s">
        <v>74</v>
      </c>
      <c r="B302" s="40" t="s">
        <v>75</v>
      </c>
      <c r="C302">
        <v>46.89</v>
      </c>
      <c r="D302">
        <v>13.49</v>
      </c>
      <c r="E302">
        <v>7.37</v>
      </c>
      <c r="F302">
        <v>0.03</v>
      </c>
      <c r="G302">
        <v>6.2</v>
      </c>
      <c r="H302">
        <v>2</v>
      </c>
      <c r="I302">
        <v>93.78</v>
      </c>
      <c r="J302">
        <v>26.98</v>
      </c>
      <c r="K302">
        <v>14.74</v>
      </c>
      <c r="L302">
        <v>2.81</v>
      </c>
      <c r="M302" s="40" t="s">
        <v>66</v>
      </c>
      <c r="N302">
        <v>0</v>
      </c>
      <c r="O302">
        <v>50.73</v>
      </c>
      <c r="P302">
        <v>43.05</v>
      </c>
      <c r="Q302">
        <v>0.45900000000000002</v>
      </c>
      <c r="R302">
        <v>15.13</v>
      </c>
      <c r="S302" s="40" t="s">
        <v>67</v>
      </c>
    </row>
    <row r="303" spans="1:19" x14ac:dyDescent="0.45">
      <c r="A303" s="40" t="s">
        <v>99</v>
      </c>
      <c r="B303" s="40" t="s">
        <v>100</v>
      </c>
      <c r="C303">
        <v>34.799999999999997</v>
      </c>
      <c r="D303">
        <v>9.4499999999999993</v>
      </c>
      <c r="E303">
        <v>4.3600000000000003</v>
      </c>
      <c r="F303">
        <v>0.03</v>
      </c>
      <c r="G303">
        <v>2.63</v>
      </c>
      <c r="H303">
        <v>1</v>
      </c>
      <c r="I303">
        <v>34.799999999999997</v>
      </c>
      <c r="J303">
        <v>9.4499999999999993</v>
      </c>
      <c r="K303">
        <v>4.3600000000000003</v>
      </c>
      <c r="L303">
        <v>1.04</v>
      </c>
      <c r="M303" s="40" t="s">
        <v>66</v>
      </c>
      <c r="N303">
        <v>0</v>
      </c>
      <c r="O303">
        <v>17.48</v>
      </c>
      <c r="P303">
        <v>17.32</v>
      </c>
      <c r="Q303">
        <v>0.498</v>
      </c>
      <c r="R303">
        <v>13.23</v>
      </c>
      <c r="S303" s="40" t="s">
        <v>67</v>
      </c>
    </row>
    <row r="304" spans="1:19" x14ac:dyDescent="0.45">
      <c r="A304" s="40" t="s">
        <v>74</v>
      </c>
      <c r="B304" s="40" t="s">
        <v>75</v>
      </c>
      <c r="C304">
        <v>49.25</v>
      </c>
      <c r="D304">
        <v>13.43</v>
      </c>
      <c r="E304">
        <v>7.47</v>
      </c>
      <c r="F304">
        <v>0.03</v>
      </c>
      <c r="G304">
        <v>0</v>
      </c>
      <c r="H304">
        <v>2</v>
      </c>
      <c r="I304">
        <v>98.5</v>
      </c>
      <c r="J304">
        <v>26.86</v>
      </c>
      <c r="K304">
        <v>14.94</v>
      </c>
      <c r="L304">
        <v>2.96</v>
      </c>
      <c r="M304" s="40" t="s">
        <v>66</v>
      </c>
      <c r="N304">
        <v>0</v>
      </c>
      <c r="O304">
        <v>44.76</v>
      </c>
      <c r="P304">
        <v>53.74</v>
      </c>
      <c r="Q304">
        <v>0.54600000000000004</v>
      </c>
      <c r="R304">
        <v>0</v>
      </c>
      <c r="S304" s="40" t="s">
        <v>67</v>
      </c>
    </row>
    <row r="305" spans="1:19" x14ac:dyDescent="0.45">
      <c r="A305" s="40" t="s">
        <v>89</v>
      </c>
      <c r="B305" s="40" t="s">
        <v>140</v>
      </c>
      <c r="C305">
        <v>39</v>
      </c>
      <c r="D305">
        <v>8.58</v>
      </c>
      <c r="E305">
        <v>3.72</v>
      </c>
      <c r="F305">
        <v>0.03</v>
      </c>
      <c r="G305">
        <v>18.54</v>
      </c>
      <c r="H305">
        <v>2</v>
      </c>
      <c r="I305">
        <v>78</v>
      </c>
      <c r="J305">
        <v>17.16</v>
      </c>
      <c r="K305">
        <v>7.44</v>
      </c>
      <c r="L305">
        <v>2.34</v>
      </c>
      <c r="M305" s="40" t="s">
        <v>154</v>
      </c>
      <c r="N305">
        <v>48.77</v>
      </c>
      <c r="O305">
        <v>94.25</v>
      </c>
      <c r="P305">
        <v>-16.25</v>
      </c>
      <c r="Q305">
        <v>-0.20799999999999999</v>
      </c>
      <c r="R305">
        <v>4.21</v>
      </c>
      <c r="S305" s="40" t="s">
        <v>155</v>
      </c>
    </row>
    <row r="306" spans="1:19" x14ac:dyDescent="0.45">
      <c r="A306" s="40" t="s">
        <v>74</v>
      </c>
      <c r="B306" s="40" t="s">
        <v>75</v>
      </c>
      <c r="C306">
        <v>42</v>
      </c>
      <c r="D306">
        <v>15</v>
      </c>
      <c r="E306">
        <v>6.15</v>
      </c>
      <c r="F306">
        <v>0.03</v>
      </c>
      <c r="G306">
        <v>14.04</v>
      </c>
      <c r="H306">
        <v>2</v>
      </c>
      <c r="I306">
        <v>84</v>
      </c>
      <c r="J306">
        <v>30</v>
      </c>
      <c r="K306">
        <v>12.3</v>
      </c>
      <c r="L306">
        <v>2.52</v>
      </c>
      <c r="M306" s="40" t="s">
        <v>66</v>
      </c>
      <c r="N306">
        <v>0</v>
      </c>
      <c r="O306">
        <v>58.86</v>
      </c>
      <c r="P306">
        <v>25.14</v>
      </c>
      <c r="Q306">
        <v>0.29899999999999999</v>
      </c>
      <c r="R306">
        <v>5.98</v>
      </c>
      <c r="S306" s="40" t="s">
        <v>67</v>
      </c>
    </row>
    <row r="307" spans="1:19" x14ac:dyDescent="0.45">
      <c r="A307" s="40" t="s">
        <v>74</v>
      </c>
      <c r="B307" s="40" t="s">
        <v>75</v>
      </c>
      <c r="C307">
        <v>49.59</v>
      </c>
      <c r="D307">
        <v>14.68</v>
      </c>
      <c r="E307">
        <v>6.35</v>
      </c>
      <c r="F307">
        <v>0.03</v>
      </c>
      <c r="G307">
        <v>20.57</v>
      </c>
      <c r="H307">
        <v>2</v>
      </c>
      <c r="I307">
        <v>99.18</v>
      </c>
      <c r="J307">
        <v>29.36</v>
      </c>
      <c r="K307">
        <v>12.7</v>
      </c>
      <c r="L307">
        <v>2.98</v>
      </c>
      <c r="M307" s="40" t="s">
        <v>66</v>
      </c>
      <c r="N307">
        <v>0</v>
      </c>
      <c r="O307">
        <v>65.61</v>
      </c>
      <c r="P307">
        <v>33.57</v>
      </c>
      <c r="Q307">
        <v>0.33800000000000002</v>
      </c>
      <c r="R307">
        <v>4.82</v>
      </c>
      <c r="S307" s="40" t="s">
        <v>67</v>
      </c>
    </row>
    <row r="308" spans="1:19" x14ac:dyDescent="0.45">
      <c r="A308" s="40" t="s">
        <v>83</v>
      </c>
      <c r="B308" s="40" t="s">
        <v>84</v>
      </c>
      <c r="C308">
        <v>27.67</v>
      </c>
      <c r="D308">
        <v>6.27</v>
      </c>
      <c r="E308">
        <v>3.82</v>
      </c>
      <c r="F308">
        <v>0.03</v>
      </c>
      <c r="G308">
        <v>20.76</v>
      </c>
      <c r="H308">
        <v>2</v>
      </c>
      <c r="I308">
        <v>55.34</v>
      </c>
      <c r="J308">
        <v>12.54</v>
      </c>
      <c r="K308">
        <v>7.64</v>
      </c>
      <c r="L308">
        <v>1.66</v>
      </c>
      <c r="M308" s="40" t="s">
        <v>66</v>
      </c>
      <c r="N308">
        <v>0</v>
      </c>
      <c r="O308">
        <v>42.6</v>
      </c>
      <c r="P308">
        <v>12.74</v>
      </c>
      <c r="Q308">
        <v>0.23</v>
      </c>
      <c r="R308">
        <v>2.67</v>
      </c>
      <c r="S308" s="40" t="s">
        <v>67</v>
      </c>
    </row>
    <row r="309" spans="1:19" x14ac:dyDescent="0.45">
      <c r="A309" s="40" t="s">
        <v>89</v>
      </c>
      <c r="B309" s="40" t="s">
        <v>140</v>
      </c>
      <c r="C309">
        <v>43.15</v>
      </c>
      <c r="D309">
        <v>8.99</v>
      </c>
      <c r="E309">
        <v>4.25</v>
      </c>
      <c r="F309">
        <v>0.03</v>
      </c>
      <c r="G309">
        <v>5.04</v>
      </c>
      <c r="H309">
        <v>2</v>
      </c>
      <c r="I309">
        <v>86.3</v>
      </c>
      <c r="J309">
        <v>17.98</v>
      </c>
      <c r="K309">
        <v>8.5</v>
      </c>
      <c r="L309">
        <v>2.59</v>
      </c>
      <c r="M309" s="40" t="s">
        <v>66</v>
      </c>
      <c r="N309">
        <v>0</v>
      </c>
      <c r="O309">
        <v>34.11</v>
      </c>
      <c r="P309">
        <v>52.19</v>
      </c>
      <c r="Q309">
        <v>0.60499999999999998</v>
      </c>
      <c r="R309">
        <v>17.12</v>
      </c>
      <c r="S309" s="40" t="s">
        <v>67</v>
      </c>
    </row>
    <row r="310" spans="1:19" x14ac:dyDescent="0.45">
      <c r="A310" s="40" t="s">
        <v>115</v>
      </c>
      <c r="B310" s="40" t="s">
        <v>116</v>
      </c>
      <c r="C310">
        <v>54.76</v>
      </c>
      <c r="D310">
        <v>15.6</v>
      </c>
      <c r="E310">
        <v>6.8</v>
      </c>
      <c r="F310">
        <v>0.03</v>
      </c>
      <c r="G310">
        <v>12.72</v>
      </c>
      <c r="H310">
        <v>2</v>
      </c>
      <c r="I310">
        <v>109.52</v>
      </c>
      <c r="J310">
        <v>31.2</v>
      </c>
      <c r="K310">
        <v>13.6</v>
      </c>
      <c r="L310">
        <v>3.29</v>
      </c>
      <c r="M310" s="40" t="s">
        <v>66</v>
      </c>
      <c r="N310">
        <v>0</v>
      </c>
      <c r="O310">
        <v>60.81</v>
      </c>
      <c r="P310">
        <v>48.71</v>
      </c>
      <c r="Q310">
        <v>0.44500000000000001</v>
      </c>
      <c r="R310">
        <v>8.61</v>
      </c>
      <c r="S310" s="40" t="s">
        <v>67</v>
      </c>
    </row>
    <row r="311" spans="1:19" x14ac:dyDescent="0.45">
      <c r="A311" s="40" t="s">
        <v>83</v>
      </c>
      <c r="B311" s="40" t="s">
        <v>84</v>
      </c>
      <c r="C311">
        <v>26.34</v>
      </c>
      <c r="D311">
        <v>6.22</v>
      </c>
      <c r="E311">
        <v>3.46</v>
      </c>
      <c r="F311">
        <v>0.03</v>
      </c>
      <c r="G311">
        <v>7.78</v>
      </c>
      <c r="H311">
        <v>2</v>
      </c>
      <c r="I311">
        <v>52.68</v>
      </c>
      <c r="J311">
        <v>12.44</v>
      </c>
      <c r="K311">
        <v>6.92</v>
      </c>
      <c r="L311">
        <v>1.58</v>
      </c>
      <c r="M311" s="40" t="s">
        <v>66</v>
      </c>
      <c r="N311">
        <v>0</v>
      </c>
      <c r="O311">
        <v>28.72</v>
      </c>
      <c r="P311">
        <v>23.96</v>
      </c>
      <c r="Q311">
        <v>0.45500000000000002</v>
      </c>
      <c r="R311">
        <v>6.77</v>
      </c>
      <c r="S311" s="40" t="s">
        <v>67</v>
      </c>
    </row>
    <row r="312" spans="1:19" x14ac:dyDescent="0.45">
      <c r="A312" s="40" t="s">
        <v>135</v>
      </c>
      <c r="B312" s="40" t="s">
        <v>136</v>
      </c>
      <c r="C312">
        <v>16.52</v>
      </c>
      <c r="D312">
        <v>2.09</v>
      </c>
      <c r="E312">
        <v>2.06</v>
      </c>
      <c r="F312">
        <v>0.03</v>
      </c>
      <c r="G312">
        <v>7.93</v>
      </c>
      <c r="H312">
        <v>3</v>
      </c>
      <c r="I312">
        <v>49.56</v>
      </c>
      <c r="J312">
        <v>6.27</v>
      </c>
      <c r="K312">
        <v>6.18</v>
      </c>
      <c r="L312">
        <v>1.49</v>
      </c>
      <c r="M312" s="40" t="s">
        <v>66</v>
      </c>
      <c r="N312">
        <v>0</v>
      </c>
      <c r="O312">
        <v>21.87</v>
      </c>
      <c r="P312">
        <v>27.69</v>
      </c>
      <c r="Q312">
        <v>0.55900000000000005</v>
      </c>
      <c r="R312">
        <v>6.25</v>
      </c>
      <c r="S312" s="40" t="s">
        <v>67</v>
      </c>
    </row>
    <row r="313" spans="1:19" x14ac:dyDescent="0.45">
      <c r="A313" s="40" t="s">
        <v>64</v>
      </c>
      <c r="B313" s="40" t="s">
        <v>65</v>
      </c>
      <c r="C313">
        <v>29.92</v>
      </c>
      <c r="D313">
        <v>10.79</v>
      </c>
      <c r="E313">
        <v>3.97</v>
      </c>
      <c r="F313">
        <v>0.03</v>
      </c>
      <c r="G313">
        <v>4.96</v>
      </c>
      <c r="H313">
        <v>1</v>
      </c>
      <c r="I313">
        <v>29.92</v>
      </c>
      <c r="J313">
        <v>10.79</v>
      </c>
      <c r="K313">
        <v>3.97</v>
      </c>
      <c r="L313">
        <v>0.9</v>
      </c>
      <c r="M313" s="40" t="s">
        <v>66</v>
      </c>
      <c r="N313">
        <v>0</v>
      </c>
      <c r="O313">
        <v>20.62</v>
      </c>
      <c r="P313">
        <v>9.3000000000000007</v>
      </c>
      <c r="Q313">
        <v>0.311</v>
      </c>
      <c r="R313">
        <v>6.03</v>
      </c>
      <c r="S313" s="40" t="s">
        <v>67</v>
      </c>
    </row>
    <row r="314" spans="1:19" x14ac:dyDescent="0.45">
      <c r="A314" s="40" t="s">
        <v>64</v>
      </c>
      <c r="B314" s="40" t="s">
        <v>65</v>
      </c>
      <c r="C314">
        <v>31.18</v>
      </c>
      <c r="D314">
        <v>9.82</v>
      </c>
      <c r="E314">
        <v>3.68</v>
      </c>
      <c r="F314">
        <v>0.03</v>
      </c>
      <c r="G314">
        <v>0</v>
      </c>
      <c r="H314">
        <v>1</v>
      </c>
      <c r="I314">
        <v>31.18</v>
      </c>
      <c r="J314">
        <v>9.82</v>
      </c>
      <c r="K314">
        <v>3.68</v>
      </c>
      <c r="L314">
        <v>0.94</v>
      </c>
      <c r="M314" s="40" t="s">
        <v>66</v>
      </c>
      <c r="N314">
        <v>0</v>
      </c>
      <c r="O314">
        <v>14.44</v>
      </c>
      <c r="P314">
        <v>16.739999999999998</v>
      </c>
      <c r="Q314">
        <v>0.53700000000000003</v>
      </c>
      <c r="R314">
        <v>0</v>
      </c>
      <c r="S314" s="40" t="s">
        <v>67</v>
      </c>
    </row>
    <row r="315" spans="1:19" x14ac:dyDescent="0.45">
      <c r="A315" s="40" t="s">
        <v>99</v>
      </c>
      <c r="B315" s="40" t="s">
        <v>100</v>
      </c>
      <c r="C315">
        <v>34.78</v>
      </c>
      <c r="D315">
        <v>8.89</v>
      </c>
      <c r="E315">
        <v>4.3499999999999996</v>
      </c>
      <c r="F315">
        <v>0.03</v>
      </c>
      <c r="G315">
        <v>1.76</v>
      </c>
      <c r="H315">
        <v>1</v>
      </c>
      <c r="I315">
        <v>34.78</v>
      </c>
      <c r="J315">
        <v>8.89</v>
      </c>
      <c r="K315">
        <v>4.3499999999999996</v>
      </c>
      <c r="L315">
        <v>1.04</v>
      </c>
      <c r="M315" s="40" t="s">
        <v>66</v>
      </c>
      <c r="N315">
        <v>0</v>
      </c>
      <c r="O315">
        <v>16.04</v>
      </c>
      <c r="P315">
        <v>18.739999999999998</v>
      </c>
      <c r="Q315">
        <v>0.53900000000000003</v>
      </c>
      <c r="R315">
        <v>19.760000000000002</v>
      </c>
      <c r="S315" s="40" t="s">
        <v>67</v>
      </c>
    </row>
    <row r="316" spans="1:19" x14ac:dyDescent="0.45">
      <c r="A316" s="40" t="s">
        <v>149</v>
      </c>
      <c r="B316" s="40" t="s">
        <v>150</v>
      </c>
      <c r="C316">
        <v>29.27</v>
      </c>
      <c r="D316">
        <v>6.92</v>
      </c>
      <c r="E316">
        <v>5</v>
      </c>
      <c r="F316">
        <v>0.03</v>
      </c>
      <c r="G316">
        <v>13.55</v>
      </c>
      <c r="H316">
        <v>3</v>
      </c>
      <c r="I316">
        <v>87.81</v>
      </c>
      <c r="J316">
        <v>20.76</v>
      </c>
      <c r="K316">
        <v>15</v>
      </c>
      <c r="L316">
        <v>2.63</v>
      </c>
      <c r="M316" s="40" t="s">
        <v>66</v>
      </c>
      <c r="N316">
        <v>0</v>
      </c>
      <c r="O316">
        <v>51.94</v>
      </c>
      <c r="P316">
        <v>35.869999999999997</v>
      </c>
      <c r="Q316">
        <v>0.40799999999999997</v>
      </c>
      <c r="R316">
        <v>6.48</v>
      </c>
      <c r="S316" s="40" t="s">
        <v>67</v>
      </c>
    </row>
    <row r="317" spans="1:19" x14ac:dyDescent="0.45">
      <c r="A317" s="40" t="s">
        <v>74</v>
      </c>
      <c r="B317" s="40" t="s">
        <v>75</v>
      </c>
      <c r="C317">
        <v>44.55</v>
      </c>
      <c r="D317">
        <v>14.85</v>
      </c>
      <c r="E317">
        <v>6.53</v>
      </c>
      <c r="F317">
        <v>0.03</v>
      </c>
      <c r="G317">
        <v>25.47</v>
      </c>
      <c r="H317">
        <v>3</v>
      </c>
      <c r="I317">
        <v>133.65</v>
      </c>
      <c r="J317">
        <v>44.55</v>
      </c>
      <c r="K317">
        <v>19.59</v>
      </c>
      <c r="L317">
        <v>4.01</v>
      </c>
      <c r="M317" s="40" t="s">
        <v>66</v>
      </c>
      <c r="N317">
        <v>0</v>
      </c>
      <c r="O317">
        <v>93.62</v>
      </c>
      <c r="P317">
        <v>40.03</v>
      </c>
      <c r="Q317">
        <v>0.3</v>
      </c>
      <c r="R317">
        <v>5.25</v>
      </c>
      <c r="S317" s="40" t="s">
        <v>67</v>
      </c>
    </row>
    <row r="318" spans="1:19" x14ac:dyDescent="0.45">
      <c r="A318" s="40" t="s">
        <v>89</v>
      </c>
      <c r="B318" s="40" t="s">
        <v>90</v>
      </c>
      <c r="C318">
        <v>64.73</v>
      </c>
      <c r="D318">
        <v>23.25</v>
      </c>
      <c r="E318">
        <v>7.52</v>
      </c>
      <c r="F318">
        <v>0.03</v>
      </c>
      <c r="G318">
        <v>5.7</v>
      </c>
      <c r="H318">
        <v>1</v>
      </c>
      <c r="I318">
        <v>64.73</v>
      </c>
      <c r="J318">
        <v>23.25</v>
      </c>
      <c r="K318">
        <v>7.52</v>
      </c>
      <c r="L318">
        <v>1.94</v>
      </c>
      <c r="M318" s="40" t="s">
        <v>66</v>
      </c>
      <c r="N318">
        <v>0</v>
      </c>
      <c r="O318">
        <v>38.409999999999997</v>
      </c>
      <c r="P318">
        <v>26.32</v>
      </c>
      <c r="Q318">
        <v>0.40699999999999997</v>
      </c>
      <c r="R318">
        <v>11.36</v>
      </c>
      <c r="S318" s="40" t="s">
        <v>67</v>
      </c>
    </row>
    <row r="319" spans="1:19" x14ac:dyDescent="0.45">
      <c r="A319" s="40" t="s">
        <v>149</v>
      </c>
      <c r="B319" s="40" t="s">
        <v>150</v>
      </c>
      <c r="C319">
        <v>27.58</v>
      </c>
      <c r="D319">
        <v>7</v>
      </c>
      <c r="E319">
        <v>4.42</v>
      </c>
      <c r="F319">
        <v>0.03</v>
      </c>
      <c r="G319">
        <v>22.58</v>
      </c>
      <c r="H319">
        <v>3</v>
      </c>
      <c r="I319">
        <v>82.74</v>
      </c>
      <c r="J319">
        <v>21</v>
      </c>
      <c r="K319">
        <v>13.26</v>
      </c>
      <c r="L319">
        <v>2.48</v>
      </c>
      <c r="M319" s="40" t="s">
        <v>66</v>
      </c>
      <c r="N319">
        <v>0</v>
      </c>
      <c r="O319">
        <v>59.32</v>
      </c>
      <c r="P319">
        <v>23.42</v>
      </c>
      <c r="Q319">
        <v>0.28299999999999997</v>
      </c>
      <c r="R319">
        <v>3.66</v>
      </c>
      <c r="S319" s="40" t="s">
        <v>67</v>
      </c>
    </row>
    <row r="320" spans="1:19" x14ac:dyDescent="0.45">
      <c r="A320" s="40" t="s">
        <v>99</v>
      </c>
      <c r="B320" s="40" t="s">
        <v>100</v>
      </c>
      <c r="C320">
        <v>31.75</v>
      </c>
      <c r="D320">
        <v>9.61</v>
      </c>
      <c r="E320">
        <v>3.74</v>
      </c>
      <c r="F320">
        <v>0.03</v>
      </c>
      <c r="G320">
        <v>4.88</v>
      </c>
      <c r="H320">
        <v>1</v>
      </c>
      <c r="I320">
        <v>31.75</v>
      </c>
      <c r="J320">
        <v>9.61</v>
      </c>
      <c r="K320">
        <v>3.74</v>
      </c>
      <c r="L320">
        <v>0.95</v>
      </c>
      <c r="M320" s="40" t="s">
        <v>66</v>
      </c>
      <c r="N320">
        <v>0</v>
      </c>
      <c r="O320">
        <v>19.18</v>
      </c>
      <c r="P320">
        <v>12.57</v>
      </c>
      <c r="Q320">
        <v>0.39600000000000002</v>
      </c>
      <c r="R320">
        <v>6.51</v>
      </c>
      <c r="S320" s="40" t="s">
        <v>67</v>
      </c>
    </row>
    <row r="321" spans="1:19" x14ac:dyDescent="0.45">
      <c r="A321" s="40" t="s">
        <v>64</v>
      </c>
      <c r="B321" s="40" t="s">
        <v>65</v>
      </c>
      <c r="C321">
        <v>34.090000000000003</v>
      </c>
      <c r="D321">
        <v>10.59</v>
      </c>
      <c r="E321">
        <v>3.88</v>
      </c>
      <c r="F321">
        <v>0.03</v>
      </c>
      <c r="G321">
        <v>15.15</v>
      </c>
      <c r="H321">
        <v>2</v>
      </c>
      <c r="I321">
        <v>68.180000000000007</v>
      </c>
      <c r="J321">
        <v>21.18</v>
      </c>
      <c r="K321">
        <v>7.76</v>
      </c>
      <c r="L321">
        <v>2.0499999999999998</v>
      </c>
      <c r="M321" s="40" t="s">
        <v>66</v>
      </c>
      <c r="N321">
        <v>0</v>
      </c>
      <c r="O321">
        <v>46.14</v>
      </c>
      <c r="P321">
        <v>22.04</v>
      </c>
      <c r="Q321">
        <v>0.32300000000000001</v>
      </c>
      <c r="R321">
        <v>4.5</v>
      </c>
      <c r="S321" s="40" t="s">
        <v>67</v>
      </c>
    </row>
    <row r="322" spans="1:19" x14ac:dyDescent="0.45">
      <c r="A322" s="40" t="s">
        <v>135</v>
      </c>
      <c r="B322" s="40" t="s">
        <v>136</v>
      </c>
      <c r="C322">
        <v>14.19</v>
      </c>
      <c r="D322">
        <v>2.1</v>
      </c>
      <c r="E322">
        <v>1.84</v>
      </c>
      <c r="F322">
        <v>0.03</v>
      </c>
      <c r="G322">
        <v>4.38</v>
      </c>
      <c r="H322">
        <v>2</v>
      </c>
      <c r="I322">
        <v>28.38</v>
      </c>
      <c r="J322">
        <v>4.2</v>
      </c>
      <c r="K322">
        <v>3.68</v>
      </c>
      <c r="L322">
        <v>0.85</v>
      </c>
      <c r="M322" s="40" t="s">
        <v>66</v>
      </c>
      <c r="N322">
        <v>0</v>
      </c>
      <c r="O322">
        <v>13.11</v>
      </c>
      <c r="P322">
        <v>15.27</v>
      </c>
      <c r="Q322">
        <v>0.53800000000000003</v>
      </c>
      <c r="R322">
        <v>6.48</v>
      </c>
      <c r="S322" s="40" t="s">
        <v>67</v>
      </c>
    </row>
    <row r="323" spans="1:19" x14ac:dyDescent="0.45">
      <c r="A323" s="40" t="s">
        <v>99</v>
      </c>
      <c r="B323" s="40" t="s">
        <v>100</v>
      </c>
      <c r="C323">
        <v>34.479999999999997</v>
      </c>
      <c r="D323">
        <v>9.44</v>
      </c>
      <c r="E323">
        <v>3.91</v>
      </c>
      <c r="F323">
        <v>0.03</v>
      </c>
      <c r="G323">
        <v>5.67</v>
      </c>
      <c r="H323">
        <v>1</v>
      </c>
      <c r="I323">
        <v>34.479999999999997</v>
      </c>
      <c r="J323">
        <v>9.44</v>
      </c>
      <c r="K323">
        <v>3.91</v>
      </c>
      <c r="L323">
        <v>1.03</v>
      </c>
      <c r="M323" s="40" t="s">
        <v>66</v>
      </c>
      <c r="N323">
        <v>0</v>
      </c>
      <c r="O323">
        <v>20.05</v>
      </c>
      <c r="P323">
        <v>14.43</v>
      </c>
      <c r="Q323">
        <v>0.41899999999999998</v>
      </c>
      <c r="R323">
        <v>6.08</v>
      </c>
      <c r="S323" s="40" t="s">
        <v>67</v>
      </c>
    </row>
    <row r="324" spans="1:19" x14ac:dyDescent="0.45">
      <c r="A324" s="40" t="s">
        <v>109</v>
      </c>
      <c r="B324" s="40" t="s">
        <v>110</v>
      </c>
      <c r="C324">
        <v>19.11</v>
      </c>
      <c r="D324">
        <v>3.56</v>
      </c>
      <c r="E324">
        <v>2.41</v>
      </c>
      <c r="F324">
        <v>0.03</v>
      </c>
      <c r="G324">
        <v>0</v>
      </c>
      <c r="H324">
        <v>2</v>
      </c>
      <c r="I324">
        <v>38.22</v>
      </c>
      <c r="J324">
        <v>7.12</v>
      </c>
      <c r="K324">
        <v>4.82</v>
      </c>
      <c r="L324">
        <v>1.1499999999999999</v>
      </c>
      <c r="M324" s="40" t="s">
        <v>66</v>
      </c>
      <c r="N324">
        <v>0</v>
      </c>
      <c r="O324">
        <v>13.09</v>
      </c>
      <c r="P324">
        <v>25.13</v>
      </c>
      <c r="Q324">
        <v>0.65800000000000003</v>
      </c>
      <c r="R324">
        <v>0</v>
      </c>
      <c r="S324" s="40" t="s">
        <v>67</v>
      </c>
    </row>
    <row r="325" spans="1:19" x14ac:dyDescent="0.45">
      <c r="A325" s="40" t="s">
        <v>135</v>
      </c>
      <c r="B325" s="40" t="s">
        <v>136</v>
      </c>
      <c r="C325">
        <v>16.12</v>
      </c>
      <c r="D325">
        <v>1.99</v>
      </c>
      <c r="E325">
        <v>2.23</v>
      </c>
      <c r="F325">
        <v>0.03</v>
      </c>
      <c r="G325">
        <v>8</v>
      </c>
      <c r="H325">
        <v>1</v>
      </c>
      <c r="I325">
        <v>16.12</v>
      </c>
      <c r="J325">
        <v>1.99</v>
      </c>
      <c r="K325">
        <v>2.23</v>
      </c>
      <c r="L325">
        <v>0.48</v>
      </c>
      <c r="M325" s="40" t="s">
        <v>66</v>
      </c>
      <c r="N325">
        <v>0</v>
      </c>
      <c r="O325">
        <v>12.7</v>
      </c>
      <c r="P325">
        <v>3.42</v>
      </c>
      <c r="Q325">
        <v>0.21199999999999999</v>
      </c>
      <c r="R325">
        <v>2.02</v>
      </c>
      <c r="S325" s="40" t="s">
        <v>67</v>
      </c>
    </row>
    <row r="326" spans="1:19" x14ac:dyDescent="0.45">
      <c r="A326" s="40" t="s">
        <v>74</v>
      </c>
      <c r="B326" s="40" t="s">
        <v>75</v>
      </c>
      <c r="C326">
        <v>46.75</v>
      </c>
      <c r="D326">
        <v>14.25</v>
      </c>
      <c r="E326">
        <v>7.27</v>
      </c>
      <c r="F326">
        <v>0.03</v>
      </c>
      <c r="G326">
        <v>14.75</v>
      </c>
      <c r="H326">
        <v>3</v>
      </c>
      <c r="I326">
        <v>140.25</v>
      </c>
      <c r="J326">
        <v>42.75</v>
      </c>
      <c r="K326">
        <v>21.81</v>
      </c>
      <c r="L326">
        <v>4.21</v>
      </c>
      <c r="M326" s="40" t="s">
        <v>66</v>
      </c>
      <c r="N326">
        <v>0</v>
      </c>
      <c r="O326">
        <v>83.52</v>
      </c>
      <c r="P326">
        <v>56.73</v>
      </c>
      <c r="Q326">
        <v>0.40400000000000003</v>
      </c>
      <c r="R326">
        <v>9.51</v>
      </c>
      <c r="S326" s="40" t="s">
        <v>67</v>
      </c>
    </row>
    <row r="327" spans="1:19" x14ac:dyDescent="0.45">
      <c r="A327" s="40" t="s">
        <v>135</v>
      </c>
      <c r="B327" s="40" t="s">
        <v>136</v>
      </c>
      <c r="C327">
        <v>15.08</v>
      </c>
      <c r="D327">
        <v>2.1</v>
      </c>
      <c r="E327">
        <v>2.1800000000000002</v>
      </c>
      <c r="F327">
        <v>0.03</v>
      </c>
      <c r="G327">
        <v>2.91</v>
      </c>
      <c r="H327">
        <v>1</v>
      </c>
      <c r="I327">
        <v>15.08</v>
      </c>
      <c r="J327">
        <v>2.1</v>
      </c>
      <c r="K327">
        <v>2.1800000000000002</v>
      </c>
      <c r="L327">
        <v>0.45</v>
      </c>
      <c r="M327" s="40" t="s">
        <v>66</v>
      </c>
      <c r="N327">
        <v>0</v>
      </c>
      <c r="O327">
        <v>7.64</v>
      </c>
      <c r="P327">
        <v>7.44</v>
      </c>
      <c r="Q327">
        <v>0.49299999999999999</v>
      </c>
      <c r="R327">
        <v>5.18</v>
      </c>
      <c r="S327" s="40" t="s">
        <v>67</v>
      </c>
    </row>
    <row r="328" spans="1:19" x14ac:dyDescent="0.45">
      <c r="A328" s="40" t="s">
        <v>89</v>
      </c>
      <c r="B328" s="40" t="s">
        <v>90</v>
      </c>
      <c r="C328">
        <v>66.569999999999993</v>
      </c>
      <c r="D328">
        <v>22.75</v>
      </c>
      <c r="E328">
        <v>7.57</v>
      </c>
      <c r="F328">
        <v>0.03</v>
      </c>
      <c r="G328">
        <v>9.93</v>
      </c>
      <c r="H328">
        <v>2</v>
      </c>
      <c r="I328">
        <v>133.13999999999999</v>
      </c>
      <c r="J328">
        <v>45.5</v>
      </c>
      <c r="K328">
        <v>15.14</v>
      </c>
      <c r="L328">
        <v>3.99</v>
      </c>
      <c r="M328" s="40" t="s">
        <v>66</v>
      </c>
      <c r="N328">
        <v>0</v>
      </c>
      <c r="O328">
        <v>74.56</v>
      </c>
      <c r="P328">
        <v>58.58</v>
      </c>
      <c r="Q328">
        <v>0.44</v>
      </c>
      <c r="R328">
        <v>13.41</v>
      </c>
      <c r="S328" s="40" t="s">
        <v>67</v>
      </c>
    </row>
    <row r="329" spans="1:19" x14ac:dyDescent="0.45">
      <c r="A329" s="40" t="s">
        <v>99</v>
      </c>
      <c r="B329" s="40" t="s">
        <v>100</v>
      </c>
      <c r="C329">
        <v>37.69</v>
      </c>
      <c r="D329">
        <v>8.65</v>
      </c>
      <c r="E329">
        <v>4.04</v>
      </c>
      <c r="F329">
        <v>0.03</v>
      </c>
      <c r="G329">
        <v>9.3699999999999992</v>
      </c>
      <c r="H329">
        <v>1</v>
      </c>
      <c r="I329">
        <v>37.69</v>
      </c>
      <c r="J329">
        <v>8.65</v>
      </c>
      <c r="K329">
        <v>4.04</v>
      </c>
      <c r="L329">
        <v>1.1299999999999999</v>
      </c>
      <c r="M329" s="40" t="s">
        <v>66</v>
      </c>
      <c r="N329">
        <v>0</v>
      </c>
      <c r="O329">
        <v>23.19</v>
      </c>
      <c r="P329">
        <v>14.5</v>
      </c>
      <c r="Q329">
        <v>0.38500000000000001</v>
      </c>
      <c r="R329">
        <v>4.0199999999999996</v>
      </c>
      <c r="S329" s="40" t="s">
        <v>67</v>
      </c>
    </row>
    <row r="330" spans="1:19" x14ac:dyDescent="0.45">
      <c r="A330" s="40" t="s">
        <v>99</v>
      </c>
      <c r="B330" s="40" t="s">
        <v>100</v>
      </c>
      <c r="C330">
        <v>35.31</v>
      </c>
      <c r="D330">
        <v>9.02</v>
      </c>
      <c r="E330">
        <v>3.89</v>
      </c>
      <c r="F330">
        <v>0.03</v>
      </c>
      <c r="G330">
        <v>8.5</v>
      </c>
      <c r="H330">
        <v>3</v>
      </c>
      <c r="I330">
        <v>105.93</v>
      </c>
      <c r="J330">
        <v>27.06</v>
      </c>
      <c r="K330">
        <v>11.67</v>
      </c>
      <c r="L330">
        <v>3.18</v>
      </c>
      <c r="M330" s="40" t="s">
        <v>66</v>
      </c>
      <c r="N330">
        <v>0</v>
      </c>
      <c r="O330">
        <v>50.41</v>
      </c>
      <c r="P330">
        <v>55.52</v>
      </c>
      <c r="Q330">
        <v>0.52400000000000002</v>
      </c>
      <c r="R330">
        <v>12.46</v>
      </c>
      <c r="S330" s="40" t="s">
        <v>67</v>
      </c>
    </row>
    <row r="331" spans="1:19" x14ac:dyDescent="0.45">
      <c r="A331" s="40" t="s">
        <v>74</v>
      </c>
      <c r="B331" s="40" t="s">
        <v>75</v>
      </c>
      <c r="C331">
        <v>50.03</v>
      </c>
      <c r="D331">
        <v>13.96</v>
      </c>
      <c r="E331">
        <v>6.49</v>
      </c>
      <c r="F331">
        <v>0.03</v>
      </c>
      <c r="G331">
        <v>6.15</v>
      </c>
      <c r="H331">
        <v>1</v>
      </c>
      <c r="I331">
        <v>50.03</v>
      </c>
      <c r="J331">
        <v>13.96</v>
      </c>
      <c r="K331">
        <v>6.49</v>
      </c>
      <c r="L331">
        <v>1.5</v>
      </c>
      <c r="M331" s="40" t="s">
        <v>66</v>
      </c>
      <c r="N331">
        <v>0</v>
      </c>
      <c r="O331">
        <v>28.1</v>
      </c>
      <c r="P331">
        <v>21.93</v>
      </c>
      <c r="Q331">
        <v>0.438</v>
      </c>
      <c r="R331">
        <v>8.1300000000000008</v>
      </c>
      <c r="S331" s="40" t="s">
        <v>67</v>
      </c>
    </row>
    <row r="332" spans="1:19" x14ac:dyDescent="0.45">
      <c r="A332" s="40" t="s">
        <v>74</v>
      </c>
      <c r="B332" s="40" t="s">
        <v>75</v>
      </c>
      <c r="C332">
        <v>47.03</v>
      </c>
      <c r="D332">
        <v>15.02</v>
      </c>
      <c r="E332">
        <v>6.13</v>
      </c>
      <c r="F332">
        <v>0.03</v>
      </c>
      <c r="G332">
        <v>2.67</v>
      </c>
      <c r="H332">
        <v>1</v>
      </c>
      <c r="I332">
        <v>47.03</v>
      </c>
      <c r="J332">
        <v>15.02</v>
      </c>
      <c r="K332">
        <v>6.13</v>
      </c>
      <c r="L332">
        <v>1.41</v>
      </c>
      <c r="M332" s="40" t="s">
        <v>66</v>
      </c>
      <c r="N332">
        <v>0</v>
      </c>
      <c r="O332">
        <v>25.23</v>
      </c>
      <c r="P332">
        <v>21.8</v>
      </c>
      <c r="Q332">
        <v>0.46400000000000002</v>
      </c>
      <c r="R332">
        <v>17.61</v>
      </c>
      <c r="S332" s="40" t="s">
        <v>67</v>
      </c>
    </row>
    <row r="333" spans="1:19" x14ac:dyDescent="0.45">
      <c r="A333" s="40" t="s">
        <v>135</v>
      </c>
      <c r="B333" s="40" t="s">
        <v>136</v>
      </c>
      <c r="C333">
        <v>16.399999999999999</v>
      </c>
      <c r="D333">
        <v>2.12</v>
      </c>
      <c r="E333">
        <v>1.94</v>
      </c>
      <c r="F333">
        <v>0.03</v>
      </c>
      <c r="G333">
        <v>19.5</v>
      </c>
      <c r="H333">
        <v>2</v>
      </c>
      <c r="I333">
        <v>32.799999999999997</v>
      </c>
      <c r="J333">
        <v>4.24</v>
      </c>
      <c r="K333">
        <v>3.88</v>
      </c>
      <c r="L333">
        <v>0.98</v>
      </c>
      <c r="M333" s="40" t="s">
        <v>66</v>
      </c>
      <c r="N333">
        <v>0</v>
      </c>
      <c r="O333">
        <v>28.6</v>
      </c>
      <c r="P333">
        <v>4.2</v>
      </c>
      <c r="Q333">
        <v>0.128</v>
      </c>
      <c r="R333">
        <v>1.68</v>
      </c>
      <c r="S333" s="40" t="s">
        <v>67</v>
      </c>
    </row>
    <row r="334" spans="1:19" x14ac:dyDescent="0.45">
      <c r="A334" s="40" t="s">
        <v>115</v>
      </c>
      <c r="B334" s="40" t="s">
        <v>116</v>
      </c>
      <c r="C334">
        <v>48.53</v>
      </c>
      <c r="D334">
        <v>15.84</v>
      </c>
      <c r="E334">
        <v>6.67</v>
      </c>
      <c r="F334">
        <v>0.03</v>
      </c>
      <c r="G334">
        <v>0</v>
      </c>
      <c r="H334">
        <v>1</v>
      </c>
      <c r="I334">
        <v>48.53</v>
      </c>
      <c r="J334">
        <v>15.84</v>
      </c>
      <c r="K334">
        <v>6.67</v>
      </c>
      <c r="L334">
        <v>1.46</v>
      </c>
      <c r="M334" s="40" t="s">
        <v>66</v>
      </c>
      <c r="N334">
        <v>0</v>
      </c>
      <c r="O334">
        <v>23.97</v>
      </c>
      <c r="P334">
        <v>24.56</v>
      </c>
      <c r="Q334">
        <v>0.50600000000000001</v>
      </c>
      <c r="R334">
        <v>0</v>
      </c>
      <c r="S334" s="40" t="s">
        <v>67</v>
      </c>
    </row>
    <row r="335" spans="1:19" x14ac:dyDescent="0.45">
      <c r="A335" s="40" t="s">
        <v>109</v>
      </c>
      <c r="B335" s="40" t="s">
        <v>110</v>
      </c>
      <c r="C335">
        <v>21.97</v>
      </c>
      <c r="D335">
        <v>3.75</v>
      </c>
      <c r="E335">
        <v>2.33</v>
      </c>
      <c r="F335">
        <v>0.03</v>
      </c>
      <c r="G335">
        <v>1.32</v>
      </c>
      <c r="H335">
        <v>1</v>
      </c>
      <c r="I335">
        <v>21.97</v>
      </c>
      <c r="J335">
        <v>3.75</v>
      </c>
      <c r="K335">
        <v>2.33</v>
      </c>
      <c r="L335">
        <v>0.66</v>
      </c>
      <c r="M335" s="40" t="s">
        <v>66</v>
      </c>
      <c r="N335">
        <v>0</v>
      </c>
      <c r="O335">
        <v>8.06</v>
      </c>
      <c r="P335">
        <v>13.91</v>
      </c>
      <c r="Q335">
        <v>0.63300000000000001</v>
      </c>
      <c r="R335">
        <v>16.64</v>
      </c>
      <c r="S335" s="40" t="s">
        <v>67</v>
      </c>
    </row>
    <row r="336" spans="1:19" x14ac:dyDescent="0.45">
      <c r="A336" s="40" t="s">
        <v>89</v>
      </c>
      <c r="B336" s="40" t="s">
        <v>140</v>
      </c>
      <c r="C336">
        <v>36.72</v>
      </c>
      <c r="D336">
        <v>8.7100000000000009</v>
      </c>
      <c r="E336">
        <v>4.51</v>
      </c>
      <c r="F336">
        <v>0.03</v>
      </c>
      <c r="G336">
        <v>9.99</v>
      </c>
      <c r="H336">
        <v>2</v>
      </c>
      <c r="I336">
        <v>73.44</v>
      </c>
      <c r="J336">
        <v>17.420000000000002</v>
      </c>
      <c r="K336">
        <v>9.02</v>
      </c>
      <c r="L336">
        <v>2.2000000000000002</v>
      </c>
      <c r="M336" s="40" t="s">
        <v>66</v>
      </c>
      <c r="N336">
        <v>0</v>
      </c>
      <c r="O336">
        <v>38.630000000000003</v>
      </c>
      <c r="P336">
        <v>34.81</v>
      </c>
      <c r="Q336">
        <v>0.47399999999999998</v>
      </c>
      <c r="R336">
        <v>7.35</v>
      </c>
      <c r="S336" s="40" t="s">
        <v>67</v>
      </c>
    </row>
    <row r="337" spans="1:19" x14ac:dyDescent="0.45">
      <c r="A337" s="40" t="s">
        <v>64</v>
      </c>
      <c r="B337" s="40" t="s">
        <v>65</v>
      </c>
      <c r="C337">
        <v>30.92</v>
      </c>
      <c r="D337">
        <v>10.64</v>
      </c>
      <c r="E337">
        <v>4.05</v>
      </c>
      <c r="F337">
        <v>0.03</v>
      </c>
      <c r="G337">
        <v>18.18</v>
      </c>
      <c r="H337">
        <v>2</v>
      </c>
      <c r="I337">
        <v>61.84</v>
      </c>
      <c r="J337">
        <v>21.28</v>
      </c>
      <c r="K337">
        <v>8.1</v>
      </c>
      <c r="L337">
        <v>1.86</v>
      </c>
      <c r="M337" s="40" t="s">
        <v>66</v>
      </c>
      <c r="N337">
        <v>0</v>
      </c>
      <c r="O337">
        <v>49.42</v>
      </c>
      <c r="P337">
        <v>12.42</v>
      </c>
      <c r="Q337">
        <v>0.20100000000000001</v>
      </c>
      <c r="R337">
        <v>3.4</v>
      </c>
      <c r="S337" s="40" t="s">
        <v>67</v>
      </c>
    </row>
    <row r="338" spans="1:19" x14ac:dyDescent="0.45">
      <c r="A338" s="40" t="s">
        <v>64</v>
      </c>
      <c r="B338" s="40" t="s">
        <v>65</v>
      </c>
      <c r="C338">
        <v>32.56</v>
      </c>
      <c r="D338">
        <v>10.49</v>
      </c>
      <c r="E338">
        <v>3.68</v>
      </c>
      <c r="F338">
        <v>0.03</v>
      </c>
      <c r="G338">
        <v>8.2200000000000006</v>
      </c>
      <c r="H338">
        <v>1</v>
      </c>
      <c r="I338">
        <v>32.56</v>
      </c>
      <c r="J338">
        <v>10.49</v>
      </c>
      <c r="K338">
        <v>3.68</v>
      </c>
      <c r="L338">
        <v>0.98</v>
      </c>
      <c r="M338" s="40" t="s">
        <v>66</v>
      </c>
      <c r="N338">
        <v>0</v>
      </c>
      <c r="O338">
        <v>23.37</v>
      </c>
      <c r="P338">
        <v>9.19</v>
      </c>
      <c r="Q338">
        <v>0.28199999999999997</v>
      </c>
      <c r="R338">
        <v>3.96</v>
      </c>
      <c r="S338" s="40" t="s">
        <v>67</v>
      </c>
    </row>
    <row r="339" spans="1:19" x14ac:dyDescent="0.45">
      <c r="A339" s="40" t="s">
        <v>83</v>
      </c>
      <c r="B339" s="40" t="s">
        <v>84</v>
      </c>
      <c r="C339">
        <v>24.97</v>
      </c>
      <c r="D339">
        <v>5.79</v>
      </c>
      <c r="E339">
        <v>3.5</v>
      </c>
      <c r="F339">
        <v>0.03</v>
      </c>
      <c r="G339">
        <v>20.49</v>
      </c>
      <c r="H339">
        <v>3</v>
      </c>
      <c r="I339">
        <v>74.91</v>
      </c>
      <c r="J339">
        <v>17.37</v>
      </c>
      <c r="K339">
        <v>10.5</v>
      </c>
      <c r="L339">
        <v>2.25</v>
      </c>
      <c r="M339" s="40" t="s">
        <v>66</v>
      </c>
      <c r="N339">
        <v>0</v>
      </c>
      <c r="O339">
        <v>50.61</v>
      </c>
      <c r="P339">
        <v>24.3</v>
      </c>
      <c r="Q339">
        <v>0.32400000000000001</v>
      </c>
      <c r="R339">
        <v>3.66</v>
      </c>
      <c r="S339" s="40" t="s">
        <v>67</v>
      </c>
    </row>
    <row r="340" spans="1:19" x14ac:dyDescent="0.45">
      <c r="A340" s="40" t="s">
        <v>74</v>
      </c>
      <c r="B340" s="40" t="s">
        <v>75</v>
      </c>
      <c r="C340">
        <v>47.52</v>
      </c>
      <c r="D340">
        <v>13.77</v>
      </c>
      <c r="E340">
        <v>6.11</v>
      </c>
      <c r="F340">
        <v>0.03</v>
      </c>
      <c r="G340">
        <v>0</v>
      </c>
      <c r="H340">
        <v>2</v>
      </c>
      <c r="I340">
        <v>95.04</v>
      </c>
      <c r="J340">
        <v>27.54</v>
      </c>
      <c r="K340">
        <v>12.22</v>
      </c>
      <c r="L340">
        <v>2.85</v>
      </c>
      <c r="M340" s="40" t="s">
        <v>66</v>
      </c>
      <c r="N340">
        <v>0</v>
      </c>
      <c r="O340">
        <v>42.61</v>
      </c>
      <c r="P340">
        <v>52.43</v>
      </c>
      <c r="Q340">
        <v>0.55200000000000005</v>
      </c>
      <c r="R340">
        <v>0</v>
      </c>
      <c r="S340" s="40" t="s">
        <v>67</v>
      </c>
    </row>
    <row r="341" spans="1:19" x14ac:dyDescent="0.45">
      <c r="A341" s="40" t="s">
        <v>109</v>
      </c>
      <c r="B341" s="40" t="s">
        <v>110</v>
      </c>
      <c r="C341">
        <v>19.59</v>
      </c>
      <c r="D341">
        <v>3.74</v>
      </c>
      <c r="E341">
        <v>2.7</v>
      </c>
      <c r="F341">
        <v>0.03</v>
      </c>
      <c r="G341">
        <v>9.98</v>
      </c>
      <c r="H341">
        <v>1</v>
      </c>
      <c r="I341">
        <v>19.59</v>
      </c>
      <c r="J341">
        <v>3.74</v>
      </c>
      <c r="K341">
        <v>2.7</v>
      </c>
      <c r="L341">
        <v>0.59</v>
      </c>
      <c r="M341" s="40" t="s">
        <v>66</v>
      </c>
      <c r="N341">
        <v>0</v>
      </c>
      <c r="O341">
        <v>17.010000000000002</v>
      </c>
      <c r="P341">
        <v>2.58</v>
      </c>
      <c r="Q341">
        <v>0.13200000000000001</v>
      </c>
      <c r="R341">
        <v>1.96</v>
      </c>
      <c r="S341" s="40" t="s">
        <v>67</v>
      </c>
    </row>
    <row r="342" spans="1:19" x14ac:dyDescent="0.45">
      <c r="A342" s="40" t="s">
        <v>64</v>
      </c>
      <c r="B342" s="40" t="s">
        <v>65</v>
      </c>
      <c r="C342">
        <v>31.04</v>
      </c>
      <c r="D342">
        <v>9.92</v>
      </c>
      <c r="E342">
        <v>4.2699999999999996</v>
      </c>
      <c r="F342">
        <v>0.03</v>
      </c>
      <c r="G342">
        <v>10.27</v>
      </c>
      <c r="H342">
        <v>1</v>
      </c>
      <c r="I342">
        <v>31.04</v>
      </c>
      <c r="J342">
        <v>9.92</v>
      </c>
      <c r="K342">
        <v>4.2699999999999996</v>
      </c>
      <c r="L342">
        <v>0.93</v>
      </c>
      <c r="M342" s="40" t="s">
        <v>66</v>
      </c>
      <c r="N342">
        <v>0</v>
      </c>
      <c r="O342">
        <v>25.39</v>
      </c>
      <c r="P342">
        <v>5.65</v>
      </c>
      <c r="Q342">
        <v>0.182</v>
      </c>
      <c r="R342">
        <v>3.02</v>
      </c>
      <c r="S342" s="40" t="s">
        <v>67</v>
      </c>
    </row>
    <row r="343" spans="1:19" x14ac:dyDescent="0.45">
      <c r="A343" s="40" t="s">
        <v>89</v>
      </c>
      <c r="B343" s="40" t="s">
        <v>90</v>
      </c>
      <c r="C343">
        <v>63.99</v>
      </c>
      <c r="D343">
        <v>22.69</v>
      </c>
      <c r="E343">
        <v>7.52</v>
      </c>
      <c r="F343">
        <v>0.03</v>
      </c>
      <c r="G343">
        <v>4.93</v>
      </c>
      <c r="H343">
        <v>2</v>
      </c>
      <c r="I343">
        <v>127.98</v>
      </c>
      <c r="J343">
        <v>45.38</v>
      </c>
      <c r="K343">
        <v>15.04</v>
      </c>
      <c r="L343">
        <v>3.84</v>
      </c>
      <c r="M343" s="40" t="s">
        <v>66</v>
      </c>
      <c r="N343">
        <v>0</v>
      </c>
      <c r="O343">
        <v>69.19</v>
      </c>
      <c r="P343">
        <v>58.79</v>
      </c>
      <c r="Q343">
        <v>0.45900000000000002</v>
      </c>
      <c r="R343">
        <v>25.96</v>
      </c>
      <c r="S343" s="40" t="s">
        <v>67</v>
      </c>
    </row>
    <row r="344" spans="1:19" x14ac:dyDescent="0.45">
      <c r="A344" s="40" t="s">
        <v>99</v>
      </c>
      <c r="B344" s="40" t="s">
        <v>100</v>
      </c>
      <c r="C344">
        <v>37.29</v>
      </c>
      <c r="D344">
        <v>8.73</v>
      </c>
      <c r="E344">
        <v>4.22</v>
      </c>
      <c r="F344">
        <v>0.03</v>
      </c>
      <c r="G344">
        <v>15</v>
      </c>
      <c r="H344">
        <v>2</v>
      </c>
      <c r="I344">
        <v>74.58</v>
      </c>
      <c r="J344">
        <v>17.46</v>
      </c>
      <c r="K344">
        <v>8.44</v>
      </c>
      <c r="L344">
        <v>2.2400000000000002</v>
      </c>
      <c r="M344" s="40" t="s">
        <v>66</v>
      </c>
      <c r="N344">
        <v>0</v>
      </c>
      <c r="O344">
        <v>43.14</v>
      </c>
      <c r="P344">
        <v>31.44</v>
      </c>
      <c r="Q344">
        <v>0.42199999999999999</v>
      </c>
      <c r="R344">
        <v>4.97</v>
      </c>
      <c r="S344" s="40" t="s">
        <v>67</v>
      </c>
    </row>
    <row r="345" spans="1:19" x14ac:dyDescent="0.45">
      <c r="A345" s="40" t="s">
        <v>74</v>
      </c>
      <c r="B345" s="40" t="s">
        <v>75</v>
      </c>
      <c r="C345">
        <v>43.42</v>
      </c>
      <c r="D345">
        <v>13.8</v>
      </c>
      <c r="E345">
        <v>6.43</v>
      </c>
      <c r="F345">
        <v>0.03</v>
      </c>
      <c r="G345">
        <v>4.8899999999999997</v>
      </c>
      <c r="H345">
        <v>1</v>
      </c>
      <c r="I345">
        <v>43.42</v>
      </c>
      <c r="J345">
        <v>13.8</v>
      </c>
      <c r="K345">
        <v>6.43</v>
      </c>
      <c r="L345">
        <v>1.3</v>
      </c>
      <c r="M345" s="40" t="s">
        <v>66</v>
      </c>
      <c r="N345">
        <v>0</v>
      </c>
      <c r="O345">
        <v>26.42</v>
      </c>
      <c r="P345">
        <v>17</v>
      </c>
      <c r="Q345">
        <v>0.39200000000000002</v>
      </c>
      <c r="R345">
        <v>8.8800000000000008</v>
      </c>
      <c r="S345" s="40" t="s">
        <v>67</v>
      </c>
    </row>
    <row r="346" spans="1:19" x14ac:dyDescent="0.45">
      <c r="A346" s="40" t="s">
        <v>64</v>
      </c>
      <c r="B346" s="40" t="s">
        <v>65</v>
      </c>
      <c r="C346">
        <v>34.43</v>
      </c>
      <c r="D346">
        <v>9.64</v>
      </c>
      <c r="E346">
        <v>4.38</v>
      </c>
      <c r="F346">
        <v>0.03</v>
      </c>
      <c r="G346">
        <v>1.48</v>
      </c>
      <c r="H346">
        <v>1</v>
      </c>
      <c r="I346">
        <v>0</v>
      </c>
      <c r="J346">
        <v>0</v>
      </c>
      <c r="K346">
        <v>0</v>
      </c>
      <c r="L346">
        <v>0</v>
      </c>
      <c r="M346" s="40" t="s">
        <v>66</v>
      </c>
      <c r="N346">
        <v>0</v>
      </c>
      <c r="O346">
        <v>0</v>
      </c>
      <c r="P346">
        <v>-1.48</v>
      </c>
      <c r="Q346">
        <v>0</v>
      </c>
      <c r="R346">
        <v>0</v>
      </c>
      <c r="S346" s="40" t="s">
        <v>166</v>
      </c>
    </row>
    <row r="347" spans="1:19" x14ac:dyDescent="0.45">
      <c r="A347" s="40" t="s">
        <v>135</v>
      </c>
      <c r="B347" s="40" t="s">
        <v>136</v>
      </c>
      <c r="C347">
        <v>14.16</v>
      </c>
      <c r="D347">
        <v>1.91</v>
      </c>
      <c r="E347">
        <v>1.83</v>
      </c>
      <c r="F347">
        <v>0.03</v>
      </c>
      <c r="G347">
        <v>0</v>
      </c>
      <c r="H347">
        <v>2</v>
      </c>
      <c r="I347">
        <v>28.32</v>
      </c>
      <c r="J347">
        <v>3.82</v>
      </c>
      <c r="K347">
        <v>3.66</v>
      </c>
      <c r="L347">
        <v>0.85</v>
      </c>
      <c r="M347" s="40" t="s">
        <v>66</v>
      </c>
      <c r="N347">
        <v>0</v>
      </c>
      <c r="O347">
        <v>8.33</v>
      </c>
      <c r="P347">
        <v>19.989999999999998</v>
      </c>
      <c r="Q347">
        <v>0.70599999999999996</v>
      </c>
      <c r="R347">
        <v>0</v>
      </c>
      <c r="S347" s="40" t="s">
        <v>67</v>
      </c>
    </row>
    <row r="348" spans="1:19" x14ac:dyDescent="0.45">
      <c r="A348" s="40" t="s">
        <v>135</v>
      </c>
      <c r="B348" s="40" t="s">
        <v>136</v>
      </c>
      <c r="C348">
        <v>14.29</v>
      </c>
      <c r="D348">
        <v>1.95</v>
      </c>
      <c r="E348">
        <v>2.27</v>
      </c>
      <c r="F348">
        <v>0.03</v>
      </c>
      <c r="G348">
        <v>7.31</v>
      </c>
      <c r="H348">
        <v>2</v>
      </c>
      <c r="I348">
        <v>28.58</v>
      </c>
      <c r="J348">
        <v>3.9</v>
      </c>
      <c r="K348">
        <v>4.54</v>
      </c>
      <c r="L348">
        <v>0.86</v>
      </c>
      <c r="M348" s="40" t="s">
        <v>66</v>
      </c>
      <c r="N348">
        <v>0</v>
      </c>
      <c r="O348">
        <v>16.61</v>
      </c>
      <c r="P348">
        <v>11.97</v>
      </c>
      <c r="Q348">
        <v>0.41899999999999998</v>
      </c>
      <c r="R348">
        <v>3.91</v>
      </c>
      <c r="S348" s="40" t="s">
        <v>67</v>
      </c>
    </row>
    <row r="349" spans="1:19" x14ac:dyDescent="0.45">
      <c r="A349" s="40" t="s">
        <v>115</v>
      </c>
      <c r="B349" s="40" t="s">
        <v>116</v>
      </c>
      <c r="C349">
        <v>51.71</v>
      </c>
      <c r="D349">
        <v>17.07</v>
      </c>
      <c r="E349">
        <v>6.1</v>
      </c>
      <c r="F349">
        <v>0.03</v>
      </c>
      <c r="G349">
        <v>5.52</v>
      </c>
      <c r="H349">
        <v>2</v>
      </c>
      <c r="I349">
        <v>103.42</v>
      </c>
      <c r="J349">
        <v>34.14</v>
      </c>
      <c r="K349">
        <v>12.2</v>
      </c>
      <c r="L349">
        <v>3.1</v>
      </c>
      <c r="M349" s="40" t="s">
        <v>66</v>
      </c>
      <c r="N349">
        <v>0</v>
      </c>
      <c r="O349">
        <v>54.96</v>
      </c>
      <c r="P349">
        <v>48.46</v>
      </c>
      <c r="Q349">
        <v>0.46899999999999997</v>
      </c>
      <c r="R349">
        <v>18.739999999999998</v>
      </c>
      <c r="S349" s="40" t="s">
        <v>67</v>
      </c>
    </row>
    <row r="350" spans="1:19" x14ac:dyDescent="0.45">
      <c r="A350" s="40" t="s">
        <v>115</v>
      </c>
      <c r="B350" s="40" t="s">
        <v>116</v>
      </c>
      <c r="C350">
        <v>46.83</v>
      </c>
      <c r="D350">
        <v>15.27</v>
      </c>
      <c r="E350">
        <v>5.87</v>
      </c>
      <c r="F350">
        <v>0.03</v>
      </c>
      <c r="G350">
        <v>11.98</v>
      </c>
      <c r="H350">
        <v>3</v>
      </c>
      <c r="I350">
        <v>140.49</v>
      </c>
      <c r="J350">
        <v>45.81</v>
      </c>
      <c r="K350">
        <v>17.61</v>
      </c>
      <c r="L350">
        <v>4.21</v>
      </c>
      <c r="M350" s="40" t="s">
        <v>66</v>
      </c>
      <c r="N350">
        <v>0</v>
      </c>
      <c r="O350">
        <v>79.61</v>
      </c>
      <c r="P350">
        <v>60.88</v>
      </c>
      <c r="Q350">
        <v>0.433</v>
      </c>
      <c r="R350">
        <v>11.73</v>
      </c>
      <c r="S350" s="40" t="s">
        <v>67</v>
      </c>
    </row>
    <row r="351" spans="1:19" x14ac:dyDescent="0.45">
      <c r="A351" s="40" t="s">
        <v>64</v>
      </c>
      <c r="B351" s="40" t="s">
        <v>65</v>
      </c>
      <c r="C351">
        <v>30.88</v>
      </c>
      <c r="D351">
        <v>9.7799999999999994</v>
      </c>
      <c r="E351">
        <v>3.72</v>
      </c>
      <c r="F351">
        <v>0.03</v>
      </c>
      <c r="G351">
        <v>10.36</v>
      </c>
      <c r="H351">
        <v>1</v>
      </c>
      <c r="I351">
        <v>30.88</v>
      </c>
      <c r="J351">
        <v>9.7799999999999994</v>
      </c>
      <c r="K351">
        <v>3.72</v>
      </c>
      <c r="L351">
        <v>0.93</v>
      </c>
      <c r="M351" s="40" t="s">
        <v>66</v>
      </c>
      <c r="N351">
        <v>0</v>
      </c>
      <c r="O351">
        <v>24.79</v>
      </c>
      <c r="P351">
        <v>6.09</v>
      </c>
      <c r="Q351">
        <v>0.19700000000000001</v>
      </c>
      <c r="R351">
        <v>2.98</v>
      </c>
      <c r="S351" s="40" t="s">
        <v>67</v>
      </c>
    </row>
    <row r="352" spans="1:19" x14ac:dyDescent="0.45">
      <c r="A352" s="40" t="s">
        <v>74</v>
      </c>
      <c r="B352" s="40" t="s">
        <v>75</v>
      </c>
      <c r="C352">
        <v>46.16</v>
      </c>
      <c r="D352">
        <v>13.94</v>
      </c>
      <c r="E352">
        <v>6.97</v>
      </c>
      <c r="F352">
        <v>0.03</v>
      </c>
      <c r="G352">
        <v>3.14</v>
      </c>
      <c r="H352">
        <v>1</v>
      </c>
      <c r="I352">
        <v>46.16</v>
      </c>
      <c r="J352">
        <v>13.94</v>
      </c>
      <c r="K352">
        <v>6.97</v>
      </c>
      <c r="L352">
        <v>1.38</v>
      </c>
      <c r="M352" s="40" t="s">
        <v>66</v>
      </c>
      <c r="N352">
        <v>0</v>
      </c>
      <c r="O352">
        <v>25.43</v>
      </c>
      <c r="P352">
        <v>20.73</v>
      </c>
      <c r="Q352">
        <v>0.44900000000000001</v>
      </c>
      <c r="R352">
        <v>14.7</v>
      </c>
      <c r="S352" s="40" t="s">
        <v>67</v>
      </c>
    </row>
    <row r="353" spans="1:19" x14ac:dyDescent="0.45">
      <c r="A353" s="40" t="s">
        <v>89</v>
      </c>
      <c r="B353" s="40" t="s">
        <v>140</v>
      </c>
      <c r="C353">
        <v>36.590000000000003</v>
      </c>
      <c r="D353">
        <v>8.82</v>
      </c>
      <c r="E353">
        <v>4.42</v>
      </c>
      <c r="F353">
        <v>0.03</v>
      </c>
      <c r="G353">
        <v>10.45</v>
      </c>
      <c r="H353">
        <v>3</v>
      </c>
      <c r="I353">
        <v>109.77</v>
      </c>
      <c r="J353">
        <v>26.46</v>
      </c>
      <c r="K353">
        <v>13.26</v>
      </c>
      <c r="L353">
        <v>3.29</v>
      </c>
      <c r="M353" s="40" t="s">
        <v>66</v>
      </c>
      <c r="N353">
        <v>0</v>
      </c>
      <c r="O353">
        <v>53.46</v>
      </c>
      <c r="P353">
        <v>56.31</v>
      </c>
      <c r="Q353">
        <v>0.51300000000000001</v>
      </c>
      <c r="R353">
        <v>10.5</v>
      </c>
      <c r="S353" s="40" t="s">
        <v>67</v>
      </c>
    </row>
    <row r="354" spans="1:19" x14ac:dyDescent="0.45">
      <c r="A354" s="40" t="s">
        <v>64</v>
      </c>
      <c r="B354" s="40" t="s">
        <v>65</v>
      </c>
      <c r="C354">
        <v>34.22</v>
      </c>
      <c r="D354">
        <v>9.57</v>
      </c>
      <c r="E354">
        <v>3.77</v>
      </c>
      <c r="F354">
        <v>0.03</v>
      </c>
      <c r="G354">
        <v>0</v>
      </c>
      <c r="H354">
        <v>2</v>
      </c>
      <c r="I354">
        <v>68.44</v>
      </c>
      <c r="J354">
        <v>19.14</v>
      </c>
      <c r="K354">
        <v>7.54</v>
      </c>
      <c r="L354">
        <v>2.0499999999999998</v>
      </c>
      <c r="M354" s="40" t="s">
        <v>66</v>
      </c>
      <c r="N354">
        <v>0</v>
      </c>
      <c r="O354">
        <v>28.73</v>
      </c>
      <c r="P354">
        <v>39.71</v>
      </c>
      <c r="Q354">
        <v>0.57999999999999996</v>
      </c>
      <c r="R354">
        <v>0</v>
      </c>
      <c r="S354" s="40" t="s">
        <v>67</v>
      </c>
    </row>
    <row r="355" spans="1:19" x14ac:dyDescent="0.45">
      <c r="A355" s="40" t="s">
        <v>149</v>
      </c>
      <c r="B355" s="40" t="s">
        <v>150</v>
      </c>
      <c r="C355">
        <v>33.19</v>
      </c>
      <c r="D355">
        <v>7.18</v>
      </c>
      <c r="E355">
        <v>4.57</v>
      </c>
      <c r="F355">
        <v>0.03</v>
      </c>
      <c r="G355">
        <v>8.7200000000000006</v>
      </c>
      <c r="H355">
        <v>1</v>
      </c>
      <c r="I355">
        <v>33.19</v>
      </c>
      <c r="J355">
        <v>7.18</v>
      </c>
      <c r="K355">
        <v>4.57</v>
      </c>
      <c r="L355">
        <v>1</v>
      </c>
      <c r="M355" s="40" t="s">
        <v>66</v>
      </c>
      <c r="N355">
        <v>0</v>
      </c>
      <c r="O355">
        <v>21.47</v>
      </c>
      <c r="P355">
        <v>11.72</v>
      </c>
      <c r="Q355">
        <v>0.35299999999999998</v>
      </c>
      <c r="R355">
        <v>3.81</v>
      </c>
      <c r="S355" s="40" t="s">
        <v>67</v>
      </c>
    </row>
    <row r="356" spans="1:19" x14ac:dyDescent="0.45">
      <c r="A356" s="40" t="s">
        <v>115</v>
      </c>
      <c r="B356" s="40" t="s">
        <v>116</v>
      </c>
      <c r="C356">
        <v>48.91</v>
      </c>
      <c r="D356">
        <v>15.24</v>
      </c>
      <c r="E356">
        <v>5.78</v>
      </c>
      <c r="F356">
        <v>0.03</v>
      </c>
      <c r="G356">
        <v>4.68</v>
      </c>
      <c r="H356">
        <v>2</v>
      </c>
      <c r="I356">
        <v>97.82</v>
      </c>
      <c r="J356">
        <v>30.48</v>
      </c>
      <c r="K356">
        <v>11.56</v>
      </c>
      <c r="L356">
        <v>2.93</v>
      </c>
      <c r="M356" s="40" t="s">
        <v>66</v>
      </c>
      <c r="N356">
        <v>0</v>
      </c>
      <c r="O356">
        <v>49.65</v>
      </c>
      <c r="P356">
        <v>48.17</v>
      </c>
      <c r="Q356">
        <v>0.49199999999999999</v>
      </c>
      <c r="R356">
        <v>20.9</v>
      </c>
      <c r="S356" s="40" t="s">
        <v>67</v>
      </c>
    </row>
    <row r="357" spans="1:19" x14ac:dyDescent="0.45">
      <c r="A357" s="40" t="s">
        <v>135</v>
      </c>
      <c r="B357" s="40" t="s">
        <v>136</v>
      </c>
      <c r="C357">
        <v>16.16</v>
      </c>
      <c r="D357">
        <v>1.92</v>
      </c>
      <c r="E357">
        <v>2.0099999999999998</v>
      </c>
      <c r="F357">
        <v>0.03</v>
      </c>
      <c r="G357">
        <v>7.23</v>
      </c>
      <c r="H357">
        <v>1</v>
      </c>
      <c r="I357">
        <v>16.16</v>
      </c>
      <c r="J357">
        <v>1.92</v>
      </c>
      <c r="K357">
        <v>2.0099999999999998</v>
      </c>
      <c r="L357">
        <v>0.48</v>
      </c>
      <c r="M357" s="40" t="s">
        <v>66</v>
      </c>
      <c r="N357">
        <v>0</v>
      </c>
      <c r="O357">
        <v>11.64</v>
      </c>
      <c r="P357">
        <v>4.5199999999999996</v>
      </c>
      <c r="Q357">
        <v>0.28000000000000003</v>
      </c>
      <c r="R357">
        <v>2.2400000000000002</v>
      </c>
      <c r="S357" s="40" t="s">
        <v>67</v>
      </c>
    </row>
    <row r="358" spans="1:19" x14ac:dyDescent="0.45">
      <c r="A358" s="40" t="s">
        <v>89</v>
      </c>
      <c r="B358" s="40" t="s">
        <v>90</v>
      </c>
      <c r="C358">
        <v>61.04</v>
      </c>
      <c r="D358">
        <v>22.85</v>
      </c>
      <c r="E358">
        <v>6.98</v>
      </c>
      <c r="F358">
        <v>0.03</v>
      </c>
      <c r="G358">
        <v>8.9</v>
      </c>
      <c r="H358">
        <v>3</v>
      </c>
      <c r="I358">
        <v>183.12</v>
      </c>
      <c r="J358">
        <v>68.55</v>
      </c>
      <c r="K358">
        <v>20.94</v>
      </c>
      <c r="L358">
        <v>5.49</v>
      </c>
      <c r="M358" s="40" t="s">
        <v>66</v>
      </c>
      <c r="N358">
        <v>0</v>
      </c>
      <c r="O358">
        <v>103.88</v>
      </c>
      <c r="P358">
        <v>79.239999999999995</v>
      </c>
      <c r="Q358">
        <v>0.433</v>
      </c>
      <c r="R358">
        <v>20.58</v>
      </c>
      <c r="S358" s="40" t="s">
        <v>67</v>
      </c>
    </row>
    <row r="359" spans="1:19" x14ac:dyDescent="0.45">
      <c r="A359" s="40" t="s">
        <v>109</v>
      </c>
      <c r="B359" s="40" t="s">
        <v>110</v>
      </c>
      <c r="C359">
        <v>19.12</v>
      </c>
      <c r="D359">
        <v>3.41</v>
      </c>
      <c r="E359">
        <v>2.2799999999999998</v>
      </c>
      <c r="F359">
        <v>0.03</v>
      </c>
      <c r="G359">
        <v>9.56</v>
      </c>
      <c r="H359">
        <v>2</v>
      </c>
      <c r="I359">
        <v>38.24</v>
      </c>
      <c r="J359">
        <v>6.82</v>
      </c>
      <c r="K359">
        <v>4.5599999999999996</v>
      </c>
      <c r="L359">
        <v>1.1499999999999999</v>
      </c>
      <c r="M359" s="40" t="s">
        <v>66</v>
      </c>
      <c r="N359">
        <v>0</v>
      </c>
      <c r="O359">
        <v>22.09</v>
      </c>
      <c r="P359">
        <v>16.149999999999999</v>
      </c>
      <c r="Q359">
        <v>0.42199999999999999</v>
      </c>
      <c r="R359">
        <v>4</v>
      </c>
      <c r="S359" s="40" t="s">
        <v>67</v>
      </c>
    </row>
    <row r="360" spans="1:19" x14ac:dyDescent="0.45">
      <c r="A360" s="40" t="s">
        <v>74</v>
      </c>
      <c r="B360" s="40" t="s">
        <v>75</v>
      </c>
      <c r="C360">
        <v>48.35</v>
      </c>
      <c r="D360">
        <v>15.06</v>
      </c>
      <c r="E360">
        <v>7.46</v>
      </c>
      <c r="F360">
        <v>0.03</v>
      </c>
      <c r="G360">
        <v>0</v>
      </c>
      <c r="H360">
        <v>3</v>
      </c>
      <c r="I360">
        <v>145.05000000000001</v>
      </c>
      <c r="J360">
        <v>45.18</v>
      </c>
      <c r="K360">
        <v>22.38</v>
      </c>
      <c r="L360">
        <v>4.3499999999999996</v>
      </c>
      <c r="M360" s="40" t="s">
        <v>66</v>
      </c>
      <c r="N360">
        <v>0</v>
      </c>
      <c r="O360">
        <v>71.91</v>
      </c>
      <c r="P360">
        <v>73.14</v>
      </c>
      <c r="Q360">
        <v>0.504</v>
      </c>
      <c r="R360">
        <v>0</v>
      </c>
      <c r="S360" s="40" t="s">
        <v>67</v>
      </c>
    </row>
    <row r="361" spans="1:19" x14ac:dyDescent="0.45">
      <c r="A361" s="40" t="s">
        <v>74</v>
      </c>
      <c r="B361" s="40" t="s">
        <v>75</v>
      </c>
      <c r="C361">
        <v>42.68</v>
      </c>
      <c r="D361">
        <v>13.9</v>
      </c>
      <c r="E361">
        <v>6.11</v>
      </c>
      <c r="F361">
        <v>0.03</v>
      </c>
      <c r="G361">
        <v>18.77</v>
      </c>
      <c r="H361">
        <v>2</v>
      </c>
      <c r="I361">
        <v>85.36</v>
      </c>
      <c r="J361">
        <v>27.8</v>
      </c>
      <c r="K361">
        <v>12.22</v>
      </c>
      <c r="L361">
        <v>2.56</v>
      </c>
      <c r="M361" s="40" t="s">
        <v>66</v>
      </c>
      <c r="N361">
        <v>0</v>
      </c>
      <c r="O361">
        <v>61.35</v>
      </c>
      <c r="P361">
        <v>24.01</v>
      </c>
      <c r="Q361">
        <v>0.28100000000000003</v>
      </c>
      <c r="R361">
        <v>4.55</v>
      </c>
      <c r="S361" s="40" t="s">
        <v>67</v>
      </c>
    </row>
    <row r="362" spans="1:19" x14ac:dyDescent="0.45">
      <c r="A362" s="40" t="s">
        <v>64</v>
      </c>
      <c r="B362" s="40" t="s">
        <v>65</v>
      </c>
      <c r="C362">
        <v>33.950000000000003</v>
      </c>
      <c r="D362">
        <v>10.23</v>
      </c>
      <c r="E362">
        <v>4.47</v>
      </c>
      <c r="F362">
        <v>0.03</v>
      </c>
      <c r="G362">
        <v>0</v>
      </c>
      <c r="H362">
        <v>1</v>
      </c>
      <c r="I362">
        <v>33.950000000000003</v>
      </c>
      <c r="J362">
        <v>10.23</v>
      </c>
      <c r="K362">
        <v>4.47</v>
      </c>
      <c r="L362">
        <v>1.02</v>
      </c>
      <c r="M362" s="40" t="s">
        <v>66</v>
      </c>
      <c r="N362">
        <v>0</v>
      </c>
      <c r="O362">
        <v>15.72</v>
      </c>
      <c r="P362">
        <v>18.23</v>
      </c>
      <c r="Q362">
        <v>0.53700000000000003</v>
      </c>
      <c r="R362">
        <v>0</v>
      </c>
      <c r="S362" s="40" t="s">
        <v>67</v>
      </c>
    </row>
    <row r="363" spans="1:19" x14ac:dyDescent="0.45">
      <c r="A363" s="40" t="s">
        <v>83</v>
      </c>
      <c r="B363" s="40" t="s">
        <v>84</v>
      </c>
      <c r="C363">
        <v>27.65</v>
      </c>
      <c r="D363">
        <v>6.42</v>
      </c>
      <c r="E363">
        <v>3.74</v>
      </c>
      <c r="F363">
        <v>0.03</v>
      </c>
      <c r="G363">
        <v>4.2699999999999996</v>
      </c>
      <c r="H363">
        <v>1</v>
      </c>
      <c r="I363">
        <v>27.65</v>
      </c>
      <c r="J363">
        <v>6.42</v>
      </c>
      <c r="K363">
        <v>3.74</v>
      </c>
      <c r="L363">
        <v>0.83</v>
      </c>
      <c r="M363" s="40" t="s">
        <v>66</v>
      </c>
      <c r="N363">
        <v>0</v>
      </c>
      <c r="O363">
        <v>15.26</v>
      </c>
      <c r="P363">
        <v>12.39</v>
      </c>
      <c r="Q363">
        <v>0.44800000000000001</v>
      </c>
      <c r="R363">
        <v>6.48</v>
      </c>
      <c r="S363" s="40" t="s">
        <v>67</v>
      </c>
    </row>
    <row r="364" spans="1:19" x14ac:dyDescent="0.45">
      <c r="A364" s="40" t="s">
        <v>135</v>
      </c>
      <c r="B364" s="40" t="s">
        <v>136</v>
      </c>
      <c r="C364">
        <v>15.71</v>
      </c>
      <c r="D364">
        <v>1.98</v>
      </c>
      <c r="E364">
        <v>2.09</v>
      </c>
      <c r="F364">
        <v>0.03</v>
      </c>
      <c r="G364">
        <v>10.3</v>
      </c>
      <c r="H364">
        <v>2</v>
      </c>
      <c r="I364">
        <v>31.42</v>
      </c>
      <c r="J364">
        <v>3.96</v>
      </c>
      <c r="K364">
        <v>4.18</v>
      </c>
      <c r="L364">
        <v>0.94</v>
      </c>
      <c r="M364" s="40" t="s">
        <v>66</v>
      </c>
      <c r="N364">
        <v>0</v>
      </c>
      <c r="O364">
        <v>19.38</v>
      </c>
      <c r="P364">
        <v>12.04</v>
      </c>
      <c r="Q364">
        <v>0.38300000000000001</v>
      </c>
      <c r="R364">
        <v>3.05</v>
      </c>
      <c r="S364" s="40" t="s">
        <v>67</v>
      </c>
    </row>
    <row r="365" spans="1:19" x14ac:dyDescent="0.45">
      <c r="A365" s="40" t="s">
        <v>149</v>
      </c>
      <c r="B365" s="40" t="s">
        <v>150</v>
      </c>
      <c r="C365">
        <v>32.61</v>
      </c>
      <c r="D365">
        <v>6.98</v>
      </c>
      <c r="E365">
        <v>4.99</v>
      </c>
      <c r="F365">
        <v>0.03</v>
      </c>
      <c r="G365">
        <v>4.4800000000000004</v>
      </c>
      <c r="H365">
        <v>2</v>
      </c>
      <c r="I365">
        <v>65.22</v>
      </c>
      <c r="J365">
        <v>13.96</v>
      </c>
      <c r="K365">
        <v>9.98</v>
      </c>
      <c r="L365">
        <v>1.96</v>
      </c>
      <c r="M365" s="40" t="s">
        <v>66</v>
      </c>
      <c r="N365">
        <v>0</v>
      </c>
      <c r="O365">
        <v>30.38</v>
      </c>
      <c r="P365">
        <v>34.840000000000003</v>
      </c>
      <c r="Q365">
        <v>0.53400000000000003</v>
      </c>
      <c r="R365">
        <v>14.56</v>
      </c>
      <c r="S365" s="40" t="s">
        <v>67</v>
      </c>
    </row>
    <row r="366" spans="1:19" x14ac:dyDescent="0.45">
      <c r="A366" s="40" t="s">
        <v>135</v>
      </c>
      <c r="B366" s="40" t="s">
        <v>136</v>
      </c>
      <c r="C366">
        <v>14.32</v>
      </c>
      <c r="D366">
        <v>1.94</v>
      </c>
      <c r="E366">
        <v>1.97</v>
      </c>
      <c r="F366">
        <v>0.03</v>
      </c>
      <c r="G366">
        <v>10.06</v>
      </c>
      <c r="H366">
        <v>2</v>
      </c>
      <c r="I366">
        <v>28.64</v>
      </c>
      <c r="J366">
        <v>3.88</v>
      </c>
      <c r="K366">
        <v>3.94</v>
      </c>
      <c r="L366">
        <v>0.86</v>
      </c>
      <c r="M366" s="40" t="s">
        <v>66</v>
      </c>
      <c r="N366">
        <v>0</v>
      </c>
      <c r="O366">
        <v>18.739999999999998</v>
      </c>
      <c r="P366">
        <v>9.9</v>
      </c>
      <c r="Q366">
        <v>0.34599999999999997</v>
      </c>
      <c r="R366">
        <v>2.85</v>
      </c>
      <c r="S366" s="40" t="s">
        <v>67</v>
      </c>
    </row>
    <row r="367" spans="1:19" x14ac:dyDescent="0.45">
      <c r="A367" s="40" t="s">
        <v>83</v>
      </c>
      <c r="B367" s="40" t="s">
        <v>84</v>
      </c>
      <c r="C367">
        <v>24.19</v>
      </c>
      <c r="D367">
        <v>6.39</v>
      </c>
      <c r="E367">
        <v>4</v>
      </c>
      <c r="F367">
        <v>0.03</v>
      </c>
      <c r="G367">
        <v>17.36</v>
      </c>
      <c r="H367">
        <v>2</v>
      </c>
      <c r="I367">
        <v>48.38</v>
      </c>
      <c r="J367">
        <v>12.78</v>
      </c>
      <c r="K367">
        <v>8</v>
      </c>
      <c r="L367">
        <v>1.45</v>
      </c>
      <c r="M367" s="40" t="s">
        <v>154</v>
      </c>
      <c r="N367">
        <v>25.25</v>
      </c>
      <c r="O367">
        <v>64.84</v>
      </c>
      <c r="P367">
        <v>-16.46</v>
      </c>
      <c r="Q367">
        <v>-0.34</v>
      </c>
      <c r="R367">
        <v>2.79</v>
      </c>
      <c r="S367" s="40" t="s">
        <v>155</v>
      </c>
    </row>
    <row r="368" spans="1:19" x14ac:dyDescent="0.45">
      <c r="A368" s="40" t="s">
        <v>89</v>
      </c>
      <c r="B368" s="40" t="s">
        <v>90</v>
      </c>
      <c r="C368">
        <v>65.36</v>
      </c>
      <c r="D368">
        <v>21.03</v>
      </c>
      <c r="E368">
        <v>7.1</v>
      </c>
      <c r="F368">
        <v>0.03</v>
      </c>
      <c r="G368">
        <v>16.170000000000002</v>
      </c>
      <c r="H368">
        <v>2</v>
      </c>
      <c r="I368">
        <v>130.72</v>
      </c>
      <c r="J368">
        <v>42.06</v>
      </c>
      <c r="K368">
        <v>14.2</v>
      </c>
      <c r="L368">
        <v>3.92</v>
      </c>
      <c r="M368" s="40" t="s">
        <v>66</v>
      </c>
      <c r="N368">
        <v>0</v>
      </c>
      <c r="O368">
        <v>76.349999999999994</v>
      </c>
      <c r="P368">
        <v>54.37</v>
      </c>
      <c r="Q368">
        <v>0.41599999999999998</v>
      </c>
      <c r="R368">
        <v>8.08</v>
      </c>
      <c r="S368" s="40" t="s">
        <v>67</v>
      </c>
    </row>
    <row r="369" spans="1:19" x14ac:dyDescent="0.45">
      <c r="A369" s="40" t="s">
        <v>89</v>
      </c>
      <c r="B369" s="40" t="s">
        <v>90</v>
      </c>
      <c r="C369">
        <v>55.57</v>
      </c>
      <c r="D369">
        <v>22.16</v>
      </c>
      <c r="E369">
        <v>7.63</v>
      </c>
      <c r="F369">
        <v>0.03</v>
      </c>
      <c r="G369">
        <v>7.65</v>
      </c>
      <c r="H369">
        <v>2</v>
      </c>
      <c r="I369">
        <v>111.14</v>
      </c>
      <c r="J369">
        <v>44.32</v>
      </c>
      <c r="K369">
        <v>15.26</v>
      </c>
      <c r="L369">
        <v>3.33</v>
      </c>
      <c r="M369" s="40" t="s">
        <v>66</v>
      </c>
      <c r="N369">
        <v>0</v>
      </c>
      <c r="O369">
        <v>70.56</v>
      </c>
      <c r="P369">
        <v>40.58</v>
      </c>
      <c r="Q369">
        <v>0.36499999999999999</v>
      </c>
      <c r="R369">
        <v>14.53</v>
      </c>
      <c r="S369" s="40" t="s">
        <v>67</v>
      </c>
    </row>
    <row r="370" spans="1:19" x14ac:dyDescent="0.45">
      <c r="A370" s="40" t="s">
        <v>115</v>
      </c>
      <c r="B370" s="40" t="s">
        <v>116</v>
      </c>
      <c r="C370">
        <v>46.68</v>
      </c>
      <c r="D370">
        <v>17.260000000000002</v>
      </c>
      <c r="E370">
        <v>6.21</v>
      </c>
      <c r="F370">
        <v>0.03</v>
      </c>
      <c r="G370">
        <v>19.11</v>
      </c>
      <c r="H370">
        <v>2</v>
      </c>
      <c r="I370">
        <v>93.36</v>
      </c>
      <c r="J370">
        <v>34.520000000000003</v>
      </c>
      <c r="K370">
        <v>12.42</v>
      </c>
      <c r="L370">
        <v>2.8</v>
      </c>
      <c r="M370" s="40" t="s">
        <v>66</v>
      </c>
      <c r="N370">
        <v>0</v>
      </c>
      <c r="O370">
        <v>68.849999999999994</v>
      </c>
      <c r="P370">
        <v>24.51</v>
      </c>
      <c r="Q370">
        <v>0.26300000000000001</v>
      </c>
      <c r="R370">
        <v>4.8899999999999997</v>
      </c>
      <c r="S370" s="40" t="s">
        <v>67</v>
      </c>
    </row>
    <row r="371" spans="1:19" x14ac:dyDescent="0.45">
      <c r="A371" s="40" t="s">
        <v>74</v>
      </c>
      <c r="B371" s="40" t="s">
        <v>75</v>
      </c>
      <c r="C371">
        <v>42.67</v>
      </c>
      <c r="D371">
        <v>13.96</v>
      </c>
      <c r="E371">
        <v>6.05</v>
      </c>
      <c r="F371">
        <v>0.03</v>
      </c>
      <c r="G371">
        <v>3.95</v>
      </c>
      <c r="H371">
        <v>1</v>
      </c>
      <c r="I371">
        <v>42.67</v>
      </c>
      <c r="J371">
        <v>13.96</v>
      </c>
      <c r="K371">
        <v>6.05</v>
      </c>
      <c r="L371">
        <v>1.28</v>
      </c>
      <c r="M371" s="40" t="s">
        <v>66</v>
      </c>
      <c r="N371">
        <v>0</v>
      </c>
      <c r="O371">
        <v>25.24</v>
      </c>
      <c r="P371">
        <v>17.43</v>
      </c>
      <c r="Q371">
        <v>0.40799999999999997</v>
      </c>
      <c r="R371">
        <v>10.8</v>
      </c>
      <c r="S371" s="40" t="s">
        <v>67</v>
      </c>
    </row>
    <row r="372" spans="1:19" x14ac:dyDescent="0.45">
      <c r="A372" s="40" t="s">
        <v>99</v>
      </c>
      <c r="B372" s="40" t="s">
        <v>100</v>
      </c>
      <c r="C372">
        <v>37.81</v>
      </c>
      <c r="D372">
        <v>9.49</v>
      </c>
      <c r="E372">
        <v>3.87</v>
      </c>
      <c r="F372">
        <v>0.03</v>
      </c>
      <c r="G372">
        <v>13.56</v>
      </c>
      <c r="H372">
        <v>2</v>
      </c>
      <c r="I372">
        <v>75.62</v>
      </c>
      <c r="J372">
        <v>18.98</v>
      </c>
      <c r="K372">
        <v>7.74</v>
      </c>
      <c r="L372">
        <v>2.27</v>
      </c>
      <c r="M372" s="40" t="s">
        <v>66</v>
      </c>
      <c r="N372">
        <v>0</v>
      </c>
      <c r="O372">
        <v>42.55</v>
      </c>
      <c r="P372">
        <v>33.07</v>
      </c>
      <c r="Q372">
        <v>0.437</v>
      </c>
      <c r="R372">
        <v>5.58</v>
      </c>
      <c r="S372" s="40" t="s">
        <v>67</v>
      </c>
    </row>
    <row r="373" spans="1:19" x14ac:dyDescent="0.45">
      <c r="A373" s="40" t="s">
        <v>89</v>
      </c>
      <c r="B373" s="40" t="s">
        <v>140</v>
      </c>
      <c r="C373">
        <v>43.69</v>
      </c>
      <c r="D373">
        <v>9.0500000000000007</v>
      </c>
      <c r="E373">
        <v>4.04</v>
      </c>
      <c r="F373">
        <v>0.03</v>
      </c>
      <c r="G373">
        <v>6.67</v>
      </c>
      <c r="H373">
        <v>1</v>
      </c>
      <c r="I373">
        <v>43.69</v>
      </c>
      <c r="J373">
        <v>9.0500000000000007</v>
      </c>
      <c r="K373">
        <v>4.04</v>
      </c>
      <c r="L373">
        <v>1.31</v>
      </c>
      <c r="M373" s="40" t="s">
        <v>66</v>
      </c>
      <c r="N373">
        <v>0</v>
      </c>
      <c r="O373">
        <v>21.07</v>
      </c>
      <c r="P373">
        <v>22.62</v>
      </c>
      <c r="Q373">
        <v>0.51800000000000002</v>
      </c>
      <c r="R373">
        <v>6.55</v>
      </c>
      <c r="S373" s="40" t="s">
        <v>67</v>
      </c>
    </row>
    <row r="374" spans="1:19" x14ac:dyDescent="0.45">
      <c r="A374" s="40" t="s">
        <v>89</v>
      </c>
      <c r="B374" s="40" t="s">
        <v>90</v>
      </c>
      <c r="C374">
        <v>57.55</v>
      </c>
      <c r="D374">
        <v>20.93</v>
      </c>
      <c r="E374">
        <v>6.74</v>
      </c>
      <c r="F374">
        <v>0.03</v>
      </c>
      <c r="G374">
        <v>12.35</v>
      </c>
      <c r="H374">
        <v>3</v>
      </c>
      <c r="I374">
        <v>172.65</v>
      </c>
      <c r="J374">
        <v>62.79</v>
      </c>
      <c r="K374">
        <v>20.22</v>
      </c>
      <c r="L374">
        <v>5.18</v>
      </c>
      <c r="M374" s="40" t="s">
        <v>66</v>
      </c>
      <c r="N374">
        <v>0</v>
      </c>
      <c r="O374">
        <v>100.54</v>
      </c>
      <c r="P374">
        <v>72.11</v>
      </c>
      <c r="Q374">
        <v>0.41799999999999998</v>
      </c>
      <c r="R374">
        <v>13.98</v>
      </c>
      <c r="S374" s="40" t="s">
        <v>67</v>
      </c>
    </row>
    <row r="375" spans="1:19" x14ac:dyDescent="0.45">
      <c r="A375" s="40" t="s">
        <v>109</v>
      </c>
      <c r="B375" s="40" t="s">
        <v>110</v>
      </c>
      <c r="C375">
        <v>20.66</v>
      </c>
      <c r="D375">
        <v>3.42</v>
      </c>
      <c r="E375">
        <v>2.63</v>
      </c>
      <c r="F375">
        <v>0.03</v>
      </c>
      <c r="G375">
        <v>10.65</v>
      </c>
      <c r="H375">
        <v>2</v>
      </c>
      <c r="I375">
        <v>41.32</v>
      </c>
      <c r="J375">
        <v>6.84</v>
      </c>
      <c r="K375">
        <v>5.26</v>
      </c>
      <c r="L375">
        <v>1.24</v>
      </c>
      <c r="M375" s="40" t="s">
        <v>66</v>
      </c>
      <c r="N375">
        <v>0</v>
      </c>
      <c r="O375">
        <v>23.99</v>
      </c>
      <c r="P375">
        <v>17.329999999999998</v>
      </c>
      <c r="Q375">
        <v>0.41899999999999998</v>
      </c>
      <c r="R375">
        <v>3.88</v>
      </c>
      <c r="S375" s="40" t="s">
        <v>67</v>
      </c>
    </row>
    <row r="376" spans="1:19" x14ac:dyDescent="0.45">
      <c r="A376" s="40" t="s">
        <v>135</v>
      </c>
      <c r="B376" s="40" t="s">
        <v>136</v>
      </c>
      <c r="C376">
        <v>15.9</v>
      </c>
      <c r="D376">
        <v>1.97</v>
      </c>
      <c r="E376">
        <v>1.98</v>
      </c>
      <c r="F376">
        <v>0.03</v>
      </c>
      <c r="G376">
        <v>0</v>
      </c>
      <c r="H376">
        <v>3</v>
      </c>
      <c r="I376">
        <v>47.7</v>
      </c>
      <c r="J376">
        <v>5.91</v>
      </c>
      <c r="K376">
        <v>5.94</v>
      </c>
      <c r="L376">
        <v>1.43</v>
      </c>
      <c r="M376" s="40" t="s">
        <v>66</v>
      </c>
      <c r="N376">
        <v>0</v>
      </c>
      <c r="O376">
        <v>13.28</v>
      </c>
      <c r="P376">
        <v>34.42</v>
      </c>
      <c r="Q376">
        <v>0.72199999999999998</v>
      </c>
      <c r="R376">
        <v>0</v>
      </c>
      <c r="S376" s="40" t="s">
        <v>67</v>
      </c>
    </row>
    <row r="377" spans="1:19" x14ac:dyDescent="0.45">
      <c r="A377" s="40" t="s">
        <v>74</v>
      </c>
      <c r="B377" s="40" t="s">
        <v>75</v>
      </c>
      <c r="C377">
        <v>48.73</v>
      </c>
      <c r="D377">
        <v>13.96</v>
      </c>
      <c r="E377">
        <v>6.11</v>
      </c>
      <c r="F377">
        <v>0.03</v>
      </c>
      <c r="G377">
        <v>3.24</v>
      </c>
      <c r="H377">
        <v>1</v>
      </c>
      <c r="I377">
        <v>48.73</v>
      </c>
      <c r="J377">
        <v>13.96</v>
      </c>
      <c r="K377">
        <v>6.11</v>
      </c>
      <c r="L377">
        <v>1.46</v>
      </c>
      <c r="M377" s="40" t="s">
        <v>66</v>
      </c>
      <c r="N377">
        <v>0</v>
      </c>
      <c r="O377">
        <v>24.77</v>
      </c>
      <c r="P377">
        <v>23.96</v>
      </c>
      <c r="Q377">
        <v>0.49199999999999999</v>
      </c>
      <c r="R377">
        <v>15.04</v>
      </c>
      <c r="S377" s="40" t="s">
        <v>67</v>
      </c>
    </row>
    <row r="378" spans="1:19" x14ac:dyDescent="0.45">
      <c r="A378" s="40" t="s">
        <v>89</v>
      </c>
      <c r="B378" s="40" t="s">
        <v>90</v>
      </c>
      <c r="C378">
        <v>58.78</v>
      </c>
      <c r="D378">
        <v>22.54</v>
      </c>
      <c r="E378">
        <v>7.08</v>
      </c>
      <c r="F378">
        <v>0.03</v>
      </c>
      <c r="G378">
        <v>11.28</v>
      </c>
      <c r="H378">
        <v>2</v>
      </c>
      <c r="I378">
        <v>117.56</v>
      </c>
      <c r="J378">
        <v>45.08</v>
      </c>
      <c r="K378">
        <v>14.16</v>
      </c>
      <c r="L378">
        <v>3.53</v>
      </c>
      <c r="M378" s="40" t="s">
        <v>66</v>
      </c>
      <c r="N378">
        <v>0</v>
      </c>
      <c r="O378">
        <v>74.05</v>
      </c>
      <c r="P378">
        <v>43.51</v>
      </c>
      <c r="Q378">
        <v>0.37</v>
      </c>
      <c r="R378">
        <v>10.42</v>
      </c>
      <c r="S378" s="40" t="s">
        <v>67</v>
      </c>
    </row>
    <row r="379" spans="1:19" x14ac:dyDescent="0.45">
      <c r="A379" s="40" t="s">
        <v>64</v>
      </c>
      <c r="B379" s="40" t="s">
        <v>65</v>
      </c>
      <c r="C379">
        <v>33.28</v>
      </c>
      <c r="D379">
        <v>9.5299999999999994</v>
      </c>
      <c r="E379">
        <v>3.81</v>
      </c>
      <c r="F379">
        <v>0.03</v>
      </c>
      <c r="G379">
        <v>0</v>
      </c>
      <c r="H379">
        <v>2</v>
      </c>
      <c r="I379">
        <v>66.56</v>
      </c>
      <c r="J379">
        <v>19.059999999999999</v>
      </c>
      <c r="K379">
        <v>7.62</v>
      </c>
      <c r="L379">
        <v>2</v>
      </c>
      <c r="M379" s="40" t="s">
        <v>66</v>
      </c>
      <c r="N379">
        <v>0</v>
      </c>
      <c r="O379">
        <v>28.68</v>
      </c>
      <c r="P379">
        <v>37.880000000000003</v>
      </c>
      <c r="Q379">
        <v>0.56899999999999995</v>
      </c>
      <c r="R379">
        <v>0</v>
      </c>
      <c r="S379" s="40" t="s">
        <v>67</v>
      </c>
    </row>
    <row r="380" spans="1:19" x14ac:dyDescent="0.45">
      <c r="A380" s="40" t="s">
        <v>83</v>
      </c>
      <c r="B380" s="40" t="s">
        <v>84</v>
      </c>
      <c r="C380">
        <v>26.26</v>
      </c>
      <c r="D380">
        <v>6.34</v>
      </c>
      <c r="E380">
        <v>3.49</v>
      </c>
      <c r="F380">
        <v>0.03</v>
      </c>
      <c r="G380">
        <v>0</v>
      </c>
      <c r="H380">
        <v>2</v>
      </c>
      <c r="I380">
        <v>52.52</v>
      </c>
      <c r="J380">
        <v>12.68</v>
      </c>
      <c r="K380">
        <v>6.98</v>
      </c>
      <c r="L380">
        <v>1.58</v>
      </c>
      <c r="M380" s="40" t="s">
        <v>66</v>
      </c>
      <c r="N380">
        <v>0</v>
      </c>
      <c r="O380">
        <v>21.24</v>
      </c>
      <c r="P380">
        <v>31.28</v>
      </c>
      <c r="Q380">
        <v>0.59599999999999997</v>
      </c>
      <c r="R380">
        <v>0</v>
      </c>
      <c r="S380" s="40" t="s">
        <v>67</v>
      </c>
    </row>
    <row r="381" spans="1:19" x14ac:dyDescent="0.45">
      <c r="A381" s="40" t="s">
        <v>64</v>
      </c>
      <c r="B381" s="40" t="s">
        <v>65</v>
      </c>
      <c r="C381">
        <v>31.74</v>
      </c>
      <c r="D381">
        <v>10.6</v>
      </c>
      <c r="E381">
        <v>4.45</v>
      </c>
      <c r="F381">
        <v>0.03</v>
      </c>
      <c r="G381">
        <v>8.84</v>
      </c>
      <c r="H381">
        <v>1</v>
      </c>
      <c r="I381">
        <v>31.74</v>
      </c>
      <c r="J381">
        <v>10.6</v>
      </c>
      <c r="K381">
        <v>4.45</v>
      </c>
      <c r="L381">
        <v>0.95</v>
      </c>
      <c r="M381" s="40" t="s">
        <v>66</v>
      </c>
      <c r="N381">
        <v>0</v>
      </c>
      <c r="O381">
        <v>24.84</v>
      </c>
      <c r="P381">
        <v>6.9</v>
      </c>
      <c r="Q381">
        <v>0.217</v>
      </c>
      <c r="R381">
        <v>3.59</v>
      </c>
      <c r="S381" s="40" t="s">
        <v>67</v>
      </c>
    </row>
    <row r="382" spans="1:19" x14ac:dyDescent="0.45">
      <c r="A382" s="40" t="s">
        <v>89</v>
      </c>
      <c r="B382" s="40" t="s">
        <v>140</v>
      </c>
      <c r="C382">
        <v>36.4</v>
      </c>
      <c r="D382">
        <v>9.15</v>
      </c>
      <c r="E382">
        <v>4.45</v>
      </c>
      <c r="F382">
        <v>0.03</v>
      </c>
      <c r="G382">
        <v>8.1199999999999992</v>
      </c>
      <c r="H382">
        <v>1</v>
      </c>
      <c r="I382">
        <v>36.4</v>
      </c>
      <c r="J382">
        <v>9.15</v>
      </c>
      <c r="K382">
        <v>4.45</v>
      </c>
      <c r="L382">
        <v>1.0900000000000001</v>
      </c>
      <c r="M382" s="40" t="s">
        <v>66</v>
      </c>
      <c r="N382">
        <v>0</v>
      </c>
      <c r="O382">
        <v>22.81</v>
      </c>
      <c r="P382">
        <v>13.59</v>
      </c>
      <c r="Q382">
        <v>0.373</v>
      </c>
      <c r="R382">
        <v>4.4800000000000004</v>
      </c>
      <c r="S382" s="40" t="s">
        <v>67</v>
      </c>
    </row>
    <row r="383" spans="1:19" x14ac:dyDescent="0.45">
      <c r="A383" s="40" t="s">
        <v>89</v>
      </c>
      <c r="B383" s="40" t="s">
        <v>90</v>
      </c>
      <c r="C383">
        <v>66.87</v>
      </c>
      <c r="D383">
        <v>23.66</v>
      </c>
      <c r="E383">
        <v>6.52</v>
      </c>
      <c r="F383">
        <v>0.03</v>
      </c>
      <c r="G383">
        <v>9.9700000000000006</v>
      </c>
      <c r="H383">
        <v>1</v>
      </c>
      <c r="I383">
        <v>66.87</v>
      </c>
      <c r="J383">
        <v>23.66</v>
      </c>
      <c r="K383">
        <v>6.52</v>
      </c>
      <c r="L383">
        <v>2.0099999999999998</v>
      </c>
      <c r="M383" s="40" t="s">
        <v>154</v>
      </c>
      <c r="N383">
        <v>46.83</v>
      </c>
      <c r="O383">
        <v>88.99</v>
      </c>
      <c r="P383">
        <v>-22.12</v>
      </c>
      <c r="Q383">
        <v>-0.33100000000000002</v>
      </c>
      <c r="R383">
        <v>6.71</v>
      </c>
      <c r="S383" s="40" t="s">
        <v>155</v>
      </c>
    </row>
    <row r="384" spans="1:19" x14ac:dyDescent="0.45">
      <c r="A384" s="40" t="s">
        <v>135</v>
      </c>
      <c r="B384" s="40" t="s">
        <v>136</v>
      </c>
      <c r="C384">
        <v>15.99</v>
      </c>
      <c r="D384">
        <v>2.04</v>
      </c>
      <c r="E384">
        <v>2.21</v>
      </c>
      <c r="F384">
        <v>0.03</v>
      </c>
      <c r="G384">
        <v>4.33</v>
      </c>
      <c r="H384">
        <v>1</v>
      </c>
      <c r="I384">
        <v>15.99</v>
      </c>
      <c r="J384">
        <v>2.04</v>
      </c>
      <c r="K384">
        <v>2.21</v>
      </c>
      <c r="L384">
        <v>0.48</v>
      </c>
      <c r="M384" s="40" t="s">
        <v>66</v>
      </c>
      <c r="N384">
        <v>0</v>
      </c>
      <c r="O384">
        <v>9.06</v>
      </c>
      <c r="P384">
        <v>6.93</v>
      </c>
      <c r="Q384">
        <v>0.433</v>
      </c>
      <c r="R384">
        <v>3.69</v>
      </c>
      <c r="S384" s="40" t="s">
        <v>67</v>
      </c>
    </row>
    <row r="385" spans="1:19" x14ac:dyDescent="0.45">
      <c r="A385" s="40" t="s">
        <v>89</v>
      </c>
      <c r="B385" s="40" t="s">
        <v>140</v>
      </c>
      <c r="C385">
        <v>39.090000000000003</v>
      </c>
      <c r="D385">
        <v>8.4600000000000009</v>
      </c>
      <c r="E385">
        <v>4.2300000000000004</v>
      </c>
      <c r="F385">
        <v>0.03</v>
      </c>
      <c r="G385">
        <v>17.260000000000002</v>
      </c>
      <c r="H385">
        <v>3</v>
      </c>
      <c r="I385">
        <v>117.27</v>
      </c>
      <c r="J385">
        <v>25.38</v>
      </c>
      <c r="K385">
        <v>12.69</v>
      </c>
      <c r="L385">
        <v>3.52</v>
      </c>
      <c r="M385" s="40" t="s">
        <v>154</v>
      </c>
      <c r="N385">
        <v>105.35</v>
      </c>
      <c r="O385">
        <v>164.2</v>
      </c>
      <c r="P385">
        <v>-46.93</v>
      </c>
      <c r="Q385">
        <v>-0.4</v>
      </c>
      <c r="R385">
        <v>6.79</v>
      </c>
      <c r="S385" s="40" t="s">
        <v>155</v>
      </c>
    </row>
    <row r="386" spans="1:19" x14ac:dyDescent="0.45">
      <c r="A386" s="40" t="s">
        <v>89</v>
      </c>
      <c r="B386" s="40" t="s">
        <v>90</v>
      </c>
      <c r="C386">
        <v>65.69</v>
      </c>
      <c r="D386">
        <v>23.16</v>
      </c>
      <c r="E386">
        <v>7.57</v>
      </c>
      <c r="F386">
        <v>0.03</v>
      </c>
      <c r="G386">
        <v>10.75</v>
      </c>
      <c r="H386">
        <v>2</v>
      </c>
      <c r="I386">
        <v>131.38</v>
      </c>
      <c r="J386">
        <v>46.32</v>
      </c>
      <c r="K386">
        <v>15.14</v>
      </c>
      <c r="L386">
        <v>3.94</v>
      </c>
      <c r="M386" s="40" t="s">
        <v>66</v>
      </c>
      <c r="N386">
        <v>0</v>
      </c>
      <c r="O386">
        <v>76.150000000000006</v>
      </c>
      <c r="P386">
        <v>55.23</v>
      </c>
      <c r="Q386">
        <v>0.42</v>
      </c>
      <c r="R386">
        <v>12.22</v>
      </c>
      <c r="S386" s="40" t="s">
        <v>67</v>
      </c>
    </row>
    <row r="387" spans="1:19" x14ac:dyDescent="0.45">
      <c r="A387" s="40" t="s">
        <v>99</v>
      </c>
      <c r="B387" s="40" t="s">
        <v>100</v>
      </c>
      <c r="C387">
        <v>34.840000000000003</v>
      </c>
      <c r="D387">
        <v>9.2200000000000006</v>
      </c>
      <c r="E387">
        <v>3.65</v>
      </c>
      <c r="F387">
        <v>0.03</v>
      </c>
      <c r="G387">
        <v>5.16</v>
      </c>
      <c r="H387">
        <v>1</v>
      </c>
      <c r="I387">
        <v>34.840000000000003</v>
      </c>
      <c r="J387">
        <v>9.2200000000000006</v>
      </c>
      <c r="K387">
        <v>3.65</v>
      </c>
      <c r="L387">
        <v>1.05</v>
      </c>
      <c r="M387" s="40" t="s">
        <v>66</v>
      </c>
      <c r="N387">
        <v>0</v>
      </c>
      <c r="O387">
        <v>19.079999999999998</v>
      </c>
      <c r="P387">
        <v>15.76</v>
      </c>
      <c r="Q387">
        <v>0.45200000000000001</v>
      </c>
      <c r="R387">
        <v>6.75</v>
      </c>
      <c r="S387" s="40" t="s">
        <v>67</v>
      </c>
    </row>
    <row r="388" spans="1:19" x14ac:dyDescent="0.45">
      <c r="A388" s="40" t="s">
        <v>89</v>
      </c>
      <c r="B388" s="40" t="s">
        <v>140</v>
      </c>
      <c r="C388">
        <v>37.549999999999997</v>
      </c>
      <c r="D388">
        <v>9.15</v>
      </c>
      <c r="E388">
        <v>4.41</v>
      </c>
      <c r="F388">
        <v>0.03</v>
      </c>
      <c r="G388">
        <v>15.14</v>
      </c>
      <c r="H388">
        <v>2</v>
      </c>
      <c r="I388">
        <v>75.099999999999994</v>
      </c>
      <c r="J388">
        <v>18.3</v>
      </c>
      <c r="K388">
        <v>8.82</v>
      </c>
      <c r="L388">
        <v>2.25</v>
      </c>
      <c r="M388" s="40" t="s">
        <v>66</v>
      </c>
      <c r="N388">
        <v>0</v>
      </c>
      <c r="O388">
        <v>44.51</v>
      </c>
      <c r="P388">
        <v>30.59</v>
      </c>
      <c r="Q388">
        <v>0.40699999999999997</v>
      </c>
      <c r="R388">
        <v>4.96</v>
      </c>
      <c r="S388" s="40" t="s">
        <v>67</v>
      </c>
    </row>
    <row r="389" spans="1:19" x14ac:dyDescent="0.45">
      <c r="A389" s="40" t="s">
        <v>149</v>
      </c>
      <c r="B389" s="40" t="s">
        <v>150</v>
      </c>
      <c r="C389">
        <v>32.24</v>
      </c>
      <c r="D389">
        <v>7.36</v>
      </c>
      <c r="E389">
        <v>4.95</v>
      </c>
      <c r="F389">
        <v>0.03</v>
      </c>
      <c r="G389">
        <v>15.24</v>
      </c>
      <c r="H389">
        <v>3</v>
      </c>
      <c r="I389">
        <v>96.72</v>
      </c>
      <c r="J389">
        <v>22.08</v>
      </c>
      <c r="K389">
        <v>14.85</v>
      </c>
      <c r="L389">
        <v>2.9</v>
      </c>
      <c r="M389" s="40" t="s">
        <v>66</v>
      </c>
      <c r="N389">
        <v>0</v>
      </c>
      <c r="O389">
        <v>55.07</v>
      </c>
      <c r="P389">
        <v>41.65</v>
      </c>
      <c r="Q389">
        <v>0.43099999999999999</v>
      </c>
      <c r="R389">
        <v>6.35</v>
      </c>
      <c r="S389" s="40" t="s">
        <v>67</v>
      </c>
    </row>
    <row r="390" spans="1:19" x14ac:dyDescent="0.45">
      <c r="A390" s="40" t="s">
        <v>89</v>
      </c>
      <c r="B390" s="40" t="s">
        <v>90</v>
      </c>
      <c r="C390">
        <v>64.38</v>
      </c>
      <c r="D390">
        <v>23.32</v>
      </c>
      <c r="E390">
        <v>6.94</v>
      </c>
      <c r="F390">
        <v>0.03</v>
      </c>
      <c r="G390">
        <v>8.89</v>
      </c>
      <c r="H390">
        <v>1</v>
      </c>
      <c r="I390">
        <v>64.38</v>
      </c>
      <c r="J390">
        <v>23.32</v>
      </c>
      <c r="K390">
        <v>6.94</v>
      </c>
      <c r="L390">
        <v>1.93</v>
      </c>
      <c r="M390" s="40" t="s">
        <v>154</v>
      </c>
      <c r="N390">
        <v>45.55</v>
      </c>
      <c r="O390">
        <v>86.63</v>
      </c>
      <c r="P390">
        <v>-22.25</v>
      </c>
      <c r="Q390">
        <v>-0.34599999999999997</v>
      </c>
      <c r="R390">
        <v>7.24</v>
      </c>
      <c r="S390" s="40" t="s">
        <v>155</v>
      </c>
    </row>
    <row r="391" spans="1:19" x14ac:dyDescent="0.45">
      <c r="A391" s="40" t="s">
        <v>109</v>
      </c>
      <c r="B391" s="40" t="s">
        <v>110</v>
      </c>
      <c r="C391">
        <v>20.239999999999998</v>
      </c>
      <c r="D391">
        <v>3.57</v>
      </c>
      <c r="E391">
        <v>2.27</v>
      </c>
      <c r="F391">
        <v>0.03</v>
      </c>
      <c r="G391">
        <v>10.039999999999999</v>
      </c>
      <c r="H391">
        <v>1</v>
      </c>
      <c r="I391">
        <v>0</v>
      </c>
      <c r="J391">
        <v>0</v>
      </c>
      <c r="K391">
        <v>0</v>
      </c>
      <c r="L391">
        <v>0</v>
      </c>
      <c r="M391" s="40" t="s">
        <v>66</v>
      </c>
      <c r="N391">
        <v>0</v>
      </c>
      <c r="O391">
        <v>0</v>
      </c>
      <c r="P391">
        <v>-10.039999999999999</v>
      </c>
      <c r="Q391">
        <v>0</v>
      </c>
      <c r="R391">
        <v>0</v>
      </c>
      <c r="S391" s="40" t="s">
        <v>166</v>
      </c>
    </row>
    <row r="392" spans="1:19" x14ac:dyDescent="0.45">
      <c r="A392" s="40" t="s">
        <v>89</v>
      </c>
      <c r="B392" s="40" t="s">
        <v>90</v>
      </c>
      <c r="C392">
        <v>56.66</v>
      </c>
      <c r="D392">
        <v>22.76</v>
      </c>
      <c r="E392">
        <v>7.79</v>
      </c>
      <c r="F392">
        <v>0.03</v>
      </c>
      <c r="G392">
        <v>10.41</v>
      </c>
      <c r="H392">
        <v>1</v>
      </c>
      <c r="I392">
        <v>56.66</v>
      </c>
      <c r="J392">
        <v>22.76</v>
      </c>
      <c r="K392">
        <v>7.79</v>
      </c>
      <c r="L392">
        <v>1.7</v>
      </c>
      <c r="M392" s="40" t="s">
        <v>66</v>
      </c>
      <c r="N392">
        <v>0</v>
      </c>
      <c r="O392">
        <v>42.66</v>
      </c>
      <c r="P392">
        <v>14</v>
      </c>
      <c r="Q392">
        <v>0.247</v>
      </c>
      <c r="R392">
        <v>5.44</v>
      </c>
      <c r="S392" s="40" t="s">
        <v>67</v>
      </c>
    </row>
    <row r="393" spans="1:19" x14ac:dyDescent="0.45">
      <c r="A393" s="40" t="s">
        <v>74</v>
      </c>
      <c r="B393" s="40" t="s">
        <v>75</v>
      </c>
      <c r="C393">
        <v>41.87</v>
      </c>
      <c r="D393">
        <v>13.5</v>
      </c>
      <c r="E393">
        <v>6.47</v>
      </c>
      <c r="F393">
        <v>0.03</v>
      </c>
      <c r="G393">
        <v>8.25</v>
      </c>
      <c r="H393">
        <v>1</v>
      </c>
      <c r="I393">
        <v>41.87</v>
      </c>
      <c r="J393">
        <v>13.5</v>
      </c>
      <c r="K393">
        <v>6.47</v>
      </c>
      <c r="L393">
        <v>1.26</v>
      </c>
      <c r="M393" s="40" t="s">
        <v>66</v>
      </c>
      <c r="N393">
        <v>0</v>
      </c>
      <c r="O393">
        <v>29.48</v>
      </c>
      <c r="P393">
        <v>12.39</v>
      </c>
      <c r="Q393">
        <v>0.29599999999999999</v>
      </c>
      <c r="R393">
        <v>5.08</v>
      </c>
      <c r="S393" s="40" t="s">
        <v>67</v>
      </c>
    </row>
    <row r="394" spans="1:19" x14ac:dyDescent="0.45">
      <c r="A394" s="40" t="s">
        <v>109</v>
      </c>
      <c r="B394" s="40" t="s">
        <v>110</v>
      </c>
      <c r="C394">
        <v>18.03</v>
      </c>
      <c r="D394">
        <v>3.72</v>
      </c>
      <c r="E394">
        <v>2.57</v>
      </c>
      <c r="F394">
        <v>0.03</v>
      </c>
      <c r="G394">
        <v>0</v>
      </c>
      <c r="H394">
        <v>2</v>
      </c>
      <c r="I394">
        <v>36.06</v>
      </c>
      <c r="J394">
        <v>7.44</v>
      </c>
      <c r="K394">
        <v>5.14</v>
      </c>
      <c r="L394">
        <v>1.08</v>
      </c>
      <c r="M394" s="40" t="s">
        <v>66</v>
      </c>
      <c r="N394">
        <v>0</v>
      </c>
      <c r="O394">
        <v>13.66</v>
      </c>
      <c r="P394">
        <v>22.4</v>
      </c>
      <c r="Q394">
        <v>0.621</v>
      </c>
      <c r="R394">
        <v>0</v>
      </c>
      <c r="S394" s="40" t="s">
        <v>67</v>
      </c>
    </row>
    <row r="395" spans="1:19" x14ac:dyDescent="0.45">
      <c r="A395" s="40" t="s">
        <v>74</v>
      </c>
      <c r="B395" s="40" t="s">
        <v>75</v>
      </c>
      <c r="C395">
        <v>43.33</v>
      </c>
      <c r="D395">
        <v>13.45</v>
      </c>
      <c r="E395">
        <v>7.03</v>
      </c>
      <c r="F395">
        <v>0.03</v>
      </c>
      <c r="G395">
        <v>3.05</v>
      </c>
      <c r="H395">
        <v>1</v>
      </c>
      <c r="I395">
        <v>43.33</v>
      </c>
      <c r="J395">
        <v>13.45</v>
      </c>
      <c r="K395">
        <v>7.03</v>
      </c>
      <c r="L395">
        <v>1.3</v>
      </c>
      <c r="M395" s="40" t="s">
        <v>66</v>
      </c>
      <c r="N395">
        <v>0</v>
      </c>
      <c r="O395">
        <v>24.83</v>
      </c>
      <c r="P395">
        <v>18.5</v>
      </c>
      <c r="Q395">
        <v>0.42699999999999999</v>
      </c>
      <c r="R395">
        <v>14.21</v>
      </c>
      <c r="S395" s="40" t="s">
        <v>67</v>
      </c>
    </row>
    <row r="396" spans="1:19" x14ac:dyDescent="0.45">
      <c r="A396" s="40" t="s">
        <v>99</v>
      </c>
      <c r="B396" s="40" t="s">
        <v>100</v>
      </c>
      <c r="C396">
        <v>37.71</v>
      </c>
      <c r="D396">
        <v>9</v>
      </c>
      <c r="E396">
        <v>4.34</v>
      </c>
      <c r="F396">
        <v>0.03</v>
      </c>
      <c r="G396">
        <v>11.61</v>
      </c>
      <c r="H396">
        <v>2</v>
      </c>
      <c r="I396">
        <v>75.42</v>
      </c>
      <c r="J396">
        <v>18</v>
      </c>
      <c r="K396">
        <v>8.68</v>
      </c>
      <c r="L396">
        <v>2.2599999999999998</v>
      </c>
      <c r="M396" s="40" t="s">
        <v>66</v>
      </c>
      <c r="N396">
        <v>0</v>
      </c>
      <c r="O396">
        <v>40.549999999999997</v>
      </c>
      <c r="P396">
        <v>34.869999999999997</v>
      </c>
      <c r="Q396">
        <v>0.46200000000000002</v>
      </c>
      <c r="R396">
        <v>6.5</v>
      </c>
      <c r="S396" s="40" t="s">
        <v>67</v>
      </c>
    </row>
    <row r="397" spans="1:19" x14ac:dyDescent="0.45">
      <c r="A397" s="40" t="s">
        <v>89</v>
      </c>
      <c r="B397" s="40" t="s">
        <v>140</v>
      </c>
      <c r="C397">
        <v>39.619999999999997</v>
      </c>
      <c r="D397">
        <v>8.52</v>
      </c>
      <c r="E397">
        <v>4.5599999999999996</v>
      </c>
      <c r="F397">
        <v>0.03</v>
      </c>
      <c r="G397">
        <v>16.47</v>
      </c>
      <c r="H397">
        <v>3</v>
      </c>
      <c r="I397">
        <v>118.86</v>
      </c>
      <c r="J397">
        <v>25.56</v>
      </c>
      <c r="K397">
        <v>13.68</v>
      </c>
      <c r="L397">
        <v>3.57</v>
      </c>
      <c r="M397" s="40" t="s">
        <v>66</v>
      </c>
      <c r="N397">
        <v>0</v>
      </c>
      <c r="O397">
        <v>59.28</v>
      </c>
      <c r="P397">
        <v>59.58</v>
      </c>
      <c r="Q397">
        <v>0.501</v>
      </c>
      <c r="R397">
        <v>7.22</v>
      </c>
      <c r="S397" s="40" t="s">
        <v>67</v>
      </c>
    </row>
    <row r="398" spans="1:19" x14ac:dyDescent="0.45">
      <c r="A398" s="40" t="s">
        <v>83</v>
      </c>
      <c r="B398" s="40" t="s">
        <v>84</v>
      </c>
      <c r="C398">
        <v>26.13</v>
      </c>
      <c r="D398">
        <v>6.19</v>
      </c>
      <c r="E398">
        <v>3.7</v>
      </c>
      <c r="F398">
        <v>0.03</v>
      </c>
      <c r="G398">
        <v>0</v>
      </c>
      <c r="H398">
        <v>1</v>
      </c>
      <c r="I398">
        <v>26.13</v>
      </c>
      <c r="J398">
        <v>6.19</v>
      </c>
      <c r="K398">
        <v>3.7</v>
      </c>
      <c r="L398">
        <v>0.78</v>
      </c>
      <c r="M398" s="40" t="s">
        <v>66</v>
      </c>
      <c r="N398">
        <v>0</v>
      </c>
      <c r="O398">
        <v>10.67</v>
      </c>
      <c r="P398">
        <v>15.46</v>
      </c>
      <c r="Q398">
        <v>0.59199999999999997</v>
      </c>
      <c r="R398">
        <v>0</v>
      </c>
      <c r="S398" s="40" t="s">
        <v>67</v>
      </c>
    </row>
    <row r="399" spans="1:19" x14ac:dyDescent="0.45">
      <c r="A399" s="40" t="s">
        <v>99</v>
      </c>
      <c r="B399" s="40" t="s">
        <v>100</v>
      </c>
      <c r="C399">
        <v>37.35</v>
      </c>
      <c r="D399">
        <v>8.7100000000000009</v>
      </c>
      <c r="E399">
        <v>4.18</v>
      </c>
      <c r="F399">
        <v>0.03</v>
      </c>
      <c r="G399">
        <v>4.75</v>
      </c>
      <c r="H399">
        <v>1</v>
      </c>
      <c r="I399">
        <v>37.35</v>
      </c>
      <c r="J399">
        <v>8.7100000000000009</v>
      </c>
      <c r="K399">
        <v>4.18</v>
      </c>
      <c r="L399">
        <v>1.1200000000000001</v>
      </c>
      <c r="M399" s="40" t="s">
        <v>66</v>
      </c>
      <c r="N399">
        <v>0</v>
      </c>
      <c r="O399">
        <v>18.760000000000002</v>
      </c>
      <c r="P399">
        <v>18.59</v>
      </c>
      <c r="Q399">
        <v>0.498</v>
      </c>
      <c r="R399">
        <v>7.86</v>
      </c>
      <c r="S399" s="40" t="s">
        <v>67</v>
      </c>
    </row>
    <row r="400" spans="1:19" x14ac:dyDescent="0.45">
      <c r="A400" s="40" t="s">
        <v>74</v>
      </c>
      <c r="B400" s="40" t="s">
        <v>75</v>
      </c>
      <c r="C400">
        <v>44.96</v>
      </c>
      <c r="D400">
        <v>14.01</v>
      </c>
      <c r="E400">
        <v>6.57</v>
      </c>
      <c r="F400">
        <v>0.03</v>
      </c>
      <c r="G400">
        <v>8.68</v>
      </c>
      <c r="H400">
        <v>1</v>
      </c>
      <c r="I400">
        <v>44.96</v>
      </c>
      <c r="J400">
        <v>14.01</v>
      </c>
      <c r="K400">
        <v>6.57</v>
      </c>
      <c r="L400">
        <v>1.35</v>
      </c>
      <c r="M400" s="40" t="s">
        <v>66</v>
      </c>
      <c r="N400">
        <v>0</v>
      </c>
      <c r="O400">
        <v>30.61</v>
      </c>
      <c r="P400">
        <v>14.35</v>
      </c>
      <c r="Q400">
        <v>0.31900000000000001</v>
      </c>
      <c r="R400">
        <v>5.18</v>
      </c>
      <c r="S400" s="40" t="s">
        <v>67</v>
      </c>
    </row>
    <row r="401" spans="1:19" x14ac:dyDescent="0.45">
      <c r="A401" s="40" t="s">
        <v>135</v>
      </c>
      <c r="B401" s="40" t="s">
        <v>136</v>
      </c>
      <c r="C401">
        <v>14.63</v>
      </c>
      <c r="D401">
        <v>2.14</v>
      </c>
      <c r="E401">
        <v>2</v>
      </c>
      <c r="F401">
        <v>0.03</v>
      </c>
      <c r="G401">
        <v>20.73</v>
      </c>
      <c r="H401">
        <v>3</v>
      </c>
      <c r="I401">
        <v>43.89</v>
      </c>
      <c r="J401">
        <v>6.42</v>
      </c>
      <c r="K401">
        <v>6</v>
      </c>
      <c r="L401">
        <v>1.32</v>
      </c>
      <c r="M401" s="40" t="s">
        <v>66</v>
      </c>
      <c r="N401">
        <v>0</v>
      </c>
      <c r="O401">
        <v>34.47</v>
      </c>
      <c r="P401">
        <v>9.42</v>
      </c>
      <c r="Q401">
        <v>0.215</v>
      </c>
      <c r="R401">
        <v>2.12</v>
      </c>
      <c r="S401" s="40" t="s">
        <v>67</v>
      </c>
    </row>
    <row r="402" spans="1:19" x14ac:dyDescent="0.45">
      <c r="A402" s="40" t="s">
        <v>89</v>
      </c>
      <c r="B402" s="40" t="s">
        <v>140</v>
      </c>
      <c r="C402">
        <v>42.02</v>
      </c>
      <c r="D402">
        <v>8.92</v>
      </c>
      <c r="E402">
        <v>3.78</v>
      </c>
      <c r="F402">
        <v>0.03</v>
      </c>
      <c r="G402">
        <v>7.58</v>
      </c>
      <c r="H402">
        <v>1</v>
      </c>
      <c r="I402">
        <v>42.02</v>
      </c>
      <c r="J402">
        <v>8.92</v>
      </c>
      <c r="K402">
        <v>3.78</v>
      </c>
      <c r="L402">
        <v>1.26</v>
      </c>
      <c r="M402" s="40" t="s">
        <v>66</v>
      </c>
      <c r="N402">
        <v>0</v>
      </c>
      <c r="O402">
        <v>21.54</v>
      </c>
      <c r="P402">
        <v>20.48</v>
      </c>
      <c r="Q402">
        <v>0.48699999999999999</v>
      </c>
      <c r="R402">
        <v>5.54</v>
      </c>
      <c r="S402" s="40" t="s">
        <v>67</v>
      </c>
    </row>
    <row r="403" spans="1:19" x14ac:dyDescent="0.45">
      <c r="A403" s="40" t="s">
        <v>149</v>
      </c>
      <c r="B403" s="40" t="s">
        <v>150</v>
      </c>
      <c r="C403">
        <v>31.24</v>
      </c>
      <c r="D403">
        <v>7.33</v>
      </c>
      <c r="E403">
        <v>5.0999999999999996</v>
      </c>
      <c r="F403">
        <v>0.03</v>
      </c>
      <c r="G403">
        <v>7.39</v>
      </c>
      <c r="H403">
        <v>1</v>
      </c>
      <c r="I403">
        <v>31.24</v>
      </c>
      <c r="J403">
        <v>7.33</v>
      </c>
      <c r="K403">
        <v>5.0999999999999996</v>
      </c>
      <c r="L403">
        <v>0.94</v>
      </c>
      <c r="M403" s="40" t="s">
        <v>66</v>
      </c>
      <c r="N403">
        <v>0</v>
      </c>
      <c r="O403">
        <v>20.76</v>
      </c>
      <c r="P403">
        <v>10.48</v>
      </c>
      <c r="Q403">
        <v>0.33500000000000002</v>
      </c>
      <c r="R403">
        <v>4.2300000000000004</v>
      </c>
      <c r="S403" s="40" t="s">
        <v>67</v>
      </c>
    </row>
    <row r="404" spans="1:19" x14ac:dyDescent="0.45">
      <c r="A404" s="40" t="s">
        <v>135</v>
      </c>
      <c r="B404" s="40" t="s">
        <v>136</v>
      </c>
      <c r="C404">
        <v>16.440000000000001</v>
      </c>
      <c r="D404">
        <v>2.0099999999999998</v>
      </c>
      <c r="E404">
        <v>1.94</v>
      </c>
      <c r="F404">
        <v>0.03</v>
      </c>
      <c r="G404">
        <v>6.84</v>
      </c>
      <c r="H404">
        <v>1</v>
      </c>
      <c r="I404">
        <v>16.440000000000001</v>
      </c>
      <c r="J404">
        <v>2.0099999999999998</v>
      </c>
      <c r="K404">
        <v>1.94</v>
      </c>
      <c r="L404">
        <v>0.49</v>
      </c>
      <c r="M404" s="40" t="s">
        <v>66</v>
      </c>
      <c r="N404">
        <v>0</v>
      </c>
      <c r="O404">
        <v>11.28</v>
      </c>
      <c r="P404">
        <v>5.16</v>
      </c>
      <c r="Q404">
        <v>0.314</v>
      </c>
      <c r="R404">
        <v>2.4</v>
      </c>
      <c r="S404" s="40" t="s">
        <v>67</v>
      </c>
    </row>
    <row r="405" spans="1:19" x14ac:dyDescent="0.45">
      <c r="A405" s="40" t="s">
        <v>89</v>
      </c>
      <c r="B405" s="40" t="s">
        <v>140</v>
      </c>
      <c r="C405">
        <v>37.69</v>
      </c>
      <c r="D405">
        <v>9.07</v>
      </c>
      <c r="E405">
        <v>4.1900000000000004</v>
      </c>
      <c r="F405">
        <v>0.03</v>
      </c>
      <c r="G405">
        <v>15.21</v>
      </c>
      <c r="H405">
        <v>2</v>
      </c>
      <c r="I405">
        <v>75.38</v>
      </c>
      <c r="J405">
        <v>18.14</v>
      </c>
      <c r="K405">
        <v>8.3800000000000008</v>
      </c>
      <c r="L405">
        <v>2.2599999999999998</v>
      </c>
      <c r="M405" s="40" t="s">
        <v>66</v>
      </c>
      <c r="N405">
        <v>0</v>
      </c>
      <c r="O405">
        <v>43.99</v>
      </c>
      <c r="P405">
        <v>31.39</v>
      </c>
      <c r="Q405">
        <v>0.41599999999999998</v>
      </c>
      <c r="R405">
        <v>4.96</v>
      </c>
      <c r="S405" s="40" t="s">
        <v>67</v>
      </c>
    </row>
    <row r="406" spans="1:19" x14ac:dyDescent="0.45">
      <c r="A406" s="40" t="s">
        <v>109</v>
      </c>
      <c r="B406" s="40" t="s">
        <v>110</v>
      </c>
      <c r="C406">
        <v>20.83</v>
      </c>
      <c r="D406">
        <v>3.47</v>
      </c>
      <c r="E406">
        <v>2.4500000000000002</v>
      </c>
      <c r="F406">
        <v>0.03</v>
      </c>
      <c r="G406">
        <v>0</v>
      </c>
      <c r="H406">
        <v>1</v>
      </c>
      <c r="I406">
        <v>20.83</v>
      </c>
      <c r="J406">
        <v>3.47</v>
      </c>
      <c r="K406">
        <v>2.4500000000000002</v>
      </c>
      <c r="L406">
        <v>0.62</v>
      </c>
      <c r="M406" s="40" t="s">
        <v>66</v>
      </c>
      <c r="N406">
        <v>0</v>
      </c>
      <c r="O406">
        <v>6.54</v>
      </c>
      <c r="P406">
        <v>14.29</v>
      </c>
      <c r="Q406">
        <v>0.68600000000000005</v>
      </c>
      <c r="R406">
        <v>0</v>
      </c>
      <c r="S406" s="40" t="s">
        <v>67</v>
      </c>
    </row>
    <row r="407" spans="1:19" x14ac:dyDescent="0.45">
      <c r="A407" s="40" t="s">
        <v>135</v>
      </c>
      <c r="B407" s="40" t="s">
        <v>136</v>
      </c>
      <c r="C407">
        <v>14.9</v>
      </c>
      <c r="D407">
        <v>2.06</v>
      </c>
      <c r="E407">
        <v>2.2599999999999998</v>
      </c>
      <c r="F407">
        <v>0.03</v>
      </c>
      <c r="G407">
        <v>7.78</v>
      </c>
      <c r="H407">
        <v>1</v>
      </c>
      <c r="I407">
        <v>14.9</v>
      </c>
      <c r="J407">
        <v>2.06</v>
      </c>
      <c r="K407">
        <v>2.2599999999999998</v>
      </c>
      <c r="L407">
        <v>0.45</v>
      </c>
      <c r="M407" s="40" t="s">
        <v>66</v>
      </c>
      <c r="N407">
        <v>0</v>
      </c>
      <c r="O407">
        <v>12.55</v>
      </c>
      <c r="P407">
        <v>2.35</v>
      </c>
      <c r="Q407">
        <v>0.158</v>
      </c>
      <c r="R407">
        <v>1.92</v>
      </c>
      <c r="S407" s="40" t="s">
        <v>67</v>
      </c>
    </row>
    <row r="408" spans="1:19" x14ac:dyDescent="0.45">
      <c r="A408" s="40" t="s">
        <v>74</v>
      </c>
      <c r="B408" s="40" t="s">
        <v>75</v>
      </c>
      <c r="C408">
        <v>43.2</v>
      </c>
      <c r="D408">
        <v>13.97</v>
      </c>
      <c r="E408">
        <v>6.67</v>
      </c>
      <c r="F408">
        <v>0.03</v>
      </c>
      <c r="G408">
        <v>26.99</v>
      </c>
      <c r="H408">
        <v>3</v>
      </c>
      <c r="I408">
        <v>0</v>
      </c>
      <c r="J408">
        <v>0</v>
      </c>
      <c r="K408">
        <v>0</v>
      </c>
      <c r="L408">
        <v>0</v>
      </c>
      <c r="M408" s="40" t="s">
        <v>66</v>
      </c>
      <c r="N408">
        <v>0</v>
      </c>
      <c r="O408">
        <v>0</v>
      </c>
      <c r="P408">
        <v>-26.99</v>
      </c>
      <c r="Q408">
        <v>0</v>
      </c>
      <c r="R408">
        <v>0</v>
      </c>
      <c r="S408" s="40" t="s">
        <v>166</v>
      </c>
    </row>
    <row r="409" spans="1:19" x14ac:dyDescent="0.45">
      <c r="A409" s="40" t="s">
        <v>99</v>
      </c>
      <c r="B409" s="40" t="s">
        <v>100</v>
      </c>
      <c r="C409">
        <v>36.36</v>
      </c>
      <c r="D409">
        <v>9.56</v>
      </c>
      <c r="E409">
        <v>4.03</v>
      </c>
      <c r="F409">
        <v>0.03</v>
      </c>
      <c r="G409">
        <v>6.21</v>
      </c>
      <c r="H409">
        <v>1</v>
      </c>
      <c r="I409">
        <v>36.36</v>
      </c>
      <c r="J409">
        <v>9.56</v>
      </c>
      <c r="K409">
        <v>4.03</v>
      </c>
      <c r="L409">
        <v>1.0900000000000001</v>
      </c>
      <c r="M409" s="40" t="s">
        <v>66</v>
      </c>
      <c r="N409">
        <v>0</v>
      </c>
      <c r="O409">
        <v>20.89</v>
      </c>
      <c r="P409">
        <v>15.47</v>
      </c>
      <c r="Q409">
        <v>0.42499999999999999</v>
      </c>
      <c r="R409">
        <v>5.86</v>
      </c>
      <c r="S409" s="40" t="s">
        <v>67</v>
      </c>
    </row>
    <row r="410" spans="1:19" x14ac:dyDescent="0.45">
      <c r="A410" s="40" t="s">
        <v>135</v>
      </c>
      <c r="B410" s="40" t="s">
        <v>136</v>
      </c>
      <c r="C410">
        <v>14.64</v>
      </c>
      <c r="D410">
        <v>2.15</v>
      </c>
      <c r="E410">
        <v>2.02</v>
      </c>
      <c r="F410">
        <v>0.03</v>
      </c>
      <c r="G410">
        <v>14.94</v>
      </c>
      <c r="H410">
        <v>2</v>
      </c>
      <c r="I410">
        <v>29.28</v>
      </c>
      <c r="J410">
        <v>4.3</v>
      </c>
      <c r="K410">
        <v>4.04</v>
      </c>
      <c r="L410">
        <v>0.88</v>
      </c>
      <c r="M410" s="40" t="s">
        <v>66</v>
      </c>
      <c r="N410">
        <v>0</v>
      </c>
      <c r="O410">
        <v>24.16</v>
      </c>
      <c r="P410">
        <v>5.12</v>
      </c>
      <c r="Q410">
        <v>0.17499999999999999</v>
      </c>
      <c r="R410">
        <v>1.96</v>
      </c>
      <c r="S410" s="40" t="s">
        <v>67</v>
      </c>
    </row>
    <row r="411" spans="1:19" x14ac:dyDescent="0.45">
      <c r="A411" s="40" t="s">
        <v>135</v>
      </c>
      <c r="B411" s="40" t="s">
        <v>136</v>
      </c>
      <c r="C411">
        <v>16.510000000000002</v>
      </c>
      <c r="D411">
        <v>2.04</v>
      </c>
      <c r="E411">
        <v>1.91</v>
      </c>
      <c r="F411">
        <v>0.03</v>
      </c>
      <c r="G411">
        <v>15.86</v>
      </c>
      <c r="H411">
        <v>2</v>
      </c>
      <c r="I411">
        <v>33.020000000000003</v>
      </c>
      <c r="J411">
        <v>4.08</v>
      </c>
      <c r="K411">
        <v>3.82</v>
      </c>
      <c r="L411">
        <v>0.99</v>
      </c>
      <c r="M411" s="40" t="s">
        <v>66</v>
      </c>
      <c r="N411">
        <v>0</v>
      </c>
      <c r="O411">
        <v>24.75</v>
      </c>
      <c r="P411">
        <v>8.27</v>
      </c>
      <c r="Q411">
        <v>0.25</v>
      </c>
      <c r="R411">
        <v>2.08</v>
      </c>
      <c r="S411" s="40" t="s">
        <v>67</v>
      </c>
    </row>
    <row r="412" spans="1:19" x14ac:dyDescent="0.45">
      <c r="A412" s="40" t="s">
        <v>64</v>
      </c>
      <c r="B412" s="40" t="s">
        <v>65</v>
      </c>
      <c r="C412">
        <v>34.51</v>
      </c>
      <c r="D412">
        <v>9.61</v>
      </c>
      <c r="E412">
        <v>3.96</v>
      </c>
      <c r="F412">
        <v>0.03</v>
      </c>
      <c r="G412">
        <v>5.66</v>
      </c>
      <c r="H412">
        <v>3</v>
      </c>
      <c r="I412">
        <v>103.53</v>
      </c>
      <c r="J412">
        <v>28.83</v>
      </c>
      <c r="K412">
        <v>11.88</v>
      </c>
      <c r="L412">
        <v>3.11</v>
      </c>
      <c r="M412" s="40" t="s">
        <v>66</v>
      </c>
      <c r="N412">
        <v>0</v>
      </c>
      <c r="O412">
        <v>49.48</v>
      </c>
      <c r="P412">
        <v>54.05</v>
      </c>
      <c r="Q412">
        <v>0.52200000000000002</v>
      </c>
      <c r="R412">
        <v>18.29</v>
      </c>
      <c r="S412" s="40" t="s">
        <v>67</v>
      </c>
    </row>
    <row r="413" spans="1:19" x14ac:dyDescent="0.45">
      <c r="A413" s="40" t="s">
        <v>74</v>
      </c>
      <c r="B413" s="40" t="s">
        <v>75</v>
      </c>
      <c r="C413">
        <v>47.42</v>
      </c>
      <c r="D413">
        <v>14.72</v>
      </c>
      <c r="E413">
        <v>7.05</v>
      </c>
      <c r="F413">
        <v>0.03</v>
      </c>
      <c r="G413">
        <v>14.5</v>
      </c>
      <c r="H413">
        <v>2</v>
      </c>
      <c r="I413">
        <v>94.84</v>
      </c>
      <c r="J413">
        <v>29.44</v>
      </c>
      <c r="K413">
        <v>14.1</v>
      </c>
      <c r="L413">
        <v>2.85</v>
      </c>
      <c r="M413" s="40" t="s">
        <v>66</v>
      </c>
      <c r="N413">
        <v>0</v>
      </c>
      <c r="O413">
        <v>60.89</v>
      </c>
      <c r="P413">
        <v>33.950000000000003</v>
      </c>
      <c r="Q413">
        <v>0.35799999999999998</v>
      </c>
      <c r="R413">
        <v>6.54</v>
      </c>
      <c r="S413" s="40" t="s">
        <v>67</v>
      </c>
    </row>
    <row r="414" spans="1:19" x14ac:dyDescent="0.45">
      <c r="A414" s="40" t="s">
        <v>64</v>
      </c>
      <c r="B414" s="40" t="s">
        <v>65</v>
      </c>
      <c r="C414">
        <v>35.11</v>
      </c>
      <c r="D414">
        <v>9.6</v>
      </c>
      <c r="E414">
        <v>4.55</v>
      </c>
      <c r="F414">
        <v>0.03</v>
      </c>
      <c r="G414">
        <v>13.93</v>
      </c>
      <c r="H414">
        <v>3</v>
      </c>
      <c r="I414">
        <v>105.33</v>
      </c>
      <c r="J414">
        <v>28.8</v>
      </c>
      <c r="K414">
        <v>13.65</v>
      </c>
      <c r="L414">
        <v>3.16</v>
      </c>
      <c r="M414" s="40" t="s">
        <v>66</v>
      </c>
      <c r="N414">
        <v>0</v>
      </c>
      <c r="O414">
        <v>59.54</v>
      </c>
      <c r="P414">
        <v>45.79</v>
      </c>
      <c r="Q414">
        <v>0.435</v>
      </c>
      <c r="R414">
        <v>7.56</v>
      </c>
      <c r="S414" s="40" t="s">
        <v>67</v>
      </c>
    </row>
    <row r="415" spans="1:19" x14ac:dyDescent="0.45">
      <c r="A415" s="40" t="s">
        <v>115</v>
      </c>
      <c r="B415" s="40" t="s">
        <v>116</v>
      </c>
      <c r="C415">
        <v>48.91</v>
      </c>
      <c r="D415">
        <v>16.86</v>
      </c>
      <c r="E415">
        <v>6.54</v>
      </c>
      <c r="F415">
        <v>0.03</v>
      </c>
      <c r="G415">
        <v>3.53</v>
      </c>
      <c r="H415">
        <v>1</v>
      </c>
      <c r="I415">
        <v>48.91</v>
      </c>
      <c r="J415">
        <v>16.86</v>
      </c>
      <c r="K415">
        <v>6.54</v>
      </c>
      <c r="L415">
        <v>1.47</v>
      </c>
      <c r="M415" s="40" t="s">
        <v>66</v>
      </c>
      <c r="N415">
        <v>0</v>
      </c>
      <c r="O415">
        <v>28.4</v>
      </c>
      <c r="P415">
        <v>20.51</v>
      </c>
      <c r="Q415">
        <v>0.41899999999999998</v>
      </c>
      <c r="R415">
        <v>13.86</v>
      </c>
      <c r="S415" s="40" t="s">
        <v>67</v>
      </c>
    </row>
    <row r="416" spans="1:19" x14ac:dyDescent="0.45">
      <c r="A416" s="40" t="s">
        <v>83</v>
      </c>
      <c r="B416" s="40" t="s">
        <v>84</v>
      </c>
      <c r="C416">
        <v>23.6</v>
      </c>
      <c r="D416">
        <v>6.41</v>
      </c>
      <c r="E416">
        <v>3.49</v>
      </c>
      <c r="F416">
        <v>0.03</v>
      </c>
      <c r="G416">
        <v>6.18</v>
      </c>
      <c r="H416">
        <v>1</v>
      </c>
      <c r="I416">
        <v>23.6</v>
      </c>
      <c r="J416">
        <v>6.41</v>
      </c>
      <c r="K416">
        <v>3.49</v>
      </c>
      <c r="L416">
        <v>0.71</v>
      </c>
      <c r="M416" s="40" t="s">
        <v>154</v>
      </c>
      <c r="N416">
        <v>16.940000000000001</v>
      </c>
      <c r="O416">
        <v>33.729999999999997</v>
      </c>
      <c r="P416">
        <v>-10.130000000000001</v>
      </c>
      <c r="Q416">
        <v>-0.42899999999999999</v>
      </c>
      <c r="R416">
        <v>3.82</v>
      </c>
      <c r="S416" s="40" t="s">
        <v>155</v>
      </c>
    </row>
    <row r="417" spans="1:19" x14ac:dyDescent="0.45">
      <c r="A417" s="40" t="s">
        <v>89</v>
      </c>
      <c r="B417" s="40" t="s">
        <v>90</v>
      </c>
      <c r="C417">
        <v>59.37</v>
      </c>
      <c r="D417">
        <v>22.55</v>
      </c>
      <c r="E417">
        <v>6.45</v>
      </c>
      <c r="F417">
        <v>0.03</v>
      </c>
      <c r="G417">
        <v>5.25</v>
      </c>
      <c r="H417">
        <v>1</v>
      </c>
      <c r="I417">
        <v>59.37</v>
      </c>
      <c r="J417">
        <v>22.55</v>
      </c>
      <c r="K417">
        <v>6.45</v>
      </c>
      <c r="L417">
        <v>1.78</v>
      </c>
      <c r="M417" s="40" t="s">
        <v>66</v>
      </c>
      <c r="N417">
        <v>0</v>
      </c>
      <c r="O417">
        <v>36.03</v>
      </c>
      <c r="P417">
        <v>23.34</v>
      </c>
      <c r="Q417">
        <v>0.39300000000000002</v>
      </c>
      <c r="R417">
        <v>11.31</v>
      </c>
      <c r="S417" s="40" t="s">
        <v>67</v>
      </c>
    </row>
    <row r="418" spans="1:19" x14ac:dyDescent="0.45">
      <c r="A418" s="40" t="s">
        <v>109</v>
      </c>
      <c r="B418" s="40" t="s">
        <v>110</v>
      </c>
      <c r="C418">
        <v>21.89</v>
      </c>
      <c r="D418">
        <v>3.69</v>
      </c>
      <c r="E418">
        <v>2.74</v>
      </c>
      <c r="F418">
        <v>0.03</v>
      </c>
      <c r="G418">
        <v>2.21</v>
      </c>
      <c r="H418">
        <v>1</v>
      </c>
      <c r="I418">
        <v>21.89</v>
      </c>
      <c r="J418">
        <v>3.69</v>
      </c>
      <c r="K418">
        <v>2.74</v>
      </c>
      <c r="L418">
        <v>0.66</v>
      </c>
      <c r="M418" s="40" t="s">
        <v>66</v>
      </c>
      <c r="N418">
        <v>0</v>
      </c>
      <c r="O418">
        <v>9.3000000000000007</v>
      </c>
      <c r="P418">
        <v>12.59</v>
      </c>
      <c r="Q418">
        <v>0.57499999999999996</v>
      </c>
      <c r="R418">
        <v>9.9</v>
      </c>
      <c r="S418" s="40" t="s">
        <v>67</v>
      </c>
    </row>
    <row r="419" spans="1:19" x14ac:dyDescent="0.45">
      <c r="A419" s="40" t="s">
        <v>135</v>
      </c>
      <c r="B419" s="40" t="s">
        <v>136</v>
      </c>
      <c r="C419">
        <v>13.49</v>
      </c>
      <c r="D419">
        <v>2.02</v>
      </c>
      <c r="E419">
        <v>2.0099999999999998</v>
      </c>
      <c r="F419">
        <v>0.03</v>
      </c>
      <c r="G419">
        <v>6.86</v>
      </c>
      <c r="H419">
        <v>2</v>
      </c>
      <c r="I419">
        <v>26.98</v>
      </c>
      <c r="J419">
        <v>4.04</v>
      </c>
      <c r="K419">
        <v>4.0199999999999996</v>
      </c>
      <c r="L419">
        <v>0.81</v>
      </c>
      <c r="M419" s="40" t="s">
        <v>66</v>
      </c>
      <c r="N419">
        <v>0</v>
      </c>
      <c r="O419">
        <v>15.73</v>
      </c>
      <c r="P419">
        <v>11.25</v>
      </c>
      <c r="Q419">
        <v>0.41699999999999998</v>
      </c>
      <c r="R419">
        <v>3.93</v>
      </c>
      <c r="S419" s="40" t="s">
        <v>67</v>
      </c>
    </row>
    <row r="420" spans="1:19" x14ac:dyDescent="0.45">
      <c r="A420" s="40" t="s">
        <v>83</v>
      </c>
      <c r="B420" s="40" t="s">
        <v>84</v>
      </c>
      <c r="C420">
        <v>27.85</v>
      </c>
      <c r="D420">
        <v>5.8</v>
      </c>
      <c r="E420">
        <v>3.76</v>
      </c>
      <c r="F420">
        <v>0.03</v>
      </c>
      <c r="G420">
        <v>6.25</v>
      </c>
      <c r="H420">
        <v>1</v>
      </c>
      <c r="I420">
        <v>27.85</v>
      </c>
      <c r="J420">
        <v>5.8</v>
      </c>
      <c r="K420">
        <v>3.76</v>
      </c>
      <c r="L420">
        <v>0.84</v>
      </c>
      <c r="M420" s="40" t="s">
        <v>66</v>
      </c>
      <c r="N420">
        <v>0</v>
      </c>
      <c r="O420">
        <v>16.649999999999999</v>
      </c>
      <c r="P420">
        <v>11.2</v>
      </c>
      <c r="Q420">
        <v>0.40200000000000002</v>
      </c>
      <c r="R420">
        <v>4.46</v>
      </c>
      <c r="S420" s="40" t="s">
        <v>67</v>
      </c>
    </row>
    <row r="421" spans="1:19" x14ac:dyDescent="0.45">
      <c r="A421" s="40" t="s">
        <v>115</v>
      </c>
      <c r="B421" s="40" t="s">
        <v>116</v>
      </c>
      <c r="C421">
        <v>54.27</v>
      </c>
      <c r="D421">
        <v>16.37</v>
      </c>
      <c r="E421">
        <v>5.64</v>
      </c>
      <c r="F421">
        <v>0.03</v>
      </c>
      <c r="G421">
        <v>6.77</v>
      </c>
      <c r="H421">
        <v>1</v>
      </c>
      <c r="I421">
        <v>54.27</v>
      </c>
      <c r="J421">
        <v>16.37</v>
      </c>
      <c r="K421">
        <v>5.64</v>
      </c>
      <c r="L421">
        <v>1.63</v>
      </c>
      <c r="M421" s="40" t="s">
        <v>66</v>
      </c>
      <c r="N421">
        <v>0</v>
      </c>
      <c r="O421">
        <v>30.41</v>
      </c>
      <c r="P421">
        <v>23.86</v>
      </c>
      <c r="Q421">
        <v>0.44</v>
      </c>
      <c r="R421">
        <v>8.02</v>
      </c>
      <c r="S421" s="40" t="s">
        <v>67</v>
      </c>
    </row>
    <row r="422" spans="1:19" x14ac:dyDescent="0.45">
      <c r="A422" s="40" t="s">
        <v>64</v>
      </c>
      <c r="B422" s="40" t="s">
        <v>65</v>
      </c>
      <c r="C422">
        <v>35.47</v>
      </c>
      <c r="D422">
        <v>9.75</v>
      </c>
      <c r="E422">
        <v>4.32</v>
      </c>
      <c r="F422">
        <v>0.03</v>
      </c>
      <c r="G422">
        <v>21.19</v>
      </c>
      <c r="H422">
        <v>3</v>
      </c>
      <c r="I422">
        <v>106.41</v>
      </c>
      <c r="J422">
        <v>29.25</v>
      </c>
      <c r="K422">
        <v>12.96</v>
      </c>
      <c r="L422">
        <v>3.19</v>
      </c>
      <c r="M422" s="40" t="s">
        <v>66</v>
      </c>
      <c r="N422">
        <v>0</v>
      </c>
      <c r="O422">
        <v>66.59</v>
      </c>
      <c r="P422">
        <v>39.82</v>
      </c>
      <c r="Q422">
        <v>0.374</v>
      </c>
      <c r="R422">
        <v>5.0199999999999996</v>
      </c>
      <c r="S422" s="40" t="s">
        <v>67</v>
      </c>
    </row>
    <row r="423" spans="1:19" x14ac:dyDescent="0.45">
      <c r="A423" s="40" t="s">
        <v>115</v>
      </c>
      <c r="B423" s="40" t="s">
        <v>116</v>
      </c>
      <c r="C423">
        <v>54.78</v>
      </c>
      <c r="D423">
        <v>15.4</v>
      </c>
      <c r="E423">
        <v>5.62</v>
      </c>
      <c r="F423">
        <v>0.03</v>
      </c>
      <c r="G423">
        <v>6.27</v>
      </c>
      <c r="H423">
        <v>1</v>
      </c>
      <c r="I423">
        <v>54.78</v>
      </c>
      <c r="J423">
        <v>15.4</v>
      </c>
      <c r="K423">
        <v>5.62</v>
      </c>
      <c r="L423">
        <v>1.64</v>
      </c>
      <c r="M423" s="40" t="s">
        <v>66</v>
      </c>
      <c r="N423">
        <v>0</v>
      </c>
      <c r="O423">
        <v>28.93</v>
      </c>
      <c r="P423">
        <v>25.85</v>
      </c>
      <c r="Q423">
        <v>0.47199999999999998</v>
      </c>
      <c r="R423">
        <v>8.74</v>
      </c>
      <c r="S423" s="40" t="s">
        <v>67</v>
      </c>
    </row>
    <row r="424" spans="1:19" x14ac:dyDescent="0.45">
      <c r="A424" s="40" t="s">
        <v>115</v>
      </c>
      <c r="B424" s="40" t="s">
        <v>116</v>
      </c>
      <c r="C424">
        <v>51.92</v>
      </c>
      <c r="D424">
        <v>16.329999999999998</v>
      </c>
      <c r="E424">
        <v>6.21</v>
      </c>
      <c r="F424">
        <v>0.03</v>
      </c>
      <c r="G424">
        <v>14.94</v>
      </c>
      <c r="H424">
        <v>2</v>
      </c>
      <c r="I424">
        <v>103.84</v>
      </c>
      <c r="J424">
        <v>32.659999999999997</v>
      </c>
      <c r="K424">
        <v>12.42</v>
      </c>
      <c r="L424">
        <v>3.12</v>
      </c>
      <c r="M424" s="40" t="s">
        <v>66</v>
      </c>
      <c r="N424">
        <v>0</v>
      </c>
      <c r="O424">
        <v>63.14</v>
      </c>
      <c r="P424">
        <v>40.700000000000003</v>
      </c>
      <c r="Q424">
        <v>0.39200000000000002</v>
      </c>
      <c r="R424">
        <v>6.95</v>
      </c>
      <c r="S424" s="40" t="s">
        <v>67</v>
      </c>
    </row>
    <row r="425" spans="1:19" x14ac:dyDescent="0.45">
      <c r="A425" s="40" t="s">
        <v>83</v>
      </c>
      <c r="B425" s="40" t="s">
        <v>84</v>
      </c>
      <c r="C425">
        <v>25.93</v>
      </c>
      <c r="D425">
        <v>5.75</v>
      </c>
      <c r="E425">
        <v>3.77</v>
      </c>
      <c r="F425">
        <v>0.03</v>
      </c>
      <c r="G425">
        <v>5.08</v>
      </c>
      <c r="H425">
        <v>1</v>
      </c>
      <c r="I425">
        <v>25.93</v>
      </c>
      <c r="J425">
        <v>5.75</v>
      </c>
      <c r="K425">
        <v>3.77</v>
      </c>
      <c r="L425">
        <v>0.78</v>
      </c>
      <c r="M425" s="40" t="s">
        <v>66</v>
      </c>
      <c r="N425">
        <v>0</v>
      </c>
      <c r="O425">
        <v>15.38</v>
      </c>
      <c r="P425">
        <v>10.55</v>
      </c>
      <c r="Q425">
        <v>0.40699999999999997</v>
      </c>
      <c r="R425">
        <v>5.0999999999999996</v>
      </c>
      <c r="S425" s="40" t="s">
        <v>67</v>
      </c>
    </row>
    <row r="426" spans="1:19" x14ac:dyDescent="0.45">
      <c r="A426" s="40" t="s">
        <v>89</v>
      </c>
      <c r="B426" s="40" t="s">
        <v>140</v>
      </c>
      <c r="C426">
        <v>40.53</v>
      </c>
      <c r="D426">
        <v>8.36</v>
      </c>
      <c r="E426">
        <v>3.78</v>
      </c>
      <c r="F426">
        <v>0.03</v>
      </c>
      <c r="G426">
        <v>4.6500000000000004</v>
      </c>
      <c r="H426">
        <v>1</v>
      </c>
      <c r="I426">
        <v>40.53</v>
      </c>
      <c r="J426">
        <v>8.36</v>
      </c>
      <c r="K426">
        <v>3.78</v>
      </c>
      <c r="L426">
        <v>1.22</v>
      </c>
      <c r="M426" s="40" t="s">
        <v>154</v>
      </c>
      <c r="N426">
        <v>32.78</v>
      </c>
      <c r="O426">
        <v>50.79</v>
      </c>
      <c r="P426">
        <v>-10.26</v>
      </c>
      <c r="Q426">
        <v>-0.253</v>
      </c>
      <c r="R426">
        <v>8.7200000000000006</v>
      </c>
      <c r="S426" s="40" t="s">
        <v>155</v>
      </c>
    </row>
    <row r="427" spans="1:19" x14ac:dyDescent="0.45">
      <c r="A427" s="40" t="s">
        <v>89</v>
      </c>
      <c r="B427" s="40" t="s">
        <v>140</v>
      </c>
      <c r="C427">
        <v>39.75</v>
      </c>
      <c r="D427">
        <v>8.64</v>
      </c>
      <c r="E427">
        <v>4.3099999999999996</v>
      </c>
      <c r="F427">
        <v>0.03</v>
      </c>
      <c r="G427">
        <v>14.04</v>
      </c>
      <c r="H427">
        <v>2</v>
      </c>
      <c r="I427">
        <v>79.5</v>
      </c>
      <c r="J427">
        <v>17.28</v>
      </c>
      <c r="K427">
        <v>8.6199999999999992</v>
      </c>
      <c r="L427">
        <v>2.39</v>
      </c>
      <c r="M427" s="40" t="s">
        <v>66</v>
      </c>
      <c r="N427">
        <v>0</v>
      </c>
      <c r="O427">
        <v>42.33</v>
      </c>
      <c r="P427">
        <v>37.17</v>
      </c>
      <c r="Q427">
        <v>0.46800000000000003</v>
      </c>
      <c r="R427">
        <v>5.66</v>
      </c>
      <c r="S427" s="40" t="s">
        <v>67</v>
      </c>
    </row>
    <row r="428" spans="1:19" x14ac:dyDescent="0.45">
      <c r="A428" s="40" t="s">
        <v>89</v>
      </c>
      <c r="B428" s="40" t="s">
        <v>90</v>
      </c>
      <c r="C428">
        <v>63.64</v>
      </c>
      <c r="D428">
        <v>21.3</v>
      </c>
      <c r="E428">
        <v>7.99</v>
      </c>
      <c r="F428">
        <v>0.03</v>
      </c>
      <c r="G428">
        <v>1.03</v>
      </c>
      <c r="H428">
        <v>1</v>
      </c>
      <c r="I428">
        <v>63.64</v>
      </c>
      <c r="J428">
        <v>21.3</v>
      </c>
      <c r="K428">
        <v>7.99</v>
      </c>
      <c r="L428">
        <v>1.91</v>
      </c>
      <c r="M428" s="40" t="s">
        <v>66</v>
      </c>
      <c r="N428">
        <v>0</v>
      </c>
      <c r="O428">
        <v>32.229999999999997</v>
      </c>
      <c r="P428">
        <v>31.41</v>
      </c>
      <c r="Q428">
        <v>0.49399999999999999</v>
      </c>
      <c r="R428">
        <v>61.79</v>
      </c>
      <c r="S428" s="40" t="s">
        <v>67</v>
      </c>
    </row>
    <row r="429" spans="1:19" x14ac:dyDescent="0.45">
      <c r="A429" s="40" t="s">
        <v>135</v>
      </c>
      <c r="B429" s="40" t="s">
        <v>136</v>
      </c>
      <c r="C429">
        <v>13.65</v>
      </c>
      <c r="D429">
        <v>1.92</v>
      </c>
      <c r="E429">
        <v>1.99</v>
      </c>
      <c r="F429">
        <v>0.03</v>
      </c>
      <c r="G429">
        <v>7.38</v>
      </c>
      <c r="H429">
        <v>1</v>
      </c>
      <c r="I429">
        <v>13.65</v>
      </c>
      <c r="J429">
        <v>1.92</v>
      </c>
      <c r="K429">
        <v>1.99</v>
      </c>
      <c r="L429">
        <v>0.41</v>
      </c>
      <c r="M429" s="40" t="s">
        <v>66</v>
      </c>
      <c r="N429">
        <v>0</v>
      </c>
      <c r="O429">
        <v>11.7</v>
      </c>
      <c r="P429">
        <v>1.95</v>
      </c>
      <c r="Q429">
        <v>0.14299999999999999</v>
      </c>
      <c r="R429">
        <v>1.85</v>
      </c>
      <c r="S429" s="40" t="s">
        <v>67</v>
      </c>
    </row>
    <row r="430" spans="1:19" x14ac:dyDescent="0.45">
      <c r="A430" s="40" t="s">
        <v>109</v>
      </c>
      <c r="B430" s="40" t="s">
        <v>110</v>
      </c>
      <c r="C430">
        <v>19.09</v>
      </c>
      <c r="D430">
        <v>3.69</v>
      </c>
      <c r="E430">
        <v>2.44</v>
      </c>
      <c r="F430">
        <v>0.03</v>
      </c>
      <c r="G430">
        <v>18.170000000000002</v>
      </c>
      <c r="H430">
        <v>2</v>
      </c>
      <c r="I430">
        <v>38.18</v>
      </c>
      <c r="J430">
        <v>7.38</v>
      </c>
      <c r="K430">
        <v>4.88</v>
      </c>
      <c r="L430">
        <v>1.1499999999999999</v>
      </c>
      <c r="M430" s="40" t="s">
        <v>66</v>
      </c>
      <c r="N430">
        <v>0</v>
      </c>
      <c r="O430">
        <v>31.58</v>
      </c>
      <c r="P430">
        <v>6.6</v>
      </c>
      <c r="Q430">
        <v>0.17299999999999999</v>
      </c>
      <c r="R430">
        <v>2.1</v>
      </c>
      <c r="S430" s="40" t="s">
        <v>67</v>
      </c>
    </row>
    <row r="431" spans="1:19" x14ac:dyDescent="0.45">
      <c r="A431" s="40" t="s">
        <v>64</v>
      </c>
      <c r="B431" s="40" t="s">
        <v>65</v>
      </c>
      <c r="C431">
        <v>36.67</v>
      </c>
      <c r="D431">
        <v>9.5399999999999991</v>
      </c>
      <c r="E431">
        <v>4.49</v>
      </c>
      <c r="F431">
        <v>0.03</v>
      </c>
      <c r="G431">
        <v>0</v>
      </c>
      <c r="H431">
        <v>3</v>
      </c>
      <c r="I431">
        <v>110.01</v>
      </c>
      <c r="J431">
        <v>28.62</v>
      </c>
      <c r="K431">
        <v>13.47</v>
      </c>
      <c r="L431">
        <v>3.3</v>
      </c>
      <c r="M431" s="40" t="s">
        <v>66</v>
      </c>
      <c r="N431">
        <v>0</v>
      </c>
      <c r="O431">
        <v>45.39</v>
      </c>
      <c r="P431">
        <v>64.62</v>
      </c>
      <c r="Q431">
        <v>0.58699999999999997</v>
      </c>
      <c r="R431">
        <v>0</v>
      </c>
      <c r="S431" s="40" t="s">
        <v>67</v>
      </c>
    </row>
    <row r="432" spans="1:19" x14ac:dyDescent="0.45">
      <c r="A432" s="40" t="s">
        <v>149</v>
      </c>
      <c r="B432" s="40" t="s">
        <v>150</v>
      </c>
      <c r="C432">
        <v>28.35</v>
      </c>
      <c r="D432">
        <v>7.19</v>
      </c>
      <c r="E432">
        <v>4.5999999999999996</v>
      </c>
      <c r="F432">
        <v>0.03</v>
      </c>
      <c r="G432">
        <v>18.079999999999998</v>
      </c>
      <c r="H432">
        <v>2</v>
      </c>
      <c r="I432">
        <v>56.7</v>
      </c>
      <c r="J432">
        <v>14.38</v>
      </c>
      <c r="K432">
        <v>9.1999999999999993</v>
      </c>
      <c r="L432">
        <v>1.7</v>
      </c>
      <c r="M432" s="40" t="s">
        <v>66</v>
      </c>
      <c r="N432">
        <v>0</v>
      </c>
      <c r="O432">
        <v>43.36</v>
      </c>
      <c r="P432">
        <v>13.34</v>
      </c>
      <c r="Q432">
        <v>0.23499999999999999</v>
      </c>
      <c r="R432">
        <v>3.14</v>
      </c>
      <c r="S432" s="40" t="s">
        <v>67</v>
      </c>
    </row>
    <row r="433" spans="1:19" x14ac:dyDescent="0.45">
      <c r="A433" s="40" t="s">
        <v>89</v>
      </c>
      <c r="B433" s="40" t="s">
        <v>90</v>
      </c>
      <c r="C433">
        <v>66.400000000000006</v>
      </c>
      <c r="D433">
        <v>22.96</v>
      </c>
      <c r="E433">
        <v>7.46</v>
      </c>
      <c r="F433">
        <v>0.03</v>
      </c>
      <c r="G433">
        <v>9</v>
      </c>
      <c r="H433">
        <v>1</v>
      </c>
      <c r="I433">
        <v>66.400000000000006</v>
      </c>
      <c r="J433">
        <v>22.96</v>
      </c>
      <c r="K433">
        <v>7.46</v>
      </c>
      <c r="L433">
        <v>1.99</v>
      </c>
      <c r="M433" s="40" t="s">
        <v>66</v>
      </c>
      <c r="N433">
        <v>0</v>
      </c>
      <c r="O433">
        <v>41.41</v>
      </c>
      <c r="P433">
        <v>24.99</v>
      </c>
      <c r="Q433">
        <v>0.376</v>
      </c>
      <c r="R433">
        <v>7.38</v>
      </c>
      <c r="S433" s="40" t="s">
        <v>67</v>
      </c>
    </row>
    <row r="434" spans="1:19" x14ac:dyDescent="0.45">
      <c r="A434" s="40" t="s">
        <v>109</v>
      </c>
      <c r="B434" s="40" t="s">
        <v>110</v>
      </c>
      <c r="C434">
        <v>20.88</v>
      </c>
      <c r="D434">
        <v>3.49</v>
      </c>
      <c r="E434">
        <v>2.84</v>
      </c>
      <c r="F434">
        <v>0.03</v>
      </c>
      <c r="G434">
        <v>19.989999999999998</v>
      </c>
      <c r="H434">
        <v>2</v>
      </c>
      <c r="I434">
        <v>41.76</v>
      </c>
      <c r="J434">
        <v>6.98</v>
      </c>
      <c r="K434">
        <v>5.68</v>
      </c>
      <c r="L434">
        <v>1.25</v>
      </c>
      <c r="M434" s="40" t="s">
        <v>66</v>
      </c>
      <c r="N434">
        <v>0</v>
      </c>
      <c r="O434">
        <v>33.9</v>
      </c>
      <c r="P434">
        <v>7.86</v>
      </c>
      <c r="Q434">
        <v>0.188</v>
      </c>
      <c r="R434">
        <v>2.09</v>
      </c>
      <c r="S434" s="40" t="s">
        <v>67</v>
      </c>
    </row>
    <row r="435" spans="1:19" x14ac:dyDescent="0.45">
      <c r="A435" s="40" t="s">
        <v>99</v>
      </c>
      <c r="B435" s="40" t="s">
        <v>100</v>
      </c>
      <c r="C435">
        <v>33.22</v>
      </c>
      <c r="D435">
        <v>9.69</v>
      </c>
      <c r="E435">
        <v>4.5</v>
      </c>
      <c r="F435">
        <v>0.03</v>
      </c>
      <c r="G435">
        <v>5.26</v>
      </c>
      <c r="H435">
        <v>1</v>
      </c>
      <c r="I435">
        <v>33.22</v>
      </c>
      <c r="J435">
        <v>9.69</v>
      </c>
      <c r="K435">
        <v>4.5</v>
      </c>
      <c r="L435">
        <v>1</v>
      </c>
      <c r="M435" s="40" t="s">
        <v>66</v>
      </c>
      <c r="N435">
        <v>0</v>
      </c>
      <c r="O435">
        <v>20.45</v>
      </c>
      <c r="P435">
        <v>12.77</v>
      </c>
      <c r="Q435">
        <v>0.38400000000000001</v>
      </c>
      <c r="R435">
        <v>6.32</v>
      </c>
      <c r="S435" s="40" t="s">
        <v>67</v>
      </c>
    </row>
    <row r="436" spans="1:19" x14ac:dyDescent="0.45">
      <c r="A436" s="40" t="s">
        <v>89</v>
      </c>
      <c r="B436" s="40" t="s">
        <v>90</v>
      </c>
      <c r="C436">
        <v>58.84</v>
      </c>
      <c r="D436">
        <v>22.99</v>
      </c>
      <c r="E436">
        <v>6.31</v>
      </c>
      <c r="F436">
        <v>0.03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 s="40" t="s">
        <v>66</v>
      </c>
      <c r="N436">
        <v>0</v>
      </c>
      <c r="O436">
        <v>0</v>
      </c>
      <c r="P436">
        <v>0</v>
      </c>
      <c r="Q436">
        <v>0</v>
      </c>
      <c r="R436">
        <v>0</v>
      </c>
      <c r="S436" s="40" t="s">
        <v>166</v>
      </c>
    </row>
    <row r="437" spans="1:19" x14ac:dyDescent="0.45">
      <c r="A437" s="40" t="s">
        <v>109</v>
      </c>
      <c r="B437" s="40" t="s">
        <v>110</v>
      </c>
      <c r="C437">
        <v>18.7</v>
      </c>
      <c r="D437">
        <v>3.57</v>
      </c>
      <c r="E437">
        <v>2.72</v>
      </c>
      <c r="F437">
        <v>0.03</v>
      </c>
      <c r="G437">
        <v>5.43</v>
      </c>
      <c r="H437">
        <v>1</v>
      </c>
      <c r="I437">
        <v>18.7</v>
      </c>
      <c r="J437">
        <v>3.57</v>
      </c>
      <c r="K437">
        <v>2.72</v>
      </c>
      <c r="L437">
        <v>0.56000000000000005</v>
      </c>
      <c r="M437" s="40" t="s">
        <v>66</v>
      </c>
      <c r="N437">
        <v>0</v>
      </c>
      <c r="O437">
        <v>12.28</v>
      </c>
      <c r="P437">
        <v>6.42</v>
      </c>
      <c r="Q437">
        <v>0.34300000000000003</v>
      </c>
      <c r="R437">
        <v>3.44</v>
      </c>
      <c r="S437" s="40" t="s">
        <v>67</v>
      </c>
    </row>
    <row r="438" spans="1:19" x14ac:dyDescent="0.45">
      <c r="A438" s="40" t="s">
        <v>109</v>
      </c>
      <c r="B438" s="40" t="s">
        <v>110</v>
      </c>
      <c r="C438">
        <v>20.260000000000002</v>
      </c>
      <c r="D438">
        <v>3.64</v>
      </c>
      <c r="E438">
        <v>2.77</v>
      </c>
      <c r="F438">
        <v>0.03</v>
      </c>
      <c r="G438">
        <v>13.93</v>
      </c>
      <c r="H438">
        <v>2</v>
      </c>
      <c r="I438">
        <v>40.520000000000003</v>
      </c>
      <c r="J438">
        <v>7.28</v>
      </c>
      <c r="K438">
        <v>5.54</v>
      </c>
      <c r="L438">
        <v>1.22</v>
      </c>
      <c r="M438" s="40" t="s">
        <v>66</v>
      </c>
      <c r="N438">
        <v>0</v>
      </c>
      <c r="O438">
        <v>27.97</v>
      </c>
      <c r="P438">
        <v>12.55</v>
      </c>
      <c r="Q438">
        <v>0.31</v>
      </c>
      <c r="R438">
        <v>2.91</v>
      </c>
      <c r="S438" s="40" t="s">
        <v>67</v>
      </c>
    </row>
    <row r="439" spans="1:19" x14ac:dyDescent="0.45">
      <c r="A439" s="40" t="s">
        <v>89</v>
      </c>
      <c r="B439" s="40" t="s">
        <v>140</v>
      </c>
      <c r="C439">
        <v>42.37</v>
      </c>
      <c r="D439">
        <v>8.15</v>
      </c>
      <c r="E439">
        <v>4.21</v>
      </c>
      <c r="F439">
        <v>0.03</v>
      </c>
      <c r="G439">
        <v>19.88</v>
      </c>
      <c r="H439">
        <v>2</v>
      </c>
      <c r="I439">
        <v>84.74</v>
      </c>
      <c r="J439">
        <v>16.3</v>
      </c>
      <c r="K439">
        <v>8.42</v>
      </c>
      <c r="L439">
        <v>2.54</v>
      </c>
      <c r="M439" s="40" t="s">
        <v>66</v>
      </c>
      <c r="N439">
        <v>0</v>
      </c>
      <c r="O439">
        <v>47.14</v>
      </c>
      <c r="P439">
        <v>37.6</v>
      </c>
      <c r="Q439">
        <v>0.44400000000000001</v>
      </c>
      <c r="R439">
        <v>4.26</v>
      </c>
      <c r="S439" s="40" t="s">
        <v>67</v>
      </c>
    </row>
    <row r="440" spans="1:19" x14ac:dyDescent="0.45">
      <c r="A440" s="40" t="s">
        <v>109</v>
      </c>
      <c r="B440" s="40" t="s">
        <v>110</v>
      </c>
      <c r="C440">
        <v>18.989999999999998</v>
      </c>
      <c r="D440">
        <v>3.46</v>
      </c>
      <c r="E440">
        <v>2.2599999999999998</v>
      </c>
      <c r="F440">
        <v>0.03</v>
      </c>
      <c r="G440">
        <v>8.99</v>
      </c>
      <c r="H440">
        <v>1</v>
      </c>
      <c r="I440">
        <v>18.989999999999998</v>
      </c>
      <c r="J440">
        <v>3.46</v>
      </c>
      <c r="K440">
        <v>2.2599999999999998</v>
      </c>
      <c r="L440">
        <v>0.56999999999999995</v>
      </c>
      <c r="M440" s="40" t="s">
        <v>66</v>
      </c>
      <c r="N440">
        <v>0</v>
      </c>
      <c r="O440">
        <v>15.28</v>
      </c>
      <c r="P440">
        <v>3.71</v>
      </c>
      <c r="Q440">
        <v>0.19500000000000001</v>
      </c>
      <c r="R440">
        <v>2.11</v>
      </c>
      <c r="S440" s="40" t="s">
        <v>67</v>
      </c>
    </row>
    <row r="441" spans="1:19" x14ac:dyDescent="0.45">
      <c r="A441" s="40" t="s">
        <v>89</v>
      </c>
      <c r="B441" s="40" t="s">
        <v>140</v>
      </c>
      <c r="C441">
        <v>37.69</v>
      </c>
      <c r="D441">
        <v>8.9</v>
      </c>
      <c r="E441">
        <v>4.07</v>
      </c>
      <c r="F441">
        <v>0.03</v>
      </c>
      <c r="G441">
        <v>3.79</v>
      </c>
      <c r="H441">
        <v>1</v>
      </c>
      <c r="I441">
        <v>37.69</v>
      </c>
      <c r="J441">
        <v>8.9</v>
      </c>
      <c r="K441">
        <v>4.07</v>
      </c>
      <c r="L441">
        <v>1.1299999999999999</v>
      </c>
      <c r="M441" s="40" t="s">
        <v>66</v>
      </c>
      <c r="N441">
        <v>0</v>
      </c>
      <c r="O441">
        <v>17.89</v>
      </c>
      <c r="P441">
        <v>19.8</v>
      </c>
      <c r="Q441">
        <v>0.52500000000000002</v>
      </c>
      <c r="R441">
        <v>9.94</v>
      </c>
      <c r="S441" s="40" t="s">
        <v>67</v>
      </c>
    </row>
    <row r="442" spans="1:19" x14ac:dyDescent="0.45">
      <c r="A442" s="40" t="s">
        <v>135</v>
      </c>
      <c r="B442" s="40" t="s">
        <v>136</v>
      </c>
      <c r="C442">
        <v>16.329999999999998</v>
      </c>
      <c r="D442">
        <v>1.94</v>
      </c>
      <c r="E442">
        <v>2.11</v>
      </c>
      <c r="F442">
        <v>0.03</v>
      </c>
      <c r="G442">
        <v>8.7200000000000006</v>
      </c>
      <c r="H442">
        <v>1</v>
      </c>
      <c r="I442">
        <v>16.329999999999998</v>
      </c>
      <c r="J442">
        <v>1.94</v>
      </c>
      <c r="K442">
        <v>2.11</v>
      </c>
      <c r="L442">
        <v>0.49</v>
      </c>
      <c r="M442" s="40" t="s">
        <v>66</v>
      </c>
      <c r="N442">
        <v>0</v>
      </c>
      <c r="O442">
        <v>13.26</v>
      </c>
      <c r="P442">
        <v>3.07</v>
      </c>
      <c r="Q442">
        <v>0.188</v>
      </c>
      <c r="R442">
        <v>1.87</v>
      </c>
      <c r="S442" s="40" t="s">
        <v>67</v>
      </c>
    </row>
    <row r="443" spans="1:19" x14ac:dyDescent="0.45">
      <c r="A443" s="40" t="s">
        <v>83</v>
      </c>
      <c r="B443" s="40" t="s">
        <v>84</v>
      </c>
      <c r="C443">
        <v>27.34</v>
      </c>
      <c r="D443">
        <v>5.9</v>
      </c>
      <c r="E443">
        <v>3.94</v>
      </c>
      <c r="F443">
        <v>0.03</v>
      </c>
      <c r="G443">
        <v>7.77</v>
      </c>
      <c r="H443">
        <v>1</v>
      </c>
      <c r="I443">
        <v>27.34</v>
      </c>
      <c r="J443">
        <v>5.9</v>
      </c>
      <c r="K443">
        <v>3.94</v>
      </c>
      <c r="L443">
        <v>0.82</v>
      </c>
      <c r="M443" s="40" t="s">
        <v>66</v>
      </c>
      <c r="N443">
        <v>0</v>
      </c>
      <c r="O443">
        <v>18.43</v>
      </c>
      <c r="P443">
        <v>8.91</v>
      </c>
      <c r="Q443">
        <v>0.32600000000000001</v>
      </c>
      <c r="R443">
        <v>3.52</v>
      </c>
      <c r="S443" s="40" t="s">
        <v>67</v>
      </c>
    </row>
    <row r="444" spans="1:19" x14ac:dyDescent="0.45">
      <c r="A444" s="40" t="s">
        <v>115</v>
      </c>
      <c r="B444" s="40" t="s">
        <v>116</v>
      </c>
      <c r="C444">
        <v>52.38</v>
      </c>
      <c r="D444">
        <v>16.71</v>
      </c>
      <c r="E444">
        <v>6.62</v>
      </c>
      <c r="F444">
        <v>0.03</v>
      </c>
      <c r="G444">
        <v>5.66</v>
      </c>
      <c r="H444">
        <v>1</v>
      </c>
      <c r="I444">
        <v>52.38</v>
      </c>
      <c r="J444">
        <v>16.71</v>
      </c>
      <c r="K444">
        <v>6.62</v>
      </c>
      <c r="L444">
        <v>1.57</v>
      </c>
      <c r="M444" s="40" t="s">
        <v>66</v>
      </c>
      <c r="N444">
        <v>0</v>
      </c>
      <c r="O444">
        <v>30.56</v>
      </c>
      <c r="P444">
        <v>21.82</v>
      </c>
      <c r="Q444">
        <v>0.41699999999999998</v>
      </c>
      <c r="R444">
        <v>9.25</v>
      </c>
      <c r="S444" s="40" t="s">
        <v>67</v>
      </c>
    </row>
    <row r="445" spans="1:19" x14ac:dyDescent="0.45">
      <c r="A445" s="40" t="s">
        <v>89</v>
      </c>
      <c r="B445" s="40" t="s">
        <v>140</v>
      </c>
      <c r="C445">
        <v>36.81</v>
      </c>
      <c r="D445">
        <v>8.1999999999999993</v>
      </c>
      <c r="E445">
        <v>4.05</v>
      </c>
      <c r="F445">
        <v>0.03</v>
      </c>
      <c r="G445">
        <v>10.43</v>
      </c>
      <c r="H445">
        <v>1</v>
      </c>
      <c r="I445">
        <v>36.81</v>
      </c>
      <c r="J445">
        <v>8.1999999999999993</v>
      </c>
      <c r="K445">
        <v>4.05</v>
      </c>
      <c r="L445">
        <v>1.1000000000000001</v>
      </c>
      <c r="M445" s="40" t="s">
        <v>66</v>
      </c>
      <c r="N445">
        <v>0</v>
      </c>
      <c r="O445">
        <v>23.78</v>
      </c>
      <c r="P445">
        <v>13.03</v>
      </c>
      <c r="Q445">
        <v>0.35399999999999998</v>
      </c>
      <c r="R445">
        <v>3.53</v>
      </c>
      <c r="S445" s="40" t="s">
        <v>67</v>
      </c>
    </row>
    <row r="446" spans="1:19" x14ac:dyDescent="0.45">
      <c r="A446" s="40" t="s">
        <v>74</v>
      </c>
      <c r="B446" s="40" t="s">
        <v>75</v>
      </c>
      <c r="C446">
        <v>40.840000000000003</v>
      </c>
      <c r="D446">
        <v>13.9</v>
      </c>
      <c r="E446">
        <v>7.28</v>
      </c>
      <c r="F446">
        <v>0.03</v>
      </c>
      <c r="G446">
        <v>0</v>
      </c>
      <c r="H446">
        <v>3</v>
      </c>
      <c r="I446">
        <v>122.52</v>
      </c>
      <c r="J446">
        <v>41.7</v>
      </c>
      <c r="K446">
        <v>21.84</v>
      </c>
      <c r="L446">
        <v>3.68</v>
      </c>
      <c r="M446" s="40" t="s">
        <v>66</v>
      </c>
      <c r="N446">
        <v>0</v>
      </c>
      <c r="O446">
        <v>67.22</v>
      </c>
      <c r="P446">
        <v>55.3</v>
      </c>
      <c r="Q446">
        <v>0.45100000000000001</v>
      </c>
      <c r="R446">
        <v>0</v>
      </c>
      <c r="S446" s="40" t="s">
        <v>67</v>
      </c>
    </row>
    <row r="447" spans="1:19" x14ac:dyDescent="0.45">
      <c r="A447" s="40" t="s">
        <v>115</v>
      </c>
      <c r="B447" s="40" t="s">
        <v>116</v>
      </c>
      <c r="C447">
        <v>54.48</v>
      </c>
      <c r="D447">
        <v>17.14</v>
      </c>
      <c r="E447">
        <v>6.16</v>
      </c>
      <c r="F447">
        <v>0.03</v>
      </c>
      <c r="G447">
        <v>6.11</v>
      </c>
      <c r="H447">
        <v>1</v>
      </c>
      <c r="I447">
        <v>54.48</v>
      </c>
      <c r="J447">
        <v>17.14</v>
      </c>
      <c r="K447">
        <v>6.16</v>
      </c>
      <c r="L447">
        <v>1.63</v>
      </c>
      <c r="M447" s="40" t="s">
        <v>66</v>
      </c>
      <c r="N447">
        <v>0</v>
      </c>
      <c r="O447">
        <v>31.04</v>
      </c>
      <c r="P447">
        <v>23.44</v>
      </c>
      <c r="Q447">
        <v>0.43</v>
      </c>
      <c r="R447">
        <v>8.92</v>
      </c>
      <c r="S447" s="40" t="s">
        <v>67</v>
      </c>
    </row>
    <row r="448" spans="1:19" x14ac:dyDescent="0.45">
      <c r="A448" s="40" t="s">
        <v>109</v>
      </c>
      <c r="B448" s="40" t="s">
        <v>110</v>
      </c>
      <c r="C448">
        <v>18.3</v>
      </c>
      <c r="D448">
        <v>3.37</v>
      </c>
      <c r="E448">
        <v>2.84</v>
      </c>
      <c r="F448">
        <v>0.03</v>
      </c>
      <c r="G448">
        <v>7.66</v>
      </c>
      <c r="H448">
        <v>1</v>
      </c>
      <c r="I448">
        <v>18.3</v>
      </c>
      <c r="J448">
        <v>3.37</v>
      </c>
      <c r="K448">
        <v>2.84</v>
      </c>
      <c r="L448">
        <v>0.55000000000000004</v>
      </c>
      <c r="M448" s="40" t="s">
        <v>66</v>
      </c>
      <c r="N448">
        <v>0</v>
      </c>
      <c r="O448">
        <v>14.42</v>
      </c>
      <c r="P448">
        <v>3.88</v>
      </c>
      <c r="Q448">
        <v>0.21199999999999999</v>
      </c>
      <c r="R448">
        <v>2.39</v>
      </c>
      <c r="S448" s="40" t="s">
        <v>67</v>
      </c>
    </row>
    <row r="449" spans="1:19" x14ac:dyDescent="0.45">
      <c r="A449" s="40" t="s">
        <v>89</v>
      </c>
      <c r="B449" s="40" t="s">
        <v>90</v>
      </c>
      <c r="C449">
        <v>65.16</v>
      </c>
      <c r="D449">
        <v>22.87</v>
      </c>
      <c r="E449">
        <v>7.7</v>
      </c>
      <c r="F449">
        <v>0.03</v>
      </c>
      <c r="G449">
        <v>9.6</v>
      </c>
      <c r="H449">
        <v>1</v>
      </c>
      <c r="I449">
        <v>65.16</v>
      </c>
      <c r="J449">
        <v>22.87</v>
      </c>
      <c r="K449">
        <v>7.7</v>
      </c>
      <c r="L449">
        <v>1.95</v>
      </c>
      <c r="M449" s="40" t="s">
        <v>66</v>
      </c>
      <c r="N449">
        <v>0</v>
      </c>
      <c r="O449">
        <v>42.12</v>
      </c>
      <c r="P449">
        <v>23.04</v>
      </c>
      <c r="Q449">
        <v>0.35399999999999998</v>
      </c>
      <c r="R449">
        <v>6.79</v>
      </c>
      <c r="S449" s="40" t="s">
        <v>67</v>
      </c>
    </row>
    <row r="450" spans="1:19" x14ac:dyDescent="0.45">
      <c r="A450" s="40" t="s">
        <v>135</v>
      </c>
      <c r="B450" s="40" t="s">
        <v>136</v>
      </c>
      <c r="C450">
        <v>16.37</v>
      </c>
      <c r="D450">
        <v>1.97</v>
      </c>
      <c r="E450">
        <v>1.94</v>
      </c>
      <c r="F450">
        <v>0.03</v>
      </c>
      <c r="G450">
        <v>6.64</v>
      </c>
      <c r="H450">
        <v>1</v>
      </c>
      <c r="I450">
        <v>16.37</v>
      </c>
      <c r="J450">
        <v>1.97</v>
      </c>
      <c r="K450">
        <v>1.94</v>
      </c>
      <c r="L450">
        <v>0.49</v>
      </c>
      <c r="M450" s="40" t="s">
        <v>66</v>
      </c>
      <c r="N450">
        <v>0</v>
      </c>
      <c r="O450">
        <v>11.04</v>
      </c>
      <c r="P450">
        <v>5.33</v>
      </c>
      <c r="Q450">
        <v>0.32600000000000001</v>
      </c>
      <c r="R450">
        <v>2.4700000000000002</v>
      </c>
      <c r="S450" s="40" t="s">
        <v>67</v>
      </c>
    </row>
    <row r="451" spans="1:19" x14ac:dyDescent="0.45">
      <c r="A451" s="40" t="s">
        <v>99</v>
      </c>
      <c r="B451" s="40" t="s">
        <v>100</v>
      </c>
      <c r="C451">
        <v>31.53</v>
      </c>
      <c r="D451">
        <v>9.42</v>
      </c>
      <c r="E451">
        <v>3.83</v>
      </c>
      <c r="F451">
        <v>0.03</v>
      </c>
      <c r="G451">
        <v>3.72</v>
      </c>
      <c r="H451">
        <v>1</v>
      </c>
      <c r="I451">
        <v>31.53</v>
      </c>
      <c r="J451">
        <v>9.42</v>
      </c>
      <c r="K451">
        <v>3.83</v>
      </c>
      <c r="L451">
        <v>0.95</v>
      </c>
      <c r="M451" s="40" t="s">
        <v>66</v>
      </c>
      <c r="N451">
        <v>0</v>
      </c>
      <c r="O451">
        <v>17.920000000000002</v>
      </c>
      <c r="P451">
        <v>13.61</v>
      </c>
      <c r="Q451">
        <v>0.432</v>
      </c>
      <c r="R451">
        <v>8.48</v>
      </c>
      <c r="S451" s="40" t="s">
        <v>67</v>
      </c>
    </row>
    <row r="452" spans="1:19" x14ac:dyDescent="0.45">
      <c r="A452" s="40" t="s">
        <v>109</v>
      </c>
      <c r="B452" s="40" t="s">
        <v>110</v>
      </c>
      <c r="C452">
        <v>20.61</v>
      </c>
      <c r="D452">
        <v>3.52</v>
      </c>
      <c r="E452">
        <v>2.27</v>
      </c>
      <c r="F452">
        <v>0.03</v>
      </c>
      <c r="G452">
        <v>3.38</v>
      </c>
      <c r="H452">
        <v>1</v>
      </c>
      <c r="I452">
        <v>20.61</v>
      </c>
      <c r="J452">
        <v>3.52</v>
      </c>
      <c r="K452">
        <v>2.27</v>
      </c>
      <c r="L452">
        <v>0.62</v>
      </c>
      <c r="M452" s="40" t="s">
        <v>66</v>
      </c>
      <c r="N452">
        <v>0</v>
      </c>
      <c r="O452">
        <v>9.7899999999999991</v>
      </c>
      <c r="P452">
        <v>10.82</v>
      </c>
      <c r="Q452">
        <v>0.52500000000000002</v>
      </c>
      <c r="R452">
        <v>6.1</v>
      </c>
      <c r="S452" s="40" t="s">
        <v>67</v>
      </c>
    </row>
    <row r="453" spans="1:19" x14ac:dyDescent="0.45">
      <c r="A453" s="40" t="s">
        <v>64</v>
      </c>
      <c r="B453" s="40" t="s">
        <v>65</v>
      </c>
      <c r="C453">
        <v>36.880000000000003</v>
      </c>
      <c r="D453">
        <v>10.32</v>
      </c>
      <c r="E453">
        <v>3.82</v>
      </c>
      <c r="F453">
        <v>0.03</v>
      </c>
      <c r="G453">
        <v>8.8000000000000007</v>
      </c>
      <c r="H453">
        <v>1</v>
      </c>
      <c r="I453">
        <v>36.880000000000003</v>
      </c>
      <c r="J453">
        <v>10.32</v>
      </c>
      <c r="K453">
        <v>3.82</v>
      </c>
      <c r="L453">
        <v>1.1100000000000001</v>
      </c>
      <c r="M453" s="40" t="s">
        <v>154</v>
      </c>
      <c r="N453">
        <v>21.52</v>
      </c>
      <c r="O453">
        <v>45.57</v>
      </c>
      <c r="P453">
        <v>-8.69</v>
      </c>
      <c r="Q453">
        <v>-0.23599999999999999</v>
      </c>
      <c r="R453">
        <v>4.1900000000000004</v>
      </c>
      <c r="S453" s="40" t="s">
        <v>155</v>
      </c>
    </row>
    <row r="454" spans="1:19" x14ac:dyDescent="0.45">
      <c r="A454" s="40" t="s">
        <v>115</v>
      </c>
      <c r="B454" s="40" t="s">
        <v>116</v>
      </c>
      <c r="C454">
        <v>46.93</v>
      </c>
      <c r="D454">
        <v>15.82</v>
      </c>
      <c r="E454">
        <v>5.58</v>
      </c>
      <c r="F454">
        <v>0.03</v>
      </c>
      <c r="G454">
        <v>3.01</v>
      </c>
      <c r="H454">
        <v>3</v>
      </c>
      <c r="I454">
        <v>140.79</v>
      </c>
      <c r="J454">
        <v>47.46</v>
      </c>
      <c r="K454">
        <v>16.739999999999998</v>
      </c>
      <c r="L454">
        <v>4.22</v>
      </c>
      <c r="M454" s="40" t="s">
        <v>66</v>
      </c>
      <c r="N454">
        <v>0</v>
      </c>
      <c r="O454">
        <v>71.430000000000007</v>
      </c>
      <c r="P454">
        <v>69.36</v>
      </c>
      <c r="Q454">
        <v>0.49299999999999999</v>
      </c>
      <c r="R454">
        <v>46.77</v>
      </c>
      <c r="S454" s="40" t="s">
        <v>67</v>
      </c>
    </row>
    <row r="455" spans="1:19" x14ac:dyDescent="0.45">
      <c r="A455" s="40" t="s">
        <v>89</v>
      </c>
      <c r="B455" s="40" t="s">
        <v>90</v>
      </c>
      <c r="C455">
        <v>64.680000000000007</v>
      </c>
      <c r="D455">
        <v>23.18</v>
      </c>
      <c r="E455">
        <v>6.51</v>
      </c>
      <c r="F455">
        <v>0.03</v>
      </c>
      <c r="G455">
        <v>24.8</v>
      </c>
      <c r="H455">
        <v>3</v>
      </c>
      <c r="I455">
        <v>194.04</v>
      </c>
      <c r="J455">
        <v>69.540000000000006</v>
      </c>
      <c r="K455">
        <v>19.53</v>
      </c>
      <c r="L455">
        <v>5.82</v>
      </c>
      <c r="M455" s="40" t="s">
        <v>66</v>
      </c>
      <c r="N455">
        <v>0</v>
      </c>
      <c r="O455">
        <v>119.69</v>
      </c>
      <c r="P455">
        <v>74.349999999999994</v>
      </c>
      <c r="Q455">
        <v>0.38300000000000001</v>
      </c>
      <c r="R455">
        <v>7.82</v>
      </c>
      <c r="S455" s="40" t="s">
        <v>67</v>
      </c>
    </row>
    <row r="456" spans="1:19" x14ac:dyDescent="0.45">
      <c r="A456" s="40" t="s">
        <v>89</v>
      </c>
      <c r="B456" s="40" t="s">
        <v>140</v>
      </c>
      <c r="C456">
        <v>37.74</v>
      </c>
      <c r="D456">
        <v>8.81</v>
      </c>
      <c r="E456">
        <v>4.3099999999999996</v>
      </c>
      <c r="F456">
        <v>0.03</v>
      </c>
      <c r="G456">
        <v>17.489999999999998</v>
      </c>
      <c r="H456">
        <v>2</v>
      </c>
      <c r="I456">
        <v>75.48</v>
      </c>
      <c r="J456">
        <v>17.62</v>
      </c>
      <c r="K456">
        <v>8.6199999999999992</v>
      </c>
      <c r="L456">
        <v>2.2599999999999998</v>
      </c>
      <c r="M456" s="40" t="s">
        <v>66</v>
      </c>
      <c r="N456">
        <v>0</v>
      </c>
      <c r="O456">
        <v>45.99</v>
      </c>
      <c r="P456">
        <v>29.49</v>
      </c>
      <c r="Q456">
        <v>0.39100000000000001</v>
      </c>
      <c r="R456">
        <v>4.32</v>
      </c>
      <c r="S456" s="40" t="s">
        <v>67</v>
      </c>
    </row>
    <row r="457" spans="1:19" x14ac:dyDescent="0.45">
      <c r="A457" s="40" t="s">
        <v>83</v>
      </c>
      <c r="B457" s="40" t="s">
        <v>84</v>
      </c>
      <c r="C457">
        <v>25.91</v>
      </c>
      <c r="D457">
        <v>5.9</v>
      </c>
      <c r="E457">
        <v>3.77</v>
      </c>
      <c r="F457">
        <v>0.03</v>
      </c>
      <c r="G457">
        <v>7.43</v>
      </c>
      <c r="H457">
        <v>2</v>
      </c>
      <c r="I457">
        <v>51.82</v>
      </c>
      <c r="J457">
        <v>11.8</v>
      </c>
      <c r="K457">
        <v>7.54</v>
      </c>
      <c r="L457">
        <v>1.55</v>
      </c>
      <c r="M457" s="40" t="s">
        <v>66</v>
      </c>
      <c r="N457">
        <v>0</v>
      </c>
      <c r="O457">
        <v>28.32</v>
      </c>
      <c r="P457">
        <v>23.5</v>
      </c>
      <c r="Q457">
        <v>0.45300000000000001</v>
      </c>
      <c r="R457">
        <v>6.97</v>
      </c>
      <c r="S457" s="40" t="s">
        <v>67</v>
      </c>
    </row>
    <row r="458" spans="1:19" x14ac:dyDescent="0.45">
      <c r="A458" s="40" t="s">
        <v>64</v>
      </c>
      <c r="B458" s="40" t="s">
        <v>65</v>
      </c>
      <c r="C458">
        <v>33.950000000000003</v>
      </c>
      <c r="D458">
        <v>10.78</v>
      </c>
      <c r="E458">
        <v>3.86</v>
      </c>
      <c r="F458">
        <v>0.03</v>
      </c>
      <c r="G458">
        <v>4.2</v>
      </c>
      <c r="H458">
        <v>1</v>
      </c>
      <c r="I458">
        <v>33.950000000000003</v>
      </c>
      <c r="J458">
        <v>10.78</v>
      </c>
      <c r="K458">
        <v>3.86</v>
      </c>
      <c r="L458">
        <v>1.02</v>
      </c>
      <c r="M458" s="40" t="s">
        <v>66</v>
      </c>
      <c r="N458">
        <v>0</v>
      </c>
      <c r="O458">
        <v>19.86</v>
      </c>
      <c r="P458">
        <v>14.09</v>
      </c>
      <c r="Q458">
        <v>0.41499999999999998</v>
      </c>
      <c r="R458">
        <v>8.08</v>
      </c>
      <c r="S458" s="40" t="s">
        <v>67</v>
      </c>
    </row>
    <row r="459" spans="1:19" x14ac:dyDescent="0.45">
      <c r="A459" s="40" t="s">
        <v>149</v>
      </c>
      <c r="B459" s="40" t="s">
        <v>150</v>
      </c>
      <c r="C459">
        <v>31.08</v>
      </c>
      <c r="D459">
        <v>7.33</v>
      </c>
      <c r="E459">
        <v>4.66</v>
      </c>
      <c r="F459">
        <v>0.03</v>
      </c>
      <c r="G459">
        <v>26.99</v>
      </c>
      <c r="H459">
        <v>3</v>
      </c>
      <c r="I459">
        <v>93.24</v>
      </c>
      <c r="J459">
        <v>21.99</v>
      </c>
      <c r="K459">
        <v>13.98</v>
      </c>
      <c r="L459">
        <v>2.8</v>
      </c>
      <c r="M459" s="40" t="s">
        <v>66</v>
      </c>
      <c r="N459">
        <v>0</v>
      </c>
      <c r="O459">
        <v>65.760000000000005</v>
      </c>
      <c r="P459">
        <v>27.48</v>
      </c>
      <c r="Q459">
        <v>0.29499999999999998</v>
      </c>
      <c r="R459">
        <v>3.45</v>
      </c>
      <c r="S459" s="40" t="s">
        <v>67</v>
      </c>
    </row>
    <row r="460" spans="1:19" x14ac:dyDescent="0.45">
      <c r="A460" s="40" t="s">
        <v>149</v>
      </c>
      <c r="B460" s="40" t="s">
        <v>150</v>
      </c>
      <c r="C460">
        <v>29.04</v>
      </c>
      <c r="D460">
        <v>7.2</v>
      </c>
      <c r="E460">
        <v>4.72</v>
      </c>
      <c r="F460">
        <v>0.03</v>
      </c>
      <c r="G460">
        <v>6.48</v>
      </c>
      <c r="H460">
        <v>1</v>
      </c>
      <c r="I460">
        <v>29.04</v>
      </c>
      <c r="J460">
        <v>7.2</v>
      </c>
      <c r="K460">
        <v>4.72</v>
      </c>
      <c r="L460">
        <v>0.87</v>
      </c>
      <c r="M460" s="40" t="s">
        <v>66</v>
      </c>
      <c r="N460">
        <v>0</v>
      </c>
      <c r="O460">
        <v>19.27</v>
      </c>
      <c r="P460">
        <v>9.77</v>
      </c>
      <c r="Q460">
        <v>0.33600000000000002</v>
      </c>
      <c r="R460">
        <v>4.4800000000000004</v>
      </c>
      <c r="S460" s="40" t="s">
        <v>67</v>
      </c>
    </row>
    <row r="461" spans="1:19" x14ac:dyDescent="0.45">
      <c r="A461" s="40" t="s">
        <v>74</v>
      </c>
      <c r="B461" s="40" t="s">
        <v>75</v>
      </c>
      <c r="C461">
        <v>47.62</v>
      </c>
      <c r="D461">
        <v>14.84</v>
      </c>
      <c r="E461">
        <v>6.87</v>
      </c>
      <c r="F461">
        <v>0.03</v>
      </c>
      <c r="G461">
        <v>9.42</v>
      </c>
      <c r="H461">
        <v>1</v>
      </c>
      <c r="I461">
        <v>47.62</v>
      </c>
      <c r="J461">
        <v>14.84</v>
      </c>
      <c r="K461">
        <v>6.87</v>
      </c>
      <c r="L461">
        <v>1.43</v>
      </c>
      <c r="M461" s="40" t="s">
        <v>66</v>
      </c>
      <c r="N461">
        <v>0</v>
      </c>
      <c r="O461">
        <v>32.56</v>
      </c>
      <c r="P461">
        <v>15.06</v>
      </c>
      <c r="Q461">
        <v>0.316</v>
      </c>
      <c r="R461">
        <v>5.0599999999999996</v>
      </c>
      <c r="S461" s="40" t="s">
        <v>67</v>
      </c>
    </row>
    <row r="462" spans="1:19" x14ac:dyDescent="0.45">
      <c r="A462" s="40" t="s">
        <v>89</v>
      </c>
      <c r="B462" s="40" t="s">
        <v>140</v>
      </c>
      <c r="C462">
        <v>44.22</v>
      </c>
      <c r="D462">
        <v>8.43</v>
      </c>
      <c r="E462">
        <v>4.24</v>
      </c>
      <c r="F462">
        <v>0.03</v>
      </c>
      <c r="G462">
        <v>25.02</v>
      </c>
      <c r="H462">
        <v>3</v>
      </c>
      <c r="I462">
        <v>132.66</v>
      </c>
      <c r="J462">
        <v>25.29</v>
      </c>
      <c r="K462">
        <v>12.72</v>
      </c>
      <c r="L462">
        <v>3.98</v>
      </c>
      <c r="M462" s="40" t="s">
        <v>66</v>
      </c>
      <c r="N462">
        <v>0</v>
      </c>
      <c r="O462">
        <v>67.010000000000005</v>
      </c>
      <c r="P462">
        <v>65.650000000000006</v>
      </c>
      <c r="Q462">
        <v>0.495</v>
      </c>
      <c r="R462">
        <v>5.3</v>
      </c>
      <c r="S462" s="40" t="s">
        <v>67</v>
      </c>
    </row>
    <row r="463" spans="1:19" x14ac:dyDescent="0.45">
      <c r="A463" s="40" t="s">
        <v>109</v>
      </c>
      <c r="B463" s="40" t="s">
        <v>110</v>
      </c>
      <c r="C463">
        <v>21.74</v>
      </c>
      <c r="D463">
        <v>3.76</v>
      </c>
      <c r="E463">
        <v>2.52</v>
      </c>
      <c r="F463">
        <v>0.03</v>
      </c>
      <c r="G463">
        <v>5.93</v>
      </c>
      <c r="H463">
        <v>2</v>
      </c>
      <c r="I463">
        <v>43.48</v>
      </c>
      <c r="J463">
        <v>7.52</v>
      </c>
      <c r="K463">
        <v>5.04</v>
      </c>
      <c r="L463">
        <v>1.3</v>
      </c>
      <c r="M463" s="40" t="s">
        <v>66</v>
      </c>
      <c r="N463">
        <v>0</v>
      </c>
      <c r="O463">
        <v>19.79</v>
      </c>
      <c r="P463">
        <v>23.69</v>
      </c>
      <c r="Q463">
        <v>0.54500000000000004</v>
      </c>
      <c r="R463">
        <v>7.33</v>
      </c>
      <c r="S463" s="40" t="s">
        <v>67</v>
      </c>
    </row>
    <row r="464" spans="1:19" x14ac:dyDescent="0.45">
      <c r="A464" s="40" t="s">
        <v>74</v>
      </c>
      <c r="B464" s="40" t="s">
        <v>75</v>
      </c>
      <c r="C464">
        <v>43.99</v>
      </c>
      <c r="D464">
        <v>13.37</v>
      </c>
      <c r="E464">
        <v>7.44</v>
      </c>
      <c r="F464">
        <v>0.03</v>
      </c>
      <c r="G464">
        <v>8.4499999999999993</v>
      </c>
      <c r="H464">
        <v>1</v>
      </c>
      <c r="I464">
        <v>43.99</v>
      </c>
      <c r="J464">
        <v>13.37</v>
      </c>
      <c r="K464">
        <v>7.44</v>
      </c>
      <c r="L464">
        <v>1.32</v>
      </c>
      <c r="M464" s="40" t="s">
        <v>66</v>
      </c>
      <c r="N464">
        <v>0</v>
      </c>
      <c r="O464">
        <v>30.58</v>
      </c>
      <c r="P464">
        <v>13.41</v>
      </c>
      <c r="Q464">
        <v>0.30499999999999999</v>
      </c>
      <c r="R464">
        <v>5.21</v>
      </c>
      <c r="S464" s="40" t="s">
        <v>67</v>
      </c>
    </row>
    <row r="465" spans="1:19" x14ac:dyDescent="0.45">
      <c r="A465" s="40" t="s">
        <v>135</v>
      </c>
      <c r="B465" s="40" t="s">
        <v>136</v>
      </c>
      <c r="C465">
        <v>13.91</v>
      </c>
      <c r="D465">
        <v>2.0099999999999998</v>
      </c>
      <c r="E465">
        <v>1.92</v>
      </c>
      <c r="F465">
        <v>0.03</v>
      </c>
      <c r="G465">
        <v>0</v>
      </c>
      <c r="H465">
        <v>1</v>
      </c>
      <c r="I465">
        <v>13.91</v>
      </c>
      <c r="J465">
        <v>2.0099999999999998</v>
      </c>
      <c r="K465">
        <v>1.92</v>
      </c>
      <c r="L465">
        <v>0.42</v>
      </c>
      <c r="M465" s="40" t="s">
        <v>66</v>
      </c>
      <c r="N465">
        <v>0</v>
      </c>
      <c r="O465">
        <v>4.3499999999999996</v>
      </c>
      <c r="P465">
        <v>9.56</v>
      </c>
      <c r="Q465">
        <v>0.68700000000000006</v>
      </c>
      <c r="R465">
        <v>0</v>
      </c>
      <c r="S465" s="40" t="s">
        <v>67</v>
      </c>
    </row>
    <row r="466" spans="1:19" x14ac:dyDescent="0.45">
      <c r="A466" s="40" t="s">
        <v>89</v>
      </c>
      <c r="B466" s="40" t="s">
        <v>90</v>
      </c>
      <c r="C466">
        <v>60.45</v>
      </c>
      <c r="D466">
        <v>20.98</v>
      </c>
      <c r="E466">
        <v>7.16</v>
      </c>
      <c r="F466">
        <v>0.03</v>
      </c>
      <c r="G466">
        <v>7.66</v>
      </c>
      <c r="H466">
        <v>2</v>
      </c>
      <c r="I466">
        <v>120.9</v>
      </c>
      <c r="J466">
        <v>41.96</v>
      </c>
      <c r="K466">
        <v>14.32</v>
      </c>
      <c r="L466">
        <v>3.63</v>
      </c>
      <c r="M466" s="40" t="s">
        <v>66</v>
      </c>
      <c r="N466">
        <v>0</v>
      </c>
      <c r="O466">
        <v>67.569999999999993</v>
      </c>
      <c r="P466">
        <v>53.33</v>
      </c>
      <c r="Q466">
        <v>0.441</v>
      </c>
      <c r="R466">
        <v>15.78</v>
      </c>
      <c r="S466" s="40" t="s">
        <v>67</v>
      </c>
    </row>
    <row r="467" spans="1:19" x14ac:dyDescent="0.45">
      <c r="A467" s="40" t="s">
        <v>135</v>
      </c>
      <c r="B467" s="40" t="s">
        <v>136</v>
      </c>
      <c r="C467">
        <v>15.06</v>
      </c>
      <c r="D467">
        <v>1.91</v>
      </c>
      <c r="E467">
        <v>2.0299999999999998</v>
      </c>
      <c r="F467">
        <v>0.03</v>
      </c>
      <c r="G467">
        <v>0</v>
      </c>
      <c r="H467">
        <v>1</v>
      </c>
      <c r="I467">
        <v>15.06</v>
      </c>
      <c r="J467">
        <v>1.91</v>
      </c>
      <c r="K467">
        <v>2.0299999999999998</v>
      </c>
      <c r="L467">
        <v>0.45</v>
      </c>
      <c r="M467" s="40" t="s">
        <v>66</v>
      </c>
      <c r="N467">
        <v>0</v>
      </c>
      <c r="O467">
        <v>4.3899999999999997</v>
      </c>
      <c r="P467">
        <v>10.67</v>
      </c>
      <c r="Q467">
        <v>0.70799999999999996</v>
      </c>
      <c r="R467">
        <v>0</v>
      </c>
      <c r="S467" s="40" t="s">
        <v>67</v>
      </c>
    </row>
    <row r="468" spans="1:19" x14ac:dyDescent="0.45">
      <c r="A468" s="40" t="s">
        <v>99</v>
      </c>
      <c r="B468" s="40" t="s">
        <v>100</v>
      </c>
      <c r="C468">
        <v>33.590000000000003</v>
      </c>
      <c r="D468">
        <v>9.36</v>
      </c>
      <c r="E468">
        <v>3.89</v>
      </c>
      <c r="F468">
        <v>0.03</v>
      </c>
      <c r="G468">
        <v>10.63</v>
      </c>
      <c r="H468">
        <v>3</v>
      </c>
      <c r="I468">
        <v>100.77</v>
      </c>
      <c r="J468">
        <v>28.08</v>
      </c>
      <c r="K468">
        <v>11.67</v>
      </c>
      <c r="L468">
        <v>3.02</v>
      </c>
      <c r="M468" s="40" t="s">
        <v>66</v>
      </c>
      <c r="N468">
        <v>0</v>
      </c>
      <c r="O468">
        <v>53.4</v>
      </c>
      <c r="P468">
        <v>47.37</v>
      </c>
      <c r="Q468">
        <v>0.47</v>
      </c>
      <c r="R468">
        <v>9.48</v>
      </c>
      <c r="S468" s="40" t="s">
        <v>67</v>
      </c>
    </row>
    <row r="469" spans="1:19" x14ac:dyDescent="0.45">
      <c r="A469" s="40" t="s">
        <v>109</v>
      </c>
      <c r="B469" s="40" t="s">
        <v>110</v>
      </c>
      <c r="C469">
        <v>19.7</v>
      </c>
      <c r="D469">
        <v>3.64</v>
      </c>
      <c r="E469">
        <v>2.6</v>
      </c>
      <c r="F469">
        <v>0.03</v>
      </c>
      <c r="G469">
        <v>1.94</v>
      </c>
      <c r="H469">
        <v>1</v>
      </c>
      <c r="I469">
        <v>19.7</v>
      </c>
      <c r="J469">
        <v>3.64</v>
      </c>
      <c r="K469">
        <v>2.6</v>
      </c>
      <c r="L469">
        <v>0.59</v>
      </c>
      <c r="M469" s="40" t="s">
        <v>66</v>
      </c>
      <c r="N469">
        <v>0</v>
      </c>
      <c r="O469">
        <v>8.77</v>
      </c>
      <c r="P469">
        <v>10.93</v>
      </c>
      <c r="Q469">
        <v>0.55500000000000005</v>
      </c>
      <c r="R469">
        <v>10.15</v>
      </c>
      <c r="S469" s="40" t="s">
        <v>67</v>
      </c>
    </row>
    <row r="470" spans="1:19" x14ac:dyDescent="0.45">
      <c r="A470" s="40" t="s">
        <v>64</v>
      </c>
      <c r="B470" s="40" t="s">
        <v>65</v>
      </c>
      <c r="C470">
        <v>31.62</v>
      </c>
      <c r="D470">
        <v>10.74</v>
      </c>
      <c r="E470">
        <v>4.47</v>
      </c>
      <c r="F470">
        <v>0.03</v>
      </c>
      <c r="G470">
        <v>5.48</v>
      </c>
      <c r="H470">
        <v>1</v>
      </c>
      <c r="I470">
        <v>31.62</v>
      </c>
      <c r="J470">
        <v>10.74</v>
      </c>
      <c r="K470">
        <v>4.47</v>
      </c>
      <c r="L470">
        <v>0.95</v>
      </c>
      <c r="M470" s="40" t="s">
        <v>66</v>
      </c>
      <c r="N470">
        <v>0</v>
      </c>
      <c r="O470">
        <v>21.64</v>
      </c>
      <c r="P470">
        <v>9.98</v>
      </c>
      <c r="Q470">
        <v>0.316</v>
      </c>
      <c r="R470">
        <v>5.77</v>
      </c>
      <c r="S470" s="40" t="s">
        <v>67</v>
      </c>
    </row>
    <row r="471" spans="1:19" x14ac:dyDescent="0.45">
      <c r="A471" s="40" t="s">
        <v>83</v>
      </c>
      <c r="B471" s="40" t="s">
        <v>84</v>
      </c>
      <c r="C471">
        <v>23.51</v>
      </c>
      <c r="D471">
        <v>6.33</v>
      </c>
      <c r="E471">
        <v>3.28</v>
      </c>
      <c r="F471">
        <v>0.03</v>
      </c>
      <c r="G471">
        <v>4.32</v>
      </c>
      <c r="H471">
        <v>3</v>
      </c>
      <c r="I471">
        <v>70.53</v>
      </c>
      <c r="J471">
        <v>18.989999999999998</v>
      </c>
      <c r="K471">
        <v>9.84</v>
      </c>
      <c r="L471">
        <v>2.12</v>
      </c>
      <c r="M471" s="40" t="s">
        <v>66</v>
      </c>
      <c r="N471">
        <v>0</v>
      </c>
      <c r="O471">
        <v>35.270000000000003</v>
      </c>
      <c r="P471">
        <v>35.26</v>
      </c>
      <c r="Q471">
        <v>0.5</v>
      </c>
      <c r="R471">
        <v>16.329999999999998</v>
      </c>
      <c r="S471" s="40" t="s">
        <v>67</v>
      </c>
    </row>
    <row r="472" spans="1:19" x14ac:dyDescent="0.45">
      <c r="A472" s="40" t="s">
        <v>83</v>
      </c>
      <c r="B472" s="40" t="s">
        <v>84</v>
      </c>
      <c r="C472">
        <v>25.13</v>
      </c>
      <c r="D472">
        <v>6.17</v>
      </c>
      <c r="E472">
        <v>3.71</v>
      </c>
      <c r="F472">
        <v>0.03</v>
      </c>
      <c r="G472">
        <v>0</v>
      </c>
      <c r="H472">
        <v>1</v>
      </c>
      <c r="I472">
        <v>25.13</v>
      </c>
      <c r="J472">
        <v>6.17</v>
      </c>
      <c r="K472">
        <v>3.71</v>
      </c>
      <c r="L472">
        <v>0.75</v>
      </c>
      <c r="M472" s="40" t="s">
        <v>66</v>
      </c>
      <c r="N472">
        <v>0</v>
      </c>
      <c r="O472">
        <v>10.63</v>
      </c>
      <c r="P472">
        <v>14.5</v>
      </c>
      <c r="Q472">
        <v>0.57699999999999996</v>
      </c>
      <c r="R472">
        <v>0</v>
      </c>
      <c r="S472" s="40" t="s">
        <v>67</v>
      </c>
    </row>
    <row r="473" spans="1:19" x14ac:dyDescent="0.45">
      <c r="A473" s="40" t="s">
        <v>99</v>
      </c>
      <c r="B473" s="40" t="s">
        <v>100</v>
      </c>
      <c r="C473">
        <v>33.1</v>
      </c>
      <c r="D473">
        <v>9.06</v>
      </c>
      <c r="E473">
        <v>4.13</v>
      </c>
      <c r="F473">
        <v>0.03</v>
      </c>
      <c r="G473">
        <v>8.7899999999999991</v>
      </c>
      <c r="H473">
        <v>1</v>
      </c>
      <c r="I473">
        <v>33.1</v>
      </c>
      <c r="J473">
        <v>9.06</v>
      </c>
      <c r="K473">
        <v>4.13</v>
      </c>
      <c r="L473">
        <v>0.99</v>
      </c>
      <c r="M473" s="40" t="s">
        <v>66</v>
      </c>
      <c r="N473">
        <v>0</v>
      </c>
      <c r="O473">
        <v>22.97</v>
      </c>
      <c r="P473">
        <v>10.130000000000001</v>
      </c>
      <c r="Q473">
        <v>0.30599999999999999</v>
      </c>
      <c r="R473">
        <v>3.77</v>
      </c>
      <c r="S473" s="40" t="s">
        <v>67</v>
      </c>
    </row>
    <row r="474" spans="1:19" x14ac:dyDescent="0.45">
      <c r="A474" s="40" t="s">
        <v>135</v>
      </c>
      <c r="B474" s="40" t="s">
        <v>136</v>
      </c>
      <c r="C474">
        <v>16.059999999999999</v>
      </c>
      <c r="D474">
        <v>2.14</v>
      </c>
      <c r="E474">
        <v>2.0499999999999998</v>
      </c>
      <c r="F474">
        <v>0.03</v>
      </c>
      <c r="G474">
        <v>6.31</v>
      </c>
      <c r="H474">
        <v>1</v>
      </c>
      <c r="I474">
        <v>16.059999999999999</v>
      </c>
      <c r="J474">
        <v>2.14</v>
      </c>
      <c r="K474">
        <v>2.0499999999999998</v>
      </c>
      <c r="L474">
        <v>0.48</v>
      </c>
      <c r="M474" s="40" t="s">
        <v>66</v>
      </c>
      <c r="N474">
        <v>0</v>
      </c>
      <c r="O474">
        <v>10.98</v>
      </c>
      <c r="P474">
        <v>5.08</v>
      </c>
      <c r="Q474">
        <v>0.316</v>
      </c>
      <c r="R474">
        <v>2.5499999999999998</v>
      </c>
      <c r="S474" s="40" t="s">
        <v>67</v>
      </c>
    </row>
    <row r="475" spans="1:19" x14ac:dyDescent="0.45">
      <c r="A475" s="40" t="s">
        <v>74</v>
      </c>
      <c r="B475" s="40" t="s">
        <v>75</v>
      </c>
      <c r="C475">
        <v>45.67</v>
      </c>
      <c r="D475">
        <v>14.42</v>
      </c>
      <c r="E475">
        <v>6.42</v>
      </c>
      <c r="F475">
        <v>0.03</v>
      </c>
      <c r="G475">
        <v>2.08</v>
      </c>
      <c r="H475">
        <v>1</v>
      </c>
      <c r="I475">
        <v>45.67</v>
      </c>
      <c r="J475">
        <v>14.42</v>
      </c>
      <c r="K475">
        <v>6.42</v>
      </c>
      <c r="L475">
        <v>1.37</v>
      </c>
      <c r="M475" s="40" t="s">
        <v>154</v>
      </c>
      <c r="N475">
        <v>23.81</v>
      </c>
      <c r="O475">
        <v>48.1</v>
      </c>
      <c r="P475">
        <v>-2.4300000000000002</v>
      </c>
      <c r="Q475">
        <v>-5.2999999999999999E-2</v>
      </c>
      <c r="R475">
        <v>21.96</v>
      </c>
      <c r="S475" s="40" t="s">
        <v>155</v>
      </c>
    </row>
    <row r="476" spans="1:19" x14ac:dyDescent="0.45">
      <c r="A476" s="40" t="s">
        <v>89</v>
      </c>
      <c r="B476" s="40" t="s">
        <v>140</v>
      </c>
      <c r="C476">
        <v>41.14</v>
      </c>
      <c r="D476">
        <v>9.15</v>
      </c>
      <c r="E476">
        <v>4.0199999999999996</v>
      </c>
      <c r="F476">
        <v>0.03</v>
      </c>
      <c r="G476">
        <v>11.41</v>
      </c>
      <c r="H476">
        <v>2</v>
      </c>
      <c r="I476">
        <v>82.28</v>
      </c>
      <c r="J476">
        <v>18.3</v>
      </c>
      <c r="K476">
        <v>8.0399999999999991</v>
      </c>
      <c r="L476">
        <v>2.4700000000000002</v>
      </c>
      <c r="M476" s="40" t="s">
        <v>66</v>
      </c>
      <c r="N476">
        <v>0</v>
      </c>
      <c r="O476">
        <v>40.22</v>
      </c>
      <c r="P476">
        <v>42.06</v>
      </c>
      <c r="Q476">
        <v>0.51100000000000001</v>
      </c>
      <c r="R476">
        <v>7.21</v>
      </c>
      <c r="S476" s="40" t="s">
        <v>67</v>
      </c>
    </row>
    <row r="477" spans="1:19" x14ac:dyDescent="0.45">
      <c r="A477" s="40" t="s">
        <v>74</v>
      </c>
      <c r="B477" s="40" t="s">
        <v>75</v>
      </c>
      <c r="C477">
        <v>43.19</v>
      </c>
      <c r="D477">
        <v>14.03</v>
      </c>
      <c r="E477">
        <v>7.37</v>
      </c>
      <c r="F477">
        <v>0.03</v>
      </c>
      <c r="G477">
        <v>1.37</v>
      </c>
      <c r="H477">
        <v>1</v>
      </c>
      <c r="I477">
        <v>43.19</v>
      </c>
      <c r="J477">
        <v>14.03</v>
      </c>
      <c r="K477">
        <v>7.37</v>
      </c>
      <c r="L477">
        <v>1.3</v>
      </c>
      <c r="M477" s="40" t="s">
        <v>66</v>
      </c>
      <c r="N477">
        <v>0</v>
      </c>
      <c r="O477">
        <v>24.07</v>
      </c>
      <c r="P477">
        <v>19.12</v>
      </c>
      <c r="Q477">
        <v>0.443</v>
      </c>
      <c r="R477">
        <v>31.53</v>
      </c>
      <c r="S477" s="40" t="s">
        <v>67</v>
      </c>
    </row>
    <row r="478" spans="1:19" x14ac:dyDescent="0.45">
      <c r="A478" s="40" t="s">
        <v>89</v>
      </c>
      <c r="B478" s="40" t="s">
        <v>140</v>
      </c>
      <c r="C478">
        <v>44.11</v>
      </c>
      <c r="D478">
        <v>8.6199999999999992</v>
      </c>
      <c r="E478">
        <v>4.4000000000000004</v>
      </c>
      <c r="F478">
        <v>0.03</v>
      </c>
      <c r="G478">
        <v>0</v>
      </c>
      <c r="H478">
        <v>2</v>
      </c>
      <c r="I478">
        <v>88.22</v>
      </c>
      <c r="J478">
        <v>17.239999999999998</v>
      </c>
      <c r="K478">
        <v>8.8000000000000007</v>
      </c>
      <c r="L478">
        <v>2.65</v>
      </c>
      <c r="M478" s="40" t="s">
        <v>66</v>
      </c>
      <c r="N478">
        <v>0</v>
      </c>
      <c r="O478">
        <v>28.69</v>
      </c>
      <c r="P478">
        <v>59.53</v>
      </c>
      <c r="Q478">
        <v>0.67500000000000004</v>
      </c>
      <c r="R478">
        <v>0</v>
      </c>
      <c r="S478" s="40" t="s">
        <v>67</v>
      </c>
    </row>
    <row r="479" spans="1:19" x14ac:dyDescent="0.45">
      <c r="A479" s="40" t="s">
        <v>115</v>
      </c>
      <c r="B479" s="40" t="s">
        <v>116</v>
      </c>
      <c r="C479">
        <v>48.92</v>
      </c>
      <c r="D479">
        <v>16.309999999999999</v>
      </c>
      <c r="E479">
        <v>6.33</v>
      </c>
      <c r="F479">
        <v>0.03</v>
      </c>
      <c r="G479">
        <v>0</v>
      </c>
      <c r="H479">
        <v>2</v>
      </c>
      <c r="I479">
        <v>97.84</v>
      </c>
      <c r="J479">
        <v>32.619999999999997</v>
      </c>
      <c r="K479">
        <v>12.66</v>
      </c>
      <c r="L479">
        <v>2.94</v>
      </c>
      <c r="M479" s="40" t="s">
        <v>154</v>
      </c>
      <c r="N479">
        <v>44.67</v>
      </c>
      <c r="O479">
        <v>92.89</v>
      </c>
      <c r="P479">
        <v>4.95</v>
      </c>
      <c r="Q479">
        <v>5.0999999999999997E-2</v>
      </c>
      <c r="R479">
        <v>0</v>
      </c>
      <c r="S479" s="40" t="s">
        <v>155</v>
      </c>
    </row>
    <row r="480" spans="1:19" x14ac:dyDescent="0.45">
      <c r="A480" s="40" t="s">
        <v>83</v>
      </c>
      <c r="B480" s="40" t="s">
        <v>84</v>
      </c>
      <c r="C480">
        <v>27.36</v>
      </c>
      <c r="D480">
        <v>5.76</v>
      </c>
      <c r="E480">
        <v>3.98</v>
      </c>
      <c r="F480">
        <v>0.03</v>
      </c>
      <c r="G480">
        <v>9.27</v>
      </c>
      <c r="H480">
        <v>1</v>
      </c>
      <c r="I480">
        <v>27.36</v>
      </c>
      <c r="J480">
        <v>5.76</v>
      </c>
      <c r="K480">
        <v>3.98</v>
      </c>
      <c r="L480">
        <v>0.82</v>
      </c>
      <c r="M480" s="40" t="s">
        <v>66</v>
      </c>
      <c r="N480">
        <v>0</v>
      </c>
      <c r="O480">
        <v>19.829999999999998</v>
      </c>
      <c r="P480">
        <v>7.53</v>
      </c>
      <c r="Q480">
        <v>0.27500000000000002</v>
      </c>
      <c r="R480">
        <v>2.95</v>
      </c>
      <c r="S480" s="40" t="s">
        <v>67</v>
      </c>
    </row>
    <row r="481" spans="1:19" x14ac:dyDescent="0.45">
      <c r="A481" s="40" t="s">
        <v>89</v>
      </c>
      <c r="B481" s="40" t="s">
        <v>90</v>
      </c>
      <c r="C481">
        <v>66.11</v>
      </c>
      <c r="D481">
        <v>21.01</v>
      </c>
      <c r="E481">
        <v>7.92</v>
      </c>
      <c r="F481">
        <v>0.03</v>
      </c>
      <c r="G481">
        <v>4.09</v>
      </c>
      <c r="H481">
        <v>1</v>
      </c>
      <c r="I481">
        <v>66.11</v>
      </c>
      <c r="J481">
        <v>21.01</v>
      </c>
      <c r="K481">
        <v>7.92</v>
      </c>
      <c r="L481">
        <v>1.98</v>
      </c>
      <c r="M481" s="40" t="s">
        <v>66</v>
      </c>
      <c r="N481">
        <v>0</v>
      </c>
      <c r="O481">
        <v>35</v>
      </c>
      <c r="P481">
        <v>31.11</v>
      </c>
      <c r="Q481">
        <v>0.47099999999999997</v>
      </c>
      <c r="R481">
        <v>16.16</v>
      </c>
      <c r="S481" s="40" t="s">
        <v>67</v>
      </c>
    </row>
    <row r="482" spans="1:19" x14ac:dyDescent="0.45">
      <c r="A482" s="40" t="s">
        <v>74</v>
      </c>
      <c r="B482" s="40" t="s">
        <v>75</v>
      </c>
      <c r="C482">
        <v>42.14</v>
      </c>
      <c r="D482">
        <v>14.42</v>
      </c>
      <c r="E482">
        <v>6.18</v>
      </c>
      <c r="F482">
        <v>0.03</v>
      </c>
      <c r="G482">
        <v>6.19</v>
      </c>
      <c r="H482">
        <v>1</v>
      </c>
      <c r="I482">
        <v>42.14</v>
      </c>
      <c r="J482">
        <v>14.42</v>
      </c>
      <c r="K482">
        <v>6.18</v>
      </c>
      <c r="L482">
        <v>1.26</v>
      </c>
      <c r="M482" s="40" t="s">
        <v>66</v>
      </c>
      <c r="N482">
        <v>0</v>
      </c>
      <c r="O482">
        <v>28.05</v>
      </c>
      <c r="P482">
        <v>14.09</v>
      </c>
      <c r="Q482">
        <v>0.33400000000000002</v>
      </c>
      <c r="R482">
        <v>6.81</v>
      </c>
      <c r="S482" s="40" t="s">
        <v>67</v>
      </c>
    </row>
    <row r="483" spans="1:19" x14ac:dyDescent="0.45">
      <c r="A483" s="40" t="s">
        <v>135</v>
      </c>
      <c r="B483" s="40" t="s">
        <v>136</v>
      </c>
      <c r="C483">
        <v>15.75</v>
      </c>
      <c r="D483">
        <v>2.11</v>
      </c>
      <c r="E483">
        <v>2.08</v>
      </c>
      <c r="F483">
        <v>0.03</v>
      </c>
      <c r="G483">
        <v>9.14</v>
      </c>
      <c r="H483">
        <v>1</v>
      </c>
      <c r="I483">
        <v>15.75</v>
      </c>
      <c r="J483">
        <v>2.11</v>
      </c>
      <c r="K483">
        <v>2.08</v>
      </c>
      <c r="L483">
        <v>0.47</v>
      </c>
      <c r="M483" s="40" t="s">
        <v>66</v>
      </c>
      <c r="N483">
        <v>0</v>
      </c>
      <c r="O483">
        <v>13.8</v>
      </c>
      <c r="P483">
        <v>1.95</v>
      </c>
      <c r="Q483">
        <v>0.124</v>
      </c>
      <c r="R483">
        <v>1.72</v>
      </c>
      <c r="S483" s="40" t="s">
        <v>67</v>
      </c>
    </row>
    <row r="484" spans="1:19" x14ac:dyDescent="0.45">
      <c r="A484" s="40" t="s">
        <v>64</v>
      </c>
      <c r="B484" s="40" t="s">
        <v>65</v>
      </c>
      <c r="C484">
        <v>34.369999999999997</v>
      </c>
      <c r="D484">
        <v>10.41</v>
      </c>
      <c r="E484">
        <v>4.17</v>
      </c>
      <c r="F484">
        <v>0.03</v>
      </c>
      <c r="G484">
        <v>16.47</v>
      </c>
      <c r="H484">
        <v>2</v>
      </c>
      <c r="I484">
        <v>68.739999999999995</v>
      </c>
      <c r="J484">
        <v>20.82</v>
      </c>
      <c r="K484">
        <v>8.34</v>
      </c>
      <c r="L484">
        <v>2.06</v>
      </c>
      <c r="M484" s="40" t="s">
        <v>66</v>
      </c>
      <c r="N484">
        <v>0</v>
      </c>
      <c r="O484">
        <v>47.69</v>
      </c>
      <c r="P484">
        <v>21.05</v>
      </c>
      <c r="Q484">
        <v>0.30599999999999999</v>
      </c>
      <c r="R484">
        <v>4.17</v>
      </c>
      <c r="S484" s="40" t="s">
        <v>67</v>
      </c>
    </row>
    <row r="485" spans="1:19" x14ac:dyDescent="0.45">
      <c r="A485" s="40" t="s">
        <v>135</v>
      </c>
      <c r="B485" s="40" t="s">
        <v>136</v>
      </c>
      <c r="C485">
        <v>13.62</v>
      </c>
      <c r="D485">
        <v>2.06</v>
      </c>
      <c r="E485">
        <v>2.04</v>
      </c>
      <c r="F485">
        <v>0.03</v>
      </c>
      <c r="G485">
        <v>3.98</v>
      </c>
      <c r="H485">
        <v>3</v>
      </c>
      <c r="I485">
        <v>40.86</v>
      </c>
      <c r="J485">
        <v>6.18</v>
      </c>
      <c r="K485">
        <v>6.12</v>
      </c>
      <c r="L485">
        <v>1.23</v>
      </c>
      <c r="M485" s="40" t="s">
        <v>66</v>
      </c>
      <c r="N485">
        <v>0</v>
      </c>
      <c r="O485">
        <v>17.510000000000002</v>
      </c>
      <c r="P485">
        <v>23.35</v>
      </c>
      <c r="Q485">
        <v>0.57099999999999995</v>
      </c>
      <c r="R485">
        <v>10.27</v>
      </c>
      <c r="S485" s="40" t="s">
        <v>67</v>
      </c>
    </row>
    <row r="486" spans="1:19" x14ac:dyDescent="0.45">
      <c r="A486" s="40" t="s">
        <v>64</v>
      </c>
      <c r="B486" s="40" t="s">
        <v>65</v>
      </c>
      <c r="C486">
        <v>35.36</v>
      </c>
      <c r="D486">
        <v>9.56</v>
      </c>
      <c r="E486">
        <v>4.0199999999999996</v>
      </c>
      <c r="F486">
        <v>0.03</v>
      </c>
      <c r="G486">
        <v>4.4400000000000004</v>
      </c>
      <c r="H486">
        <v>1</v>
      </c>
      <c r="I486">
        <v>35.36</v>
      </c>
      <c r="J486">
        <v>9.56</v>
      </c>
      <c r="K486">
        <v>4.0199999999999996</v>
      </c>
      <c r="L486">
        <v>1.06</v>
      </c>
      <c r="M486" s="40" t="s">
        <v>66</v>
      </c>
      <c r="N486">
        <v>0</v>
      </c>
      <c r="O486">
        <v>19.079999999999998</v>
      </c>
      <c r="P486">
        <v>16.28</v>
      </c>
      <c r="Q486">
        <v>0.46</v>
      </c>
      <c r="R486">
        <v>7.96</v>
      </c>
      <c r="S486" s="40" t="s">
        <v>67</v>
      </c>
    </row>
    <row r="487" spans="1:19" x14ac:dyDescent="0.45">
      <c r="A487" s="40" t="s">
        <v>99</v>
      </c>
      <c r="B487" s="40" t="s">
        <v>100</v>
      </c>
      <c r="C487">
        <v>38.549999999999997</v>
      </c>
      <c r="D487">
        <v>9.4</v>
      </c>
      <c r="E487">
        <v>3.69</v>
      </c>
      <c r="F487">
        <v>0.03</v>
      </c>
      <c r="G487">
        <v>3.29</v>
      </c>
      <c r="H487">
        <v>2</v>
      </c>
      <c r="I487">
        <v>77.099999999999994</v>
      </c>
      <c r="J487">
        <v>18.8</v>
      </c>
      <c r="K487">
        <v>7.38</v>
      </c>
      <c r="L487">
        <v>2.31</v>
      </c>
      <c r="M487" s="40" t="s">
        <v>66</v>
      </c>
      <c r="N487">
        <v>0</v>
      </c>
      <c r="O487">
        <v>31.78</v>
      </c>
      <c r="P487">
        <v>45.32</v>
      </c>
      <c r="Q487">
        <v>0.58799999999999997</v>
      </c>
      <c r="R487">
        <v>23.43</v>
      </c>
      <c r="S487" s="40" t="s">
        <v>67</v>
      </c>
    </row>
    <row r="488" spans="1:19" x14ac:dyDescent="0.45">
      <c r="A488" s="40" t="s">
        <v>89</v>
      </c>
      <c r="B488" s="40" t="s">
        <v>140</v>
      </c>
      <c r="C488">
        <v>40.130000000000003</v>
      </c>
      <c r="D488">
        <v>8.2799999999999994</v>
      </c>
      <c r="E488">
        <v>4.43</v>
      </c>
      <c r="F488">
        <v>0.03</v>
      </c>
      <c r="G488">
        <v>0</v>
      </c>
      <c r="H488">
        <v>1</v>
      </c>
      <c r="I488">
        <v>40.130000000000003</v>
      </c>
      <c r="J488">
        <v>8.2799999999999994</v>
      </c>
      <c r="K488">
        <v>4.43</v>
      </c>
      <c r="L488">
        <v>1.2</v>
      </c>
      <c r="M488" s="40" t="s">
        <v>66</v>
      </c>
      <c r="N488">
        <v>0</v>
      </c>
      <c r="O488">
        <v>13.91</v>
      </c>
      <c r="P488">
        <v>26.22</v>
      </c>
      <c r="Q488">
        <v>0.65300000000000002</v>
      </c>
      <c r="R488">
        <v>0</v>
      </c>
      <c r="S488" s="40" t="s">
        <v>67</v>
      </c>
    </row>
    <row r="489" spans="1:19" x14ac:dyDescent="0.45">
      <c r="A489" s="40" t="s">
        <v>89</v>
      </c>
      <c r="B489" s="40" t="s">
        <v>140</v>
      </c>
      <c r="C489">
        <v>42.89</v>
      </c>
      <c r="D489">
        <v>8.3000000000000007</v>
      </c>
      <c r="E489">
        <v>3.66</v>
      </c>
      <c r="F489">
        <v>0.03</v>
      </c>
      <c r="G489">
        <v>5.64</v>
      </c>
      <c r="H489">
        <v>1</v>
      </c>
      <c r="I489">
        <v>42.89</v>
      </c>
      <c r="J489">
        <v>8.3000000000000007</v>
      </c>
      <c r="K489">
        <v>3.66</v>
      </c>
      <c r="L489">
        <v>1.29</v>
      </c>
      <c r="M489" s="40" t="s">
        <v>66</v>
      </c>
      <c r="N489">
        <v>0</v>
      </c>
      <c r="O489">
        <v>18.89</v>
      </c>
      <c r="P489">
        <v>24</v>
      </c>
      <c r="Q489">
        <v>0.56000000000000005</v>
      </c>
      <c r="R489">
        <v>7.6</v>
      </c>
      <c r="S489" s="40" t="s">
        <v>67</v>
      </c>
    </row>
    <row r="490" spans="1:19" x14ac:dyDescent="0.45">
      <c r="A490" s="40" t="s">
        <v>135</v>
      </c>
      <c r="B490" s="40" t="s">
        <v>136</v>
      </c>
      <c r="C490">
        <v>14.04</v>
      </c>
      <c r="D490">
        <v>2.09</v>
      </c>
      <c r="E490">
        <v>1.96</v>
      </c>
      <c r="F490">
        <v>0.03</v>
      </c>
      <c r="G490">
        <v>15.59</v>
      </c>
      <c r="H490">
        <v>2</v>
      </c>
      <c r="I490">
        <v>28.08</v>
      </c>
      <c r="J490">
        <v>4.18</v>
      </c>
      <c r="K490">
        <v>3.92</v>
      </c>
      <c r="L490">
        <v>0.84</v>
      </c>
      <c r="M490" s="40" t="s">
        <v>66</v>
      </c>
      <c r="N490">
        <v>0</v>
      </c>
      <c r="O490">
        <v>24.53</v>
      </c>
      <c r="P490">
        <v>3.55</v>
      </c>
      <c r="Q490">
        <v>0.126</v>
      </c>
      <c r="R490">
        <v>1.8</v>
      </c>
      <c r="S490" s="40" t="s">
        <v>67</v>
      </c>
    </row>
    <row r="491" spans="1:19" x14ac:dyDescent="0.45">
      <c r="A491" s="40" t="s">
        <v>99</v>
      </c>
      <c r="B491" s="40" t="s">
        <v>100</v>
      </c>
      <c r="C491">
        <v>36.26</v>
      </c>
      <c r="D491">
        <v>9.6300000000000008</v>
      </c>
      <c r="E491">
        <v>4.03</v>
      </c>
      <c r="F491">
        <v>0.03</v>
      </c>
      <c r="G491">
        <v>10.44</v>
      </c>
      <c r="H491">
        <v>1</v>
      </c>
      <c r="I491">
        <v>36.26</v>
      </c>
      <c r="J491">
        <v>9.6300000000000008</v>
      </c>
      <c r="K491">
        <v>4.03</v>
      </c>
      <c r="L491">
        <v>1.0900000000000001</v>
      </c>
      <c r="M491" s="40" t="s">
        <v>66</v>
      </c>
      <c r="N491">
        <v>0</v>
      </c>
      <c r="O491">
        <v>25.19</v>
      </c>
      <c r="P491">
        <v>11.07</v>
      </c>
      <c r="Q491">
        <v>0.30499999999999999</v>
      </c>
      <c r="R491">
        <v>3.47</v>
      </c>
      <c r="S491" s="40" t="s">
        <v>67</v>
      </c>
    </row>
    <row r="492" spans="1:19" x14ac:dyDescent="0.45">
      <c r="A492" s="40" t="s">
        <v>74</v>
      </c>
      <c r="B492" s="40" t="s">
        <v>75</v>
      </c>
      <c r="C492">
        <v>43.82</v>
      </c>
      <c r="D492">
        <v>14.5</v>
      </c>
      <c r="E492">
        <v>7.01</v>
      </c>
      <c r="F492">
        <v>0.03</v>
      </c>
      <c r="G492">
        <v>18.7</v>
      </c>
      <c r="H492">
        <v>2</v>
      </c>
      <c r="I492">
        <v>87.64</v>
      </c>
      <c r="J492">
        <v>29</v>
      </c>
      <c r="K492">
        <v>14.02</v>
      </c>
      <c r="L492">
        <v>2.63</v>
      </c>
      <c r="M492" s="40" t="s">
        <v>66</v>
      </c>
      <c r="N492">
        <v>0</v>
      </c>
      <c r="O492">
        <v>64.349999999999994</v>
      </c>
      <c r="P492">
        <v>23.29</v>
      </c>
      <c r="Q492">
        <v>0.26600000000000001</v>
      </c>
      <c r="R492">
        <v>4.6900000000000004</v>
      </c>
      <c r="S492" s="40" t="s">
        <v>67</v>
      </c>
    </row>
    <row r="493" spans="1:19" x14ac:dyDescent="0.45">
      <c r="A493" s="40" t="s">
        <v>89</v>
      </c>
      <c r="B493" s="40" t="s">
        <v>140</v>
      </c>
      <c r="C493">
        <v>41.55</v>
      </c>
      <c r="D493">
        <v>8.35</v>
      </c>
      <c r="E493">
        <v>3.9</v>
      </c>
      <c r="F493">
        <v>0.03</v>
      </c>
      <c r="G493">
        <v>6.92</v>
      </c>
      <c r="H493">
        <v>2</v>
      </c>
      <c r="I493">
        <v>83.1</v>
      </c>
      <c r="J493">
        <v>16.7</v>
      </c>
      <c r="K493">
        <v>7.8</v>
      </c>
      <c r="L493">
        <v>2.4900000000000002</v>
      </c>
      <c r="M493" s="40" t="s">
        <v>66</v>
      </c>
      <c r="N493">
        <v>0</v>
      </c>
      <c r="O493">
        <v>33.909999999999997</v>
      </c>
      <c r="P493">
        <v>49.19</v>
      </c>
      <c r="Q493">
        <v>0.59199999999999997</v>
      </c>
      <c r="R493">
        <v>12.01</v>
      </c>
      <c r="S493" s="40" t="s">
        <v>67</v>
      </c>
    </row>
    <row r="494" spans="1:19" x14ac:dyDescent="0.45">
      <c r="A494" s="40" t="s">
        <v>83</v>
      </c>
      <c r="B494" s="40" t="s">
        <v>84</v>
      </c>
      <c r="C494">
        <v>27</v>
      </c>
      <c r="D494">
        <v>5.89</v>
      </c>
      <c r="E494">
        <v>3.5</v>
      </c>
      <c r="F494">
        <v>0.03</v>
      </c>
      <c r="G494">
        <v>30.12</v>
      </c>
      <c r="H494">
        <v>3</v>
      </c>
      <c r="I494">
        <v>81</v>
      </c>
      <c r="J494">
        <v>17.670000000000002</v>
      </c>
      <c r="K494">
        <v>10.5</v>
      </c>
      <c r="L494">
        <v>2.4300000000000002</v>
      </c>
      <c r="M494" s="40" t="s">
        <v>66</v>
      </c>
      <c r="N494">
        <v>0</v>
      </c>
      <c r="O494">
        <v>60.72</v>
      </c>
      <c r="P494">
        <v>20.28</v>
      </c>
      <c r="Q494">
        <v>0.25</v>
      </c>
      <c r="R494">
        <v>2.69</v>
      </c>
      <c r="S494" s="40" t="s">
        <v>67</v>
      </c>
    </row>
    <row r="495" spans="1:19" x14ac:dyDescent="0.45">
      <c r="A495" s="40" t="s">
        <v>83</v>
      </c>
      <c r="B495" s="40" t="s">
        <v>84</v>
      </c>
      <c r="C495">
        <v>23.08</v>
      </c>
      <c r="D495">
        <v>6.17</v>
      </c>
      <c r="E495">
        <v>3.79</v>
      </c>
      <c r="F495">
        <v>0.03</v>
      </c>
      <c r="G495">
        <v>6.69</v>
      </c>
      <c r="H495">
        <v>2</v>
      </c>
      <c r="I495">
        <v>46.16</v>
      </c>
      <c r="J495">
        <v>12.34</v>
      </c>
      <c r="K495">
        <v>7.58</v>
      </c>
      <c r="L495">
        <v>1.38</v>
      </c>
      <c r="M495" s="40" t="s">
        <v>66</v>
      </c>
      <c r="N495">
        <v>0</v>
      </c>
      <c r="O495">
        <v>27.99</v>
      </c>
      <c r="P495">
        <v>18.170000000000002</v>
      </c>
      <c r="Q495">
        <v>0.39400000000000002</v>
      </c>
      <c r="R495">
        <v>6.9</v>
      </c>
      <c r="S495" s="40" t="s">
        <v>67</v>
      </c>
    </row>
    <row r="496" spans="1:19" x14ac:dyDescent="0.45">
      <c r="A496" s="40" t="s">
        <v>64</v>
      </c>
      <c r="B496" s="40" t="s">
        <v>65</v>
      </c>
      <c r="C496">
        <v>33.25</v>
      </c>
      <c r="D496">
        <v>10.35</v>
      </c>
      <c r="E496">
        <v>4.34</v>
      </c>
      <c r="F496">
        <v>0.03</v>
      </c>
      <c r="G496">
        <v>15.31</v>
      </c>
      <c r="H496">
        <v>2</v>
      </c>
      <c r="I496">
        <v>66.5</v>
      </c>
      <c r="J496">
        <v>20.7</v>
      </c>
      <c r="K496">
        <v>8.68</v>
      </c>
      <c r="L496">
        <v>2</v>
      </c>
      <c r="M496" s="40" t="s">
        <v>66</v>
      </c>
      <c r="N496">
        <v>0</v>
      </c>
      <c r="O496">
        <v>46.69</v>
      </c>
      <c r="P496">
        <v>19.809999999999999</v>
      </c>
      <c r="Q496">
        <v>0.29799999999999999</v>
      </c>
      <c r="R496">
        <v>4.34</v>
      </c>
      <c r="S496" s="40" t="s">
        <v>67</v>
      </c>
    </row>
    <row r="497" spans="1:19" x14ac:dyDescent="0.45">
      <c r="A497" s="40" t="s">
        <v>89</v>
      </c>
      <c r="B497" s="40" t="s">
        <v>140</v>
      </c>
      <c r="C497">
        <v>41.49</v>
      </c>
      <c r="D497">
        <v>8.76</v>
      </c>
      <c r="E497">
        <v>4</v>
      </c>
      <c r="F497">
        <v>0.03</v>
      </c>
      <c r="G497">
        <v>4.3899999999999997</v>
      </c>
      <c r="H497">
        <v>1</v>
      </c>
      <c r="I497">
        <v>0</v>
      </c>
      <c r="J497">
        <v>0</v>
      </c>
      <c r="K497">
        <v>0</v>
      </c>
      <c r="L497">
        <v>0</v>
      </c>
      <c r="M497" s="40" t="s">
        <v>66</v>
      </c>
      <c r="N497">
        <v>0</v>
      </c>
      <c r="O497">
        <v>0</v>
      </c>
      <c r="P497">
        <v>-4.3899999999999997</v>
      </c>
      <c r="Q497">
        <v>0</v>
      </c>
      <c r="R497">
        <v>0</v>
      </c>
      <c r="S497" s="40" t="s">
        <v>166</v>
      </c>
    </row>
    <row r="498" spans="1:19" x14ac:dyDescent="0.45">
      <c r="A498" s="40" t="s">
        <v>74</v>
      </c>
      <c r="B498" s="40" t="s">
        <v>75</v>
      </c>
      <c r="C498">
        <v>41.25</v>
      </c>
      <c r="D498">
        <v>14.16</v>
      </c>
      <c r="E498">
        <v>6.13</v>
      </c>
      <c r="F498">
        <v>0.03</v>
      </c>
      <c r="G498">
        <v>8.59</v>
      </c>
      <c r="H498">
        <v>1</v>
      </c>
      <c r="I498">
        <v>41.25</v>
      </c>
      <c r="J498">
        <v>14.16</v>
      </c>
      <c r="K498">
        <v>6.13</v>
      </c>
      <c r="L498">
        <v>1.24</v>
      </c>
      <c r="M498" s="40" t="s">
        <v>66</v>
      </c>
      <c r="N498">
        <v>0</v>
      </c>
      <c r="O498">
        <v>30.12</v>
      </c>
      <c r="P498">
        <v>11.13</v>
      </c>
      <c r="Q498">
        <v>0.27</v>
      </c>
      <c r="R498">
        <v>4.8</v>
      </c>
      <c r="S498" s="40" t="s">
        <v>67</v>
      </c>
    </row>
    <row r="499" spans="1:19" x14ac:dyDescent="0.45">
      <c r="A499" s="40" t="s">
        <v>115</v>
      </c>
      <c r="B499" s="40" t="s">
        <v>116</v>
      </c>
      <c r="C499">
        <v>45.67</v>
      </c>
      <c r="D499">
        <v>15.66</v>
      </c>
      <c r="E499">
        <v>6.41</v>
      </c>
      <c r="F499">
        <v>0.03</v>
      </c>
      <c r="G499">
        <v>6.63</v>
      </c>
      <c r="H499">
        <v>2</v>
      </c>
      <c r="I499">
        <v>91.34</v>
      </c>
      <c r="J499">
        <v>31.32</v>
      </c>
      <c r="K499">
        <v>12.82</v>
      </c>
      <c r="L499">
        <v>2.74</v>
      </c>
      <c r="M499" s="40" t="s">
        <v>66</v>
      </c>
      <c r="N499">
        <v>0</v>
      </c>
      <c r="O499">
        <v>53.51</v>
      </c>
      <c r="P499">
        <v>37.83</v>
      </c>
      <c r="Q499">
        <v>0.41399999999999998</v>
      </c>
      <c r="R499">
        <v>13.78</v>
      </c>
      <c r="S499" s="40" t="s">
        <v>67</v>
      </c>
    </row>
    <row r="500" spans="1:19" x14ac:dyDescent="0.45">
      <c r="A500" s="40" t="s">
        <v>83</v>
      </c>
      <c r="B500" s="40" t="s">
        <v>84</v>
      </c>
      <c r="C500">
        <v>25.37</v>
      </c>
      <c r="D500">
        <v>6.41</v>
      </c>
      <c r="E500">
        <v>3.52</v>
      </c>
      <c r="F500">
        <v>0.03</v>
      </c>
      <c r="G500">
        <v>10.63</v>
      </c>
      <c r="H500">
        <v>3</v>
      </c>
      <c r="I500">
        <v>76.11</v>
      </c>
      <c r="J500">
        <v>19.23</v>
      </c>
      <c r="K500">
        <v>10.56</v>
      </c>
      <c r="L500">
        <v>2.2799999999999998</v>
      </c>
      <c r="M500" s="40" t="s">
        <v>66</v>
      </c>
      <c r="N500">
        <v>0</v>
      </c>
      <c r="O500">
        <v>42.7</v>
      </c>
      <c r="P500">
        <v>33.409999999999997</v>
      </c>
      <c r="Q500">
        <v>0.439</v>
      </c>
      <c r="R500">
        <v>7.16</v>
      </c>
      <c r="S500" s="40" t="s">
        <v>67</v>
      </c>
    </row>
    <row r="501" spans="1:19" x14ac:dyDescent="0.45">
      <c r="A501" s="40" t="s">
        <v>149</v>
      </c>
      <c r="B501" s="40" t="s">
        <v>150</v>
      </c>
      <c r="C501">
        <v>30.3</v>
      </c>
      <c r="D501">
        <v>6.84</v>
      </c>
      <c r="E501">
        <v>4.26</v>
      </c>
      <c r="F501">
        <v>0.03</v>
      </c>
      <c r="G501">
        <v>7.6</v>
      </c>
      <c r="H501">
        <v>2</v>
      </c>
      <c r="I501">
        <v>0</v>
      </c>
      <c r="J501">
        <v>0</v>
      </c>
      <c r="K501">
        <v>0</v>
      </c>
      <c r="L501">
        <v>0</v>
      </c>
      <c r="M501" s="40" t="s">
        <v>66</v>
      </c>
      <c r="N501">
        <v>0</v>
      </c>
      <c r="O501">
        <v>0</v>
      </c>
      <c r="P501">
        <v>-7.6</v>
      </c>
      <c r="Q501">
        <v>0</v>
      </c>
      <c r="R501">
        <v>0</v>
      </c>
      <c r="S501" s="40" t="s">
        <v>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D8D101-7A95-4A49-B36A-D990DF941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Raw Data</vt:lpstr>
      <vt:lpstr>Product Master</vt:lpstr>
      <vt:lpstr>Profit Calculator</vt:lpstr>
      <vt:lpstr>Scenario Analysis</vt:lpstr>
      <vt:lpstr>Executive Dashboard</vt:lpstr>
      <vt:lpstr>sales_data_cleaned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Shahed shahed</dc:creator>
  <dc:description/>
  <cp:lastModifiedBy>Shahed shahed</cp:lastModifiedBy>
  <cp:revision>2</cp:revision>
  <dcterms:created xsi:type="dcterms:W3CDTF">2026-05-17T16:35:35Z</dcterms:created>
  <dcterms:modified xsi:type="dcterms:W3CDTF">2026-05-17T17:29:15Z</dcterms:modified>
  <dc:language>en-US</dc:language>
</cp:coreProperties>
</file>
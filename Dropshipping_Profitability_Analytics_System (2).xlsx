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Project Overview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Product Master" sheetId="4" state="visible" r:id="rId4"/>
    <sheet xmlns:r="http://schemas.openxmlformats.org/officeDocument/2006/relationships" name="Profit Calculator" sheetId="5" state="visible" r:id="rId5"/>
    <sheet xmlns:r="http://schemas.openxmlformats.org/officeDocument/2006/relationships" name="Scenario Analysis" sheetId="6" state="visible" r:id="rId6"/>
    <sheet xmlns:r="http://schemas.openxmlformats.org/officeDocument/2006/relationships" name="Data Transformation" sheetId="7" state="visible" r:id="rId7"/>
    <sheet xmlns:r="http://schemas.openxmlformats.org/officeDocument/2006/relationships" name="Executive Dashboard" sheetId="8" state="visible" r:id="rId8"/>
  </sheets>
  <definedNames>
    <definedName name="ExternalData_1" localSheetId="6" hidden="1" function="0" vbProcedure="0">'Data Transformation'!$A$1:$AE$501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\$#,##0.00"/>
    <numFmt numFmtId="166" formatCode="0.0%"/>
    <numFmt numFmtId="167" formatCode="0.0"/>
    <numFmt numFmtId="168" formatCode="\$#,##0;&quot;($&quot;#,##0\);\-"/>
    <numFmt numFmtId="169" formatCode="0.0\x"/>
    <numFmt numFmtId="170" formatCode="m/d/yyyy"/>
  </numFmts>
  <fonts count="28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00C2FF"/>
      <sz val="9"/>
    </font>
    <font>
      <name val="Arial"/>
      <charset val="1"/>
      <family val="0"/>
      <color rgb="FFAAAAAA"/>
      <sz val="9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00C2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5A623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B2A3B"/>
      <sz val="9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0B1F33"/>
      <sz val="14"/>
    </font>
    <font>
      <name val="Calibri"/>
      <charset val="1"/>
      <family val="0"/>
      <b val="1"/>
      <color rgb="FFFFFFFF"/>
      <sz val="11"/>
    </font>
    <font>
      <name val="Arial"/>
      <charset val="1"/>
      <family val="0"/>
      <i val="1"/>
      <color rgb="FF0B1F33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B1F33"/>
      <sz val="11"/>
    </font>
    <font>
      <name val="Arial"/>
      <family val="2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sz val="14"/>
    </font>
    <font>
      <name val="Calibri"/>
      <family val="2"/>
      <b val="1"/>
      <color rgb="FF000000"/>
      <sz val="18"/>
    </font>
  </fonts>
  <fills count="16">
    <fill>
      <patternFill/>
    </fill>
    <fill>
      <patternFill patternType="gray125"/>
    </fill>
    <fill>
      <patternFill patternType="solid">
        <fgColor rgb="FF1B2A3B"/>
        <bgColor rgb="FF243447"/>
      </patternFill>
    </fill>
    <fill>
      <patternFill patternType="solid">
        <fgColor rgb="FF243447"/>
        <bgColor rgb="FF1B3A5C"/>
      </patternFill>
    </fill>
    <fill>
      <patternFill patternType="solid">
        <fgColor rgb="FF0D1F2D"/>
        <bgColor rgb="FF0B1F33"/>
      </patternFill>
    </fill>
    <fill>
      <patternFill patternType="solid">
        <fgColor rgb="FFEBF4FA"/>
        <bgColor rgb="FFEEF2F7"/>
      </patternFill>
    </fill>
    <fill>
      <patternFill patternType="solid">
        <fgColor rgb="FFFFFFFF"/>
        <bgColor rgb="FFF7FBFE"/>
      </patternFill>
    </fill>
    <fill>
      <patternFill patternType="solid">
        <fgColor rgb="FFF7FBFE"/>
        <bgColor rgb="FFFFFFFF"/>
      </patternFill>
    </fill>
    <fill>
      <patternFill patternType="solid">
        <fgColor rgb="FF0B1F33"/>
        <bgColor rgb="FF0D1F2D"/>
      </patternFill>
    </fill>
    <fill>
      <patternFill patternType="solid">
        <fgColor rgb="FFD6A84F"/>
        <bgColor rgb="FFF5A623"/>
      </patternFill>
    </fill>
    <fill>
      <patternFill patternType="solid">
        <fgColor rgb="FFFFF2CC"/>
        <bgColor rgb="FFFCE4D6"/>
      </patternFill>
    </fill>
    <fill>
      <patternFill patternType="solid">
        <fgColor rgb="FF1B3A5C"/>
        <bgColor rgb="FF243447"/>
      </patternFill>
    </fill>
    <fill>
      <patternFill patternType="solid">
        <fgColor rgb="FF1F4E78"/>
        <bgColor rgb="FF2E4A62"/>
      </patternFill>
    </fill>
    <fill>
      <patternFill patternType="solid">
        <fgColor rgb="FFD9EAF7"/>
        <bgColor rgb="FFD9E2EC"/>
      </patternFill>
    </fill>
    <fill>
      <patternFill patternType="solid">
        <fgColor rgb="FFEEF2F7"/>
        <bgColor rgb="FFEBF4FA"/>
      </patternFill>
    </fill>
    <fill>
      <patternFill patternType="solid">
        <fgColor rgb="FFE0F7F7"/>
        <bgColor rgb="FFEBF4FA"/>
      </patternFill>
    </fill>
  </fills>
  <borders count="17">
    <border>
      <left/>
      <right/>
      <top/>
      <bottom/>
      <diagonal/>
    </border>
    <border>
      <left style="thin">
        <color rgb="FF2E4A62"/>
      </left>
      <right style="thin">
        <color rgb="FF2E4A62"/>
      </right>
      <top style="thin">
        <color rgb="FF2E4A62"/>
      </top>
      <bottom style="thin">
        <color rgb="FF2E4A62"/>
      </bottom>
      <diagonal/>
    </border>
    <border>
      <left/>
      <right/>
      <top style="medium">
        <color rgb="FF0B1F33"/>
      </top>
      <bottom style="medium">
        <color rgb="FF0B1F33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2E4A62"/>
      </top>
      <bottom/>
      <diagonal/>
    </border>
    <border>
      <left/>
      <right style="thin">
        <color rgb="FF2E4A62"/>
      </right>
      <top style="thin">
        <color rgb="FF2E4A62"/>
      </top>
      <bottom/>
      <diagonal/>
    </border>
    <border>
      <left/>
      <right/>
      <top style="thin">
        <color rgb="FF2E4A62"/>
      </top>
      <bottom style="thin">
        <color rgb="FF2E4A62"/>
      </bottom>
      <diagonal/>
    </border>
    <border>
      <left/>
      <right style="thin">
        <color rgb="FF2E4A62"/>
      </right>
      <top style="thin">
        <color rgb="FF2E4A62"/>
      </top>
      <bottom style="thin">
        <color rgb="FF2E4A62"/>
      </bottom>
      <diagonal/>
    </border>
    <border>
      <left/>
      <right/>
      <top style="medium">
        <color rgb="FF0B1F33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14" fillId="8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0" fontId="18" fillId="12" borderId="2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19" fillId="0" borderId="3" applyAlignment="1" pivotButton="0" quotePrefix="0" xfId="0">
      <alignment horizontal="left" vertical="center"/>
    </xf>
    <xf numFmtId="0" fontId="20" fillId="13" borderId="3" applyAlignment="1" pivotButton="0" quotePrefix="0" xfId="0">
      <alignment horizontal="center" vertical="center"/>
    </xf>
    <xf numFmtId="0" fontId="21" fillId="14" borderId="3" applyAlignment="1" pivotButton="0" quotePrefix="0" xfId="0">
      <alignment horizontal="center" vertical="center"/>
    </xf>
    <xf numFmtId="166" fontId="20" fillId="13" borderId="3" applyAlignment="1" pivotButton="0" quotePrefix="0" xfId="0">
      <alignment horizontal="center" vertical="center"/>
    </xf>
    <xf numFmtId="167" fontId="21" fillId="14" borderId="3" applyAlignment="1" pivotButton="0" quotePrefix="0" xfId="0">
      <alignment horizontal="center" vertical="center"/>
    </xf>
    <xf numFmtId="168" fontId="21" fillId="14" borderId="3" applyAlignment="1" pivotButton="0" quotePrefix="0" xfId="0">
      <alignment horizontal="center" vertical="center"/>
    </xf>
    <xf numFmtId="1" fontId="21" fillId="1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21" fillId="10" borderId="3" applyAlignment="1" pivotButton="0" quotePrefix="0" xfId="0">
      <alignment horizontal="center" vertical="center"/>
    </xf>
    <xf numFmtId="0" fontId="18" fillId="12" borderId="3" applyAlignment="1" pivotButton="0" quotePrefix="0" xfId="0">
      <alignment horizontal="left" vertical="center"/>
    </xf>
    <xf numFmtId="168" fontId="20" fillId="13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 wrapText="1"/>
    </xf>
    <xf numFmtId="168" fontId="21" fillId="15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9" fontId="21" fillId="15" borderId="3" applyAlignment="1" pivotButton="0" quotePrefix="0" xfId="0">
      <alignment horizontal="center" vertical="center"/>
    </xf>
    <xf numFmtId="168" fontId="21" fillId="10" borderId="3" applyAlignment="1" pivotButton="0" quotePrefix="0" xfId="0">
      <alignment horizontal="center" vertical="center"/>
    </xf>
    <xf numFmtId="169" fontId="21" fillId="10" borderId="3" applyAlignment="1" pivotButton="0" quotePrefix="0" xfId="0">
      <alignment horizontal="center" vertical="center"/>
    </xf>
    <xf numFmtId="3" fontId="21" fillId="10" borderId="3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0" fontId="21" fillId="15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168" fontId="26" fillId="10" borderId="0" applyAlignment="1" pivotButton="0" quotePrefix="0" xfId="0">
      <alignment horizontal="center" vertical="center"/>
    </xf>
    <xf numFmtId="169" fontId="26" fillId="10" borderId="0" applyAlignment="1" pivotButton="0" quotePrefix="0" xfId="0">
      <alignment horizontal="center" vertical="center"/>
    </xf>
    <xf numFmtId="1" fontId="26" fillId="1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1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0" fontId="18" fillId="12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8" borderId="0" applyAlignment="1" pivotButton="0" quotePrefix="0" xfId="0">
      <alignment horizontal="left" vertical="center"/>
    </xf>
    <xf numFmtId="0" fontId="19" fillId="0" borderId="3" applyAlignment="1" pivotButton="0" quotePrefix="0" xfId="0">
      <alignment horizontal="left" vertical="center"/>
    </xf>
    <xf numFmtId="0" fontId="20" fillId="13" borderId="3" applyAlignment="1" pivotButton="0" quotePrefix="0" xfId="0">
      <alignment horizontal="center" vertical="center"/>
    </xf>
    <xf numFmtId="0" fontId="21" fillId="14" borderId="3" applyAlignment="1" pivotButton="0" quotePrefix="0" xfId="0">
      <alignment horizontal="center" vertical="center"/>
    </xf>
    <xf numFmtId="166" fontId="20" fillId="13" borderId="3" applyAlignment="1" pivotButton="0" quotePrefix="0" xfId="0">
      <alignment horizontal="center" vertical="center"/>
    </xf>
    <xf numFmtId="167" fontId="21" fillId="14" borderId="3" applyAlignment="1" pivotButton="0" quotePrefix="0" xfId="0">
      <alignment horizontal="center" vertical="center"/>
    </xf>
    <xf numFmtId="168" fontId="21" fillId="14" borderId="3" applyAlignment="1" pivotButton="0" quotePrefix="0" xfId="0">
      <alignment horizontal="center" vertical="center"/>
    </xf>
    <xf numFmtId="1" fontId="21" fillId="1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21" fillId="10" borderId="3" applyAlignment="1" pivotButton="0" quotePrefix="0" xfId="0">
      <alignment horizontal="center" vertical="center"/>
    </xf>
    <xf numFmtId="0" fontId="18" fillId="12" borderId="3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168" fontId="20" fillId="13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8" fontId="21" fillId="15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9" fontId="21" fillId="15" borderId="3" applyAlignment="1" pivotButton="0" quotePrefix="0" xfId="0">
      <alignment horizontal="center" vertical="center"/>
    </xf>
    <xf numFmtId="168" fontId="21" fillId="10" borderId="3" applyAlignment="1" pivotButton="0" quotePrefix="0" xfId="0">
      <alignment horizontal="center" vertical="center"/>
    </xf>
    <xf numFmtId="169" fontId="21" fillId="10" borderId="3" applyAlignment="1" pivotButton="0" quotePrefix="0" xfId="0">
      <alignment horizontal="center" vertical="center"/>
    </xf>
    <xf numFmtId="3" fontId="21" fillId="10" borderId="3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0" fontId="21" fillId="15" borderId="3" applyAlignment="1" pivotButton="0" quotePrefix="0" xfId="0">
      <alignment horizontal="center" vertical="center"/>
    </xf>
    <xf numFmtId="170" fontId="0" fillId="0" borderId="0" applyAlignment="1" pivotButton="0" quotePrefix="0" xfId="0">
      <alignment horizontal="general" vertical="bottom"/>
    </xf>
    <xf numFmtId="168" fontId="26" fillId="10" borderId="0" applyAlignment="1" pivotButton="0" quotePrefix="0" xfId="0">
      <alignment horizontal="center" vertical="center"/>
    </xf>
    <xf numFmtId="169" fontId="26" fillId="10" borderId="0" applyAlignment="1" pivotButton="0" quotePrefix="0" xfId="0">
      <alignment horizontal="center" vertical="center"/>
    </xf>
    <xf numFmtId="1" fontId="26" fillId="1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B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F33"/>
      <rgbColor rgb="FF808000"/>
      <rgbColor rgb="FF800080"/>
      <rgbColor rgb="FF008080"/>
      <rgbColor rgb="FFD9E2EC"/>
      <rgbColor rgb="FF878787"/>
      <rgbColor rgb="FF9999FF"/>
      <rgbColor rgb="FF993366"/>
      <rgbColor rgb="FFFFF2CC"/>
      <rgbColor rgb="FFE0F7F7"/>
      <rgbColor rgb="FF660066"/>
      <rgbColor rgb="FFD6A84F"/>
      <rgbColor rgb="FF1F4E7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2FF"/>
      <rgbColor rgb="FFD9EAF7"/>
      <rgbColor rgb="FFE2F0D9"/>
      <rgbColor rgb="FFF7FBFE"/>
      <rgbColor rgb="FFEBF4FA"/>
      <rgbColor rgb="FFEEF2F7"/>
      <rgbColor rgb="FFCC99FF"/>
      <rgbColor rgb="FFFCE4D6"/>
      <rgbColor rgb="FF3366FF"/>
      <rgbColor rgb="FF33CCCC"/>
      <rgbColor rgb="FF99CC00"/>
      <rgbColor rgb="FFFFCC00"/>
      <rgbColor rgb="FFF5A623"/>
      <rgbColor rgb="FFFF6600"/>
      <rgbColor rgb="FF4F81BD"/>
      <rgbColor rgb="FFAAAAAA"/>
      <rgbColor rgb="FF1B3A5C"/>
      <rgbColor rgb="FF339966"/>
      <rgbColor rgb="FF0D1F2D"/>
      <rgbColor rgb="FF1B2A3B"/>
      <rgbColor rgb="FF993300"/>
      <rgbColor rgb="FF993366"/>
      <rgbColor rgb="FF2E4A62"/>
      <rgbColor rgb="FF24344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\$#,##0;&quot;($&quot;#,##0\);\-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'Scenario Analysis'!$C$5:$F$5</f>
              <strCache>
                <ptCount val="4"/>
                <pt idx="0">
                  <v>Base Case</v>
                </pt>
                <pt idx="1">
                  <v>Scenario A</v>
                </pt>
                <pt idx="2">
                  <v>Scenario B</v>
                </pt>
                <pt idx="3">
                  <v>Scenario C</v>
                </pt>
              </strCache>
            </strRef>
          </cat>
          <val>
            <numRef>
              <f>'Scenario Analysis'!$C$17:$F$17</f>
              <numCache>
                <formatCode>\$#,##0;"($"#,##0\);\-</formatCode>
                <ptCount val="4"/>
                <pt idx="0">
                  <v>2549.03</v>
                </pt>
                <pt idx="1">
                  <v>2549.03</v>
                </pt>
                <pt idx="2">
                  <v>3623.545</v>
                </pt>
                <pt idx="3">
                  <v>4972.877</v>
                </pt>
              </numCache>
            </numRef>
          </val>
        </ser>
        <gapWidth val="150"/>
        <overlap val="0"/>
        <axId val="56600986"/>
        <axId val="58727663"/>
      </barChart>
      <catAx>
        <axId val="5660098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Business Scenario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58727663"/>
        <crosses val="autoZero"/>
        <auto val="1"/>
        <lblAlgn val="ctr"/>
        <lblOffset val="100"/>
        <noMultiLvlLbl val="0"/>
      </catAx>
      <valAx>
        <axId val="58727663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Net Profit ($)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;&quot;($&quot;#,##0\);\-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56600986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GB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Unit Economics Overview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'Executive Dashboard'!$B$19:$B$22</f>
              <strCache>
                <ptCount val="4"/>
                <pt idx="0">
                  <v>Revenue</v>
                </pt>
                <pt idx="1">
                  <v>Total Costs</v>
                </pt>
                <pt idx="2">
                  <v>Net Profit</v>
                </pt>
                <pt idx="3">
                  <v>Ad Spend</v>
                </pt>
              </strCache>
            </strRef>
          </cat>
          <val>
            <numRef>
              <f>'Executive Dashboard'!$C$19:$C$22</f>
              <numCache>
                <formatCode>\$#,##0;"($"#,##0\);\-</formatCode>
                <ptCount val="4"/>
                <pt idx="0">
                  <v>4999</v>
                </pt>
                <pt idx="1">
                  <v>2599.95</v>
                </pt>
                <pt idx="2">
                  <v>2399.05</v>
                </pt>
                <pt idx="3">
                  <v>300</v>
                </pt>
              </numCache>
            </numRef>
          </val>
        </ser>
        <gapWidth val="150"/>
        <overlap val="0"/>
        <axId val="17652899"/>
        <axId val="17755287"/>
      </barChart>
      <catAx>
        <axId val="1765289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17755287"/>
        <crosses val="autoZero"/>
        <auto val="1"/>
        <lblAlgn val="ctr"/>
        <lblOffset val="100"/>
        <noMultiLvlLbl val="0"/>
      </catAx>
      <valAx>
        <axId val="17755287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$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;&quot;($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17652899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C40" authorId="0" shapeId="0">
      <text>
        <t xml:space="preserve">Analyze dropshipping profitability using generated business data, product performance tracking, scenario analysis, and KPI dashboards to support data-driven business decisions.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23</row>
      <rowOff>0</rowOff>
    </from>
    <to>
      <col>4</col>
      <colOff>104760</colOff>
      <row>36</row>
      <rowOff>42480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4</col>
      <colOff>0</colOff>
      <row>7</row>
      <rowOff>160560</rowOff>
    </from>
    <to>
      <col>8</col>
      <colOff>386640</colOff>
      <row>23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orders" displayName="tbl_orders" ref="A1:AC501" headerRowCount="1" totalsRowCount="0" totalsRowShown="0">
  <tableColumns count="29">
    <tableColumn id="1" name="Order ID"/>
    <tableColumn id="2" name="Order Date"/>
    <tableColumn id="3" name="Year"/>
    <tableColumn id="4" name="Month"/>
    <tableColumn id="5" name="Country"/>
    <tableColumn id="6" name="City"/>
    <tableColumn id="7" name="Channel"/>
    <tableColumn id="8" name="Campaign"/>
    <tableColumn id="9" name="Product ID"/>
    <tableColumn id="10" name="Product"/>
    <tableColumn id="11" name="Category"/>
    <tableColumn id="12" name="Supplier"/>
    <tableColumn id="13" name="Sell Price"/>
    <tableColumn id="14" name="Buy Cost"/>
    <tableColumn id="15" name="Shipping Cost"/>
    <tableColumn id="16" name="Fee %"/>
    <tableColumn id="17" name="Ad Cost"/>
    <tableColumn id="18" name="Units"/>
    <tableColumn id="19" name="Revenue"/>
    <tableColumn id="20" name="Product Cost"/>
    <tableColumn id="21" name="Shipping Total"/>
    <tableColumn id="22" name="Fees Cost"/>
    <tableColumn id="23" name="Refund Flag"/>
    <tableColumn id="24" name="Refund Cost"/>
    <tableColumn id="25" name="Total Cost"/>
    <tableColumn id="26" name="Net Profit"/>
    <tableColumn id="27" name="Margin %"/>
    <tableColumn id="28" name="ROAS"/>
    <tableColumn id="29" name="Order Status"/>
  </tableColumns>
</table>
</file>

<file path=xl/tables/table2.xml><?xml version="1.0" encoding="utf-8"?>
<table xmlns="http://schemas.openxmlformats.org/spreadsheetml/2006/main" id="2" name="ProductMasterTable" displayName="ProductMasterTable" ref="A1:J11" headerRowCount="1" totalsRowCount="0" totalsRowShown="0">
  <tableColumns count="10">
    <tableColumn id="1" name="Product ID"/>
    <tableColumn id="2" name="Product"/>
    <tableColumn id="3" name="Category"/>
    <tableColumn id="4" name="Supplier"/>
    <tableColumn id="5" name="Sell Price"/>
    <tableColumn id="6" name="Buy Cost"/>
    <tableColumn id="7" name="Shipping Cost"/>
    <tableColumn id="8" name="Fee %"/>
    <tableColumn id="9" name="Profit per Unit"/>
    <tableColumn id="10" name="Margin %"/>
  </tableColumns>
</table>
</file>

<file path=xl/tables/table3.xml><?xml version="1.0" encoding="utf-8"?>
<table xmlns="http://schemas.openxmlformats.org/spreadsheetml/2006/main" id="3" name="tbl_orders_1" displayName="tbl_orders_1" ref="A1:AE501" headerRowCount="1" totalsRowCount="0" totalsRowShown="0">
  <autoFilter ref="A1:AE501"/>
  <tableColumns count="31">
    <tableColumn id="1" name="Order ID"/>
    <tableColumn id="2" name="Order Date"/>
    <tableColumn id="3" name="Year"/>
    <tableColumn id="4" name="Month"/>
    <tableColumn id="5" name="Country"/>
    <tableColumn id="6" name="City"/>
    <tableColumn id="7" name="Channel"/>
    <tableColumn id="8" name="Campaign"/>
    <tableColumn id="9" name="Product ID"/>
    <tableColumn id="10" name="Product"/>
    <tableColumn id="11" name="Category"/>
    <tableColumn id="12" name="Supplier"/>
    <tableColumn id="13" name="Sell Price"/>
    <tableColumn id="14" name="Buy Cost"/>
    <tableColumn id="15" name="Shipping Cost"/>
    <tableColumn id="16" name="Fee %"/>
    <tableColumn id="17" name="Advertising Cost"/>
    <tableColumn id="18" name="Units"/>
    <tableColumn id="19" name="Revenue"/>
    <tableColumn id="20" name="Product Cost"/>
    <tableColumn id="21" name="Shipping Total"/>
    <tableColumn id="22" name="Fees Cost"/>
    <tableColumn id="23" name="Refund Flag"/>
    <tableColumn id="24" name="Refund Cost"/>
    <tableColumn id="25" name="Total Cost"/>
    <tableColumn id="26" name="Net Profit"/>
    <tableColumn id="27" name="Margin %"/>
    <tableColumn id="28" name="ROAS"/>
    <tableColumn id="29" name="Order Status"/>
    <tableColumn id="30" name="Profit Tier"/>
    <tableColumn id="31" name="Month Nam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FF00C2FF"/>
    <outlinePr summaryBelow="1" summaryRight="1"/>
    <pageSetUpPr fitToPage="0"/>
  </sheetPr>
  <dimension ref="B2:E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6" min="1" max="1"/>
    <col width="28" customWidth="1" style="56" min="2" max="2"/>
    <col width="26" customWidth="1" style="56" min="3" max="5"/>
    <col width="2" customWidth="1" style="56" min="6" max="6"/>
  </cols>
  <sheetData>
    <row r="1" ht="7.5" customHeight="1" s="57"/>
    <row r="2" ht="49.5" customHeight="1" s="57">
      <c r="B2" s="58" t="inlineStr">
        <is>
          <t>⚙️  Control Panel — Industry Settings</t>
        </is>
      </c>
    </row>
    <row r="3" ht="7.5" customHeight="1" s="57"/>
    <row r="4" ht="18" customHeight="1" s="57">
      <c r="B4" s="59" t="inlineStr">
        <is>
          <t>INDUSTRY SELECTOR</t>
        </is>
      </c>
    </row>
    <row r="5" ht="24" customHeight="1" s="57">
      <c r="B5" s="60" t="inlineStr">
        <is>
          <t>Choose your industry below. All labels in the Profit Calculator will update automatically.</t>
        </is>
      </c>
    </row>
    <row r="6" ht="18" customHeight="1" s="57">
      <c r="B6" s="61" t="inlineStr">
        <is>
          <t>Setting</t>
        </is>
      </c>
      <c r="C6" s="62" t="inlineStr">
        <is>
          <t>Dropshipping</t>
        </is>
      </c>
      <c r="D6" s="62" t="inlineStr">
        <is>
          <t>Retail</t>
        </is>
      </c>
      <c r="E6" s="62" t="inlineStr">
        <is>
          <t>SaaS</t>
        </is>
      </c>
    </row>
    <row r="7" ht="18" customHeight="1" s="57"/>
    <row r="8" ht="7.5" customHeight="1" s="57"/>
    <row r="9" ht="18" customHeight="1" s="57"/>
    <row r="10" ht="39.75" customHeight="1" s="57">
      <c r="B10" s="63" t="inlineStr">
        <is>
          <t>Selected Industry ▶</t>
        </is>
      </c>
      <c r="C10" s="64" t="inlineStr">
        <is>
          <t>Dropshipping</t>
        </is>
      </c>
      <c r="D10" s="65" t="n"/>
      <c r="E10" s="66" t="n"/>
    </row>
    <row r="11" ht="18" customHeight="1" s="57"/>
    <row r="12" ht="18" customHeight="1" s="57"/>
    <row r="13" ht="7.5" customHeight="1" s="57"/>
    <row r="14" ht="18" customHeight="1" s="57">
      <c r="B14" s="59" t="inlineStr">
        <is>
          <t>DYNAMIC LABEL REFERENCE</t>
        </is>
      </c>
    </row>
    <row r="15" ht="18" customHeight="1" s="57">
      <c r="B15" s="67" t="inlineStr">
        <is>
          <t>Profit Calculator Field</t>
        </is>
      </c>
      <c r="C15" s="67" t="inlineStr">
        <is>
          <t>Dropshipping</t>
        </is>
      </c>
      <c r="D15" s="67" t="inlineStr">
        <is>
          <t>Retail</t>
        </is>
      </c>
      <c r="E15" s="67" t="inlineStr">
        <is>
          <t>SaaS</t>
        </is>
      </c>
    </row>
    <row r="16" ht="18" customHeight="1" s="57">
      <c r="B16" s="68" t="inlineStr">
        <is>
          <t>Selling Price per Unit ($)</t>
        </is>
      </c>
      <c r="C16" s="69" t="inlineStr">
        <is>
          <t>Selling Price / Unit ($)</t>
        </is>
      </c>
      <c r="D16" s="69" t="inlineStr">
        <is>
          <t>Retail Price / Unit ($)</t>
        </is>
      </c>
      <c r="E16" s="69" t="inlineStr">
        <is>
          <t>MRR per Customer ($)</t>
        </is>
      </c>
    </row>
    <row r="17" ht="18" customHeight="1" s="57">
      <c r="B17" s="70" t="inlineStr">
        <is>
          <t>Product Cost per Unit ($)</t>
        </is>
      </c>
      <c r="C17" s="71" t="inlineStr">
        <is>
          <t>Product Cost / Unit ($)</t>
        </is>
      </c>
      <c r="D17" s="71" t="inlineStr">
        <is>
          <t>COGS / Unit ($)</t>
        </is>
      </c>
      <c r="E17" s="71" t="inlineStr">
        <is>
          <t>Cost to Serve / Unit ($)</t>
        </is>
      </c>
    </row>
    <row r="18" ht="18" customHeight="1" s="57">
      <c r="B18" s="68" t="inlineStr">
        <is>
          <t>Shipping Cost per Unit ($)</t>
        </is>
      </c>
      <c r="C18" s="69" t="inlineStr">
        <is>
          <t>Shipping Cost / Unit ($)</t>
        </is>
      </c>
      <c r="D18" s="69" t="inlineStr">
        <is>
          <t>Fulfillment Cost / Unit ($)</t>
        </is>
      </c>
      <c r="E18" s="69" t="inlineStr">
        <is>
          <t>Infrastructure Cost ($)</t>
        </is>
      </c>
    </row>
    <row r="19" ht="18" customHeight="1" s="57">
      <c r="B19" s="70" t="inlineStr">
        <is>
          <t>Ad Spend ($)</t>
        </is>
      </c>
      <c r="C19" s="71" t="inlineStr">
        <is>
          <t>Ad Spend ($)</t>
        </is>
      </c>
      <c r="D19" s="71" t="inlineStr">
        <is>
          <t>Marketing Spend ($)</t>
        </is>
      </c>
      <c r="E19" s="71" t="inlineStr">
        <is>
          <t>Growth Spend ($)</t>
        </is>
      </c>
    </row>
    <row r="20" ht="18" customHeight="1" s="57">
      <c r="B20" s="68" t="inlineStr">
        <is>
          <t>Units Sold per Month</t>
        </is>
      </c>
      <c r="C20" s="69" t="inlineStr">
        <is>
          <t>Units Sold / Month</t>
        </is>
      </c>
      <c r="D20" s="69" t="inlineStr">
        <is>
          <t>Units Sold / Month</t>
        </is>
      </c>
      <c r="E20" s="69" t="inlineStr">
        <is>
          <t>Customers (MRR)</t>
        </is>
      </c>
    </row>
    <row r="21" ht="18" customHeight="1" s="57">
      <c r="B21" s="70" t="inlineStr">
        <is>
          <t>Refund / Return Rate %</t>
        </is>
      </c>
      <c r="C21" s="71" t="inlineStr">
        <is>
          <t>Refund / Return Rate %</t>
        </is>
      </c>
      <c r="D21" s="71" t="inlineStr">
        <is>
          <t>Return Rate %</t>
        </is>
      </c>
      <c r="E21" s="71" t="inlineStr">
        <is>
          <t>Churn Rate %</t>
        </is>
      </c>
    </row>
    <row r="22" ht="18" customHeight="1" s="57">
      <c r="B22" s="68" t="inlineStr">
        <is>
          <t>Refund Cost Estimate ($)</t>
        </is>
      </c>
      <c r="C22" s="69" t="inlineStr">
        <is>
          <t>Refund Cost Estimate ($)</t>
        </is>
      </c>
      <c r="D22" s="69" t="inlineStr">
        <is>
          <t>Return Handling Cost ($)</t>
        </is>
      </c>
      <c r="E22" s="69" t="inlineStr">
        <is>
          <t>Churn Revenue Loss ($)</t>
        </is>
      </c>
    </row>
    <row r="23" ht="18" customHeight="1" s="57">
      <c r="B23" s="70" t="inlineStr">
        <is>
          <t>ROAS from Paid Ads</t>
        </is>
      </c>
      <c r="C23" s="71" t="inlineStr">
        <is>
          <t>ROAS from Paid Ads</t>
        </is>
      </c>
      <c r="D23" s="71" t="inlineStr">
        <is>
          <t>ROAS from Paid Ads</t>
        </is>
      </c>
      <c r="E23" s="71" t="inlineStr">
        <is>
          <t>CAC Payback Ratio</t>
        </is>
      </c>
    </row>
    <row r="24" ht="18" customHeight="1" s="57">
      <c r="B24" s="68" t="inlineStr">
        <is>
          <t>Customer Lifetime Value</t>
        </is>
      </c>
      <c r="C24" s="69" t="inlineStr">
        <is>
          <t>LTV ($)</t>
        </is>
      </c>
      <c r="D24" s="69" t="inlineStr">
        <is>
          <t>LTV ($)</t>
        </is>
      </c>
      <c r="E24" s="69" t="inlineStr">
        <is>
          <t>LTV / MRR Ratio</t>
        </is>
      </c>
    </row>
    <row r="25" ht="18" customHeight="1" s="57">
      <c r="B25" s="70" t="inlineStr">
        <is>
          <t>Contribution Margin</t>
        </is>
      </c>
      <c r="C25" s="71" t="inlineStr">
        <is>
          <t>Contribution Margin ($)</t>
        </is>
      </c>
      <c r="D25" s="71" t="inlineStr">
        <is>
          <t>Gross Profit ($)</t>
        </is>
      </c>
      <c r="E25" s="71" t="inlineStr">
        <is>
          <t>Gross Margin ($)</t>
        </is>
      </c>
    </row>
    <row r="26" ht="18" customHeight="1" s="57">
      <c r="B26" s="68" t="inlineStr">
        <is>
          <t>Total Revenue ($)</t>
        </is>
      </c>
      <c r="C26" s="69" t="inlineStr">
        <is>
          <t>Total Revenue ($)</t>
        </is>
      </c>
      <c r="D26" s="69" t="inlineStr">
        <is>
          <t>Gross Sales ($)</t>
        </is>
      </c>
      <c r="E26" s="69" t="inlineStr">
        <is>
          <t>MRR ($)</t>
        </is>
      </c>
    </row>
    <row r="27" ht="18" customHeight="1" s="57"/>
    <row r="28" ht="18" customHeight="1" s="57"/>
    <row r="29" ht="30" customHeight="1" s="57">
      <c r="B29" s="72" t="inlineStr">
        <is>
          <t>💡  Tip: The selected industry drives all label formulas in "Profit Calculator". Change the dropdown above — labels update instantly.</t>
        </is>
      </c>
    </row>
    <row r="30" ht="18" customHeight="1" s="57"/>
    <row r="31" ht="18" customHeight="1" s="57"/>
    <row r="32" ht="18" customHeight="1" s="57"/>
    <row r="33" ht="18" customHeight="1" s="57"/>
    <row r="34" ht="18" customHeight="1" s="57"/>
    <row r="35" ht="18" customHeight="1" s="57"/>
    <row r="36" ht="18" customHeight="1" s="57"/>
    <row r="37" ht="18" customHeight="1" s="57"/>
    <row r="38" ht="18" customHeight="1" s="57"/>
    <row r="39" ht="18" customHeight="1" s="57"/>
    <row r="40" ht="18" customHeight="1" s="57"/>
    <row r="41" ht="18" customHeight="1" s="57"/>
    <row r="42" ht="18" customHeight="1" s="57"/>
    <row r="43" ht="18" customHeight="1" s="57"/>
    <row r="44" ht="18" customHeight="1" s="57"/>
    <row r="45" ht="18" customHeight="1" s="57"/>
    <row r="46" ht="18" customHeight="1" s="57"/>
    <row r="47" ht="18" customHeight="1" s="57"/>
    <row r="48" ht="18" customHeight="1" s="57"/>
    <row r="49" ht="18" customHeight="1" s="57"/>
    <row r="50" ht="18" customHeight="1" s="57"/>
    <row r="51" ht="18" customHeight="1" s="57"/>
    <row r="52" ht="18" customHeight="1" s="57"/>
    <row r="53" ht="18" customHeight="1" s="57"/>
    <row r="54" ht="18" customHeight="1" s="57"/>
    <row r="55" ht="18" customHeight="1" s="57"/>
    <row r="56" ht="18" customHeight="1" s="57"/>
    <row r="57" ht="18" customHeight="1" s="57"/>
    <row r="58" ht="18" customHeight="1" s="57"/>
    <row r="59" ht="18" customHeight="1" s="57"/>
  </sheetData>
  <mergeCells count="6">
    <mergeCell ref="B4:E4"/>
    <mergeCell ref="B29:E29"/>
    <mergeCell ref="B2:E2"/>
    <mergeCell ref="B5:E5"/>
    <mergeCell ref="B14:E14"/>
    <mergeCell ref="C10:E10"/>
  </mergeCells>
  <dataValidations count="1">
    <dataValidation sqref="C10" showDropDown="0" showInputMessage="0" showErrorMessage="1" allowBlank="0" errorTitle="Invalid selection" error="Please choose Dropshipping, Retail, or SaaS" type="list" errorStyle="stop" operator="between">
      <formula1>"Dropshipping,Retail,SaaS"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E23"/>
  <sheetViews>
    <sheetView showFormulas="0" showGridLines="0" showRowColHeaders="1" showZeros="1" rightToLeft="0" tabSelected="0" showOutlineSymbols="1" defaultGridColor="1" view="normal" topLeftCell="A2" colorId="64" zoomScale="100" zoomScaleNormal="100" zoomScalePageLayoutView="100" workbookViewId="0">
      <selection pane="topLeft" activeCell="C32" activeCellId="0" sqref="C32"/>
    </sheetView>
  </sheetViews>
  <sheetFormatPr baseColWidth="8" defaultColWidth="8.66796875" defaultRowHeight="14.25" zeroHeight="0" outlineLevelRow="0"/>
  <cols>
    <col width="4" customWidth="1" style="56" min="1" max="1"/>
    <col width="28" customWidth="1" style="56" min="2" max="2"/>
    <col width="68" customWidth="1" style="56" min="3" max="3"/>
    <col width="22" customWidth="1" style="56" min="4" max="5"/>
  </cols>
  <sheetData>
    <row r="2" ht="14.25" customHeight="1" s="57">
      <c r="B2" s="73" t="inlineStr">
        <is>
          <t>Dropshipping Profit Optimization &amp; Analytics System</t>
        </is>
      </c>
    </row>
    <row r="3" ht="14.25" customHeight="1" s="57"/>
    <row r="5" ht="17.25" customHeight="1" s="57">
      <c r="B5" s="74" t="inlineStr">
        <is>
          <t>Project Objective</t>
        </is>
      </c>
      <c r="C5" s="75" t="inlineStr">
        <is>
          <t>Analyze dropshipping profitability using generated business data, product performance tracking, scenario analysis, and KPI dashboards to support data-driven business decisions.</t>
        </is>
      </c>
    </row>
    <row r="7" ht="17.25" customHeight="1" s="57">
      <c r="B7" s="74" t="inlineStr">
        <is>
          <t>How to use</t>
        </is>
      </c>
    </row>
    <row r="8" ht="14.25" customHeight="1" s="57">
      <c r="B8" s="76" t="inlineStr">
        <is>
          <t>1</t>
        </is>
      </c>
      <c r="C8" s="77" t="inlineStr">
        <is>
          <t>Review Raw_Data for transaction-level records.</t>
        </is>
      </c>
    </row>
    <row r="9" ht="14.25" customHeight="1" s="57">
      <c r="B9" s="76" t="inlineStr">
        <is>
          <t>2</t>
        </is>
      </c>
      <c r="C9" s="77" t="inlineStr">
        <is>
          <t>Explore Product Master for product information.</t>
        </is>
      </c>
    </row>
    <row r="10" ht="14.25" customHeight="1" s="57">
      <c r="B10" s="76" t="inlineStr">
        <is>
          <t>3</t>
        </is>
      </c>
      <c r="C10" s="77" t="inlineStr">
        <is>
          <t>Use Profit Calculator to estimate profitability.</t>
        </is>
      </c>
    </row>
    <row r="11" ht="14.25" customHeight="1" s="57">
      <c r="B11" s="76" t="inlineStr">
        <is>
          <t>4</t>
        </is>
      </c>
      <c r="C11" s="77" t="inlineStr">
        <is>
          <t>Test business cases in Scenario Analysis.</t>
        </is>
      </c>
    </row>
    <row r="12" ht="14.25" customHeight="1" s="57">
      <c r="B12" s="76" t="inlineStr">
        <is>
          <t>5</t>
        </is>
      </c>
      <c r="C12" s="77" t="inlineStr">
        <is>
          <t>Review KPIs in Executive Dashboard.</t>
        </is>
      </c>
    </row>
    <row r="17" ht="14.25" customHeight="1" s="57">
      <c r="B17" s="76" t="inlineStr">
        <is>
          <t>Tools &amp; Techniques Used</t>
        </is>
      </c>
      <c r="C17" s="76" t="inlineStr">
        <is>
          <t>Dataset Summary</t>
        </is>
      </c>
    </row>
    <row r="18" ht="14.25" customHeight="1" s="57">
      <c r="B18" s="56" t="inlineStr">
        <is>
          <t>Excel Advanced Functions</t>
        </is>
      </c>
      <c r="C18" s="56" t="inlineStr">
        <is>
          <t>500 Generated Transactions</t>
        </is>
      </c>
    </row>
    <row r="19" ht="14.25" customHeight="1" s="57">
      <c r="B19" s="56" t="inlineStr">
        <is>
          <t>Power Query (ETL)</t>
        </is>
      </c>
      <c r="C19" s="56" t="inlineStr">
        <is>
          <t>Multiple Product Categories</t>
        </is>
      </c>
    </row>
    <row r="20" ht="14.25" customHeight="1" s="57">
      <c r="B20" s="56" t="inlineStr">
        <is>
          <t>Business Intelligence</t>
        </is>
      </c>
      <c r="C20" s="56" t="inlineStr">
        <is>
          <t>Marketing Channel Analysis</t>
        </is>
      </c>
    </row>
    <row r="21" ht="14.25" customHeight="1" s="57">
      <c r="B21" s="56" t="inlineStr">
        <is>
          <t>KPI Dashboarding</t>
        </is>
      </c>
      <c r="C21" s="56" t="inlineStr">
        <is>
          <t>Revenue &amp; Profit Tracking</t>
        </is>
      </c>
    </row>
    <row r="22" ht="14.25" customHeight="1" s="57">
      <c r="B22" s="56" t="inlineStr">
        <is>
          <t>Scenario Analysis</t>
        </is>
      </c>
    </row>
    <row r="23" ht="14.25" customHeight="1" s="57">
      <c r="B23" s="56" t="inlineStr">
        <is>
          <t>Data Generation</t>
        </is>
      </c>
    </row>
  </sheetData>
  <mergeCells count="1">
    <mergeCell ref="B2:E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C501"/>
  <sheetViews>
    <sheetView showFormulas="0" showGridLines="1" showRowColHeaders="1" showZeros="1" rightToLeft="0" tabSelected="1" showOutlineSymbols="1" defaultGridColor="1" view="normal" topLeftCell="K1" colorId="64" zoomScale="85" zoomScaleNormal="85" zoomScalePageLayoutView="100" workbookViewId="0">
      <selection pane="topLeft" activeCell="X17" activeCellId="0" sqref="X17"/>
    </sheetView>
  </sheetViews>
  <sheetFormatPr baseColWidth="8" defaultColWidth="8.6796875" defaultRowHeight="14.25" zeroHeight="0" outlineLevelRow="0"/>
  <cols>
    <col width="9.529999999999999" customWidth="1" style="56" min="1" max="1"/>
    <col width="11.73" customWidth="1" style="56" min="2" max="2"/>
    <col width="6.2" customWidth="1" style="56" min="3" max="3"/>
    <col width="8.199999999999999" customWidth="1" style="56" min="4" max="4"/>
    <col width="9.93" customWidth="1" style="56" min="5" max="5"/>
    <col width="8.869999999999999" customWidth="1" style="56" min="6" max="6"/>
    <col width="11.85" customWidth="1" style="56" min="7" max="7"/>
    <col width="14" customWidth="1" style="56" min="8" max="8"/>
    <col width="11.33" customWidth="1" style="56" min="9" max="9"/>
    <col width="16" customWidth="1" style="56" min="10" max="10"/>
    <col width="9.93" customWidth="1" style="56" min="11" max="11"/>
    <col width="18.14" customWidth="1" style="56" min="12" max="12"/>
    <col width="9.93" customWidth="1" style="56" min="13" max="13"/>
    <col width="9.67" customWidth="1" style="56" min="14" max="14"/>
    <col width="13.73" customWidth="1" style="56" min="15" max="15"/>
    <col width="7.4" customWidth="1" style="56" min="16" max="16"/>
    <col width="8.869999999999999" customWidth="1" style="56" min="17" max="17"/>
    <col width="6.85" customWidth="1" style="56" min="18" max="18"/>
    <col width="9.67" customWidth="1" style="56" min="19" max="19"/>
    <col width="13.06" customWidth="1" style="56" min="20" max="20"/>
    <col width="14.14" customWidth="1" style="56" min="21" max="21"/>
    <col width="10.2" customWidth="1" style="56" min="22" max="22"/>
    <col width="12.26" customWidth="1" style="56" min="23" max="23"/>
    <col width="12.53" customWidth="1" style="56" min="24" max="24"/>
    <col width="10.59" customWidth="1" style="56" min="25" max="26"/>
    <col width="10.33" customWidth="1" style="56" min="27" max="27"/>
    <col width="7.15" customWidth="1" style="56" min="28" max="28"/>
    <col width="12.93" customWidth="1" style="56" min="29" max="29"/>
  </cols>
  <sheetData>
    <row r="1" ht="14.25" customHeight="1" s="57">
      <c r="A1" s="78" t="inlineStr">
        <is>
          <t>Order ID</t>
        </is>
      </c>
      <c r="B1" s="78" t="inlineStr">
        <is>
          <t>Order Date</t>
        </is>
      </c>
      <c r="C1" s="78" t="inlineStr">
        <is>
          <t>Year</t>
        </is>
      </c>
      <c r="D1" s="78" t="inlineStr">
        <is>
          <t>Month</t>
        </is>
      </c>
      <c r="E1" s="78" t="inlineStr">
        <is>
          <t>Country</t>
        </is>
      </c>
      <c r="F1" s="78" t="inlineStr">
        <is>
          <t>City</t>
        </is>
      </c>
      <c r="G1" s="78" t="inlineStr">
        <is>
          <t>Channel</t>
        </is>
      </c>
      <c r="H1" s="78" t="inlineStr">
        <is>
          <t>Campaign</t>
        </is>
      </c>
      <c r="I1" s="78" t="inlineStr">
        <is>
          <t>Product ID</t>
        </is>
      </c>
      <c r="J1" s="78" t="inlineStr">
        <is>
          <t>Product</t>
        </is>
      </c>
      <c r="K1" s="78" t="inlineStr">
        <is>
          <t>Category</t>
        </is>
      </c>
      <c r="L1" s="78" t="inlineStr">
        <is>
          <t>Supplier</t>
        </is>
      </c>
      <c r="M1" s="78" t="inlineStr">
        <is>
          <t>Sell Price</t>
        </is>
      </c>
      <c r="N1" s="78" t="inlineStr">
        <is>
          <t>Buy Cost</t>
        </is>
      </c>
      <c r="O1" s="78" t="inlineStr">
        <is>
          <t>Shipping Cost</t>
        </is>
      </c>
      <c r="P1" s="78" t="inlineStr">
        <is>
          <t>Fee %</t>
        </is>
      </c>
      <c r="Q1" s="78" t="inlineStr">
        <is>
          <t>Ad Cost</t>
        </is>
      </c>
      <c r="R1" s="78" t="inlineStr">
        <is>
          <t>Units</t>
        </is>
      </c>
      <c r="S1" s="78" t="inlineStr">
        <is>
          <t>Revenue</t>
        </is>
      </c>
      <c r="T1" s="78" t="inlineStr">
        <is>
          <t>Product Cost</t>
        </is>
      </c>
      <c r="U1" s="78" t="inlineStr">
        <is>
          <t>Shipping Total</t>
        </is>
      </c>
      <c r="V1" s="78" t="inlineStr">
        <is>
          <t>Fees Cost</t>
        </is>
      </c>
      <c r="W1" s="78" t="inlineStr">
        <is>
          <t>Refund Flag</t>
        </is>
      </c>
      <c r="X1" s="78" t="inlineStr">
        <is>
          <t>Refund Cost</t>
        </is>
      </c>
      <c r="Y1" s="78" t="inlineStr">
        <is>
          <t>Total Cost</t>
        </is>
      </c>
      <c r="Z1" s="78" t="inlineStr">
        <is>
          <t>Net Profit</t>
        </is>
      </c>
      <c r="AA1" s="78" t="inlineStr">
        <is>
          <t>Margin %</t>
        </is>
      </c>
      <c r="AB1" s="78" t="inlineStr">
        <is>
          <t>ROAS</t>
        </is>
      </c>
      <c r="AC1" s="78" t="inlineStr">
        <is>
          <t>Order Status</t>
        </is>
      </c>
    </row>
    <row r="2" ht="14.25" customHeight="1" s="57">
      <c r="A2" s="56" t="inlineStr">
        <is>
          <t>ORD-00067</t>
        </is>
      </c>
      <c r="B2" s="79" t="n">
        <v>45659</v>
      </c>
      <c r="C2" s="56" t="n">
        <v>2025</v>
      </c>
      <c r="D2" s="56" t="n">
        <v>1</v>
      </c>
      <c r="E2" s="56" t="inlineStr">
        <is>
          <t>Saudi Arabia</t>
        </is>
      </c>
      <c r="F2" s="56" t="inlineStr">
        <is>
          <t>Riyadh</t>
        </is>
      </c>
      <c r="G2" s="56" t="inlineStr">
        <is>
          <t>Influencer</t>
        </is>
      </c>
      <c r="H2" s="56" t="inlineStr">
        <is>
          <t>New Creative A/B</t>
        </is>
      </c>
      <c r="I2" s="56" t="inlineStr">
        <is>
          <t>P010</t>
        </is>
      </c>
      <c r="J2" s="56" t="inlineStr">
        <is>
          <t>Smart Water Bottle</t>
        </is>
      </c>
      <c r="K2" s="56" t="inlineStr">
        <is>
          <t>Lifestyle</t>
        </is>
      </c>
      <c r="L2" s="56" t="inlineStr">
        <is>
          <t>Shenzhen Smart Home</t>
        </is>
      </c>
      <c r="M2" s="80" t="n">
        <v>36.23</v>
      </c>
      <c r="N2" s="80" t="n">
        <v>10.63</v>
      </c>
      <c r="O2" s="80" t="n">
        <v>3.93</v>
      </c>
      <c r="P2" s="80" t="n">
        <v>0.03</v>
      </c>
      <c r="Q2" s="80" t="n">
        <v>18.35</v>
      </c>
      <c r="R2" s="80" t="n">
        <v>2</v>
      </c>
      <c r="S2" s="80">
        <f>IF(AC2="Cancelled",0,M2*R2)</f>
        <v/>
      </c>
      <c r="T2" s="80">
        <f>IF(AC2="Cancelled",0,N2*R2)</f>
        <v/>
      </c>
      <c r="U2" s="80">
        <f>IF(AC2="Cancelled",0,O2*R2)</f>
        <v/>
      </c>
      <c r="V2" s="80">
        <f>IF(AC2="Cancelled",0,ROUND(P2*S2,2))</f>
        <v/>
      </c>
      <c r="W2" s="80" t="inlineStr">
        <is>
          <t>No</t>
        </is>
      </c>
      <c r="X2" s="80" t="n">
        <v>0</v>
      </c>
      <c r="Y2" s="80">
        <f>IF(AC2="Cancelled",0,T2+U2+V2+Q2+X2)</f>
        <v/>
      </c>
      <c r="Z2" s="80">
        <f>IF(AC2="Cancelled",-Q2,S2-Y2)</f>
        <v/>
      </c>
      <c r="AA2" s="81">
        <f>IF(OR(AC2="Cancelled",S2=0),0,Z2/S2)</f>
        <v/>
      </c>
      <c r="AB2" s="82">
        <f>IFERROR(S2/Q2,0)</f>
        <v/>
      </c>
      <c r="AC2" s="56" t="inlineStr">
        <is>
          <t>Delivered</t>
        </is>
      </c>
    </row>
    <row r="3" ht="14.25" customHeight="1" s="57">
      <c r="A3" s="56" t="inlineStr">
        <is>
          <t>ORD-00475</t>
        </is>
      </c>
      <c r="B3" s="79" t="n">
        <v>45659</v>
      </c>
      <c r="C3" s="56" t="n">
        <v>2025</v>
      </c>
      <c r="D3" s="56" t="n">
        <v>1</v>
      </c>
      <c r="E3" s="56" t="inlineStr">
        <is>
          <t>Oman</t>
        </is>
      </c>
      <c r="F3" s="56" t="inlineStr">
        <is>
          <t>Muscat</t>
        </is>
      </c>
      <c r="G3" s="56" t="inlineStr">
        <is>
          <t>Organic Search</t>
        </is>
      </c>
      <c r="H3" s="56" t="inlineStr">
        <is>
          <t>New Creative A/B</t>
        </is>
      </c>
      <c r="I3" s="56" t="inlineStr">
        <is>
          <t>P009</t>
        </is>
      </c>
      <c r="J3" s="56" t="inlineStr">
        <is>
          <t>Car Vacuum Cleaner</t>
        </is>
      </c>
      <c r="K3" s="56" t="inlineStr">
        <is>
          <t>Automotive</t>
        </is>
      </c>
      <c r="L3" s="56" t="inlineStr">
        <is>
          <t>Dongguan Auto Tools</t>
        </is>
      </c>
      <c r="M3" s="80" t="n">
        <v>46.71</v>
      </c>
      <c r="N3" s="80" t="n">
        <v>13.78</v>
      </c>
      <c r="O3" s="80" t="n">
        <v>6</v>
      </c>
      <c r="P3" s="80" t="n">
        <v>0.03</v>
      </c>
      <c r="Q3" s="80" t="n">
        <v>0</v>
      </c>
      <c r="R3" s="80" t="n">
        <v>3</v>
      </c>
      <c r="S3" s="80">
        <f>IF(AC3="Cancelled",0,M3*R3)</f>
        <v/>
      </c>
      <c r="T3" s="80">
        <f>IF(AC3="Cancelled",0,N3*R3)</f>
        <v/>
      </c>
      <c r="U3" s="80">
        <f>IF(AC3="Cancelled",0,O3*R3)</f>
        <v/>
      </c>
      <c r="V3" s="80">
        <f>IF(AC3="Cancelled",0,ROUND(P3*S3,2))</f>
        <v/>
      </c>
      <c r="W3" s="80" t="inlineStr">
        <is>
          <t>No</t>
        </is>
      </c>
      <c r="X3" s="80" t="n">
        <v>0</v>
      </c>
      <c r="Y3" s="80">
        <f>IF(AC3="Cancelled",0,T3+U3+V3+Q3+X3)</f>
        <v/>
      </c>
      <c r="Z3" s="80">
        <f>IF(AC3="Cancelled",-Q3,S3-Y3)</f>
        <v/>
      </c>
      <c r="AA3" s="81">
        <f>IF(OR(AC3="Cancelled",S3=0),0,Z3/S3)</f>
        <v/>
      </c>
      <c r="AB3" s="82">
        <f>IFERROR(S3/Q3,0)</f>
        <v/>
      </c>
      <c r="AC3" s="56" t="inlineStr">
        <is>
          <t>Delivered</t>
        </is>
      </c>
    </row>
    <row r="4" ht="14.25" customHeight="1" s="57">
      <c r="A4" s="56" t="inlineStr">
        <is>
          <t>ORD-00241</t>
        </is>
      </c>
      <c r="B4" s="79" t="n">
        <v>45660</v>
      </c>
      <c r="C4" s="56" t="n">
        <v>2025</v>
      </c>
      <c r="D4" s="56" t="n">
        <v>1</v>
      </c>
      <c r="E4" s="56" t="inlineStr">
        <is>
          <t>UAE</t>
        </is>
      </c>
      <c r="F4" s="56" t="inlineStr">
        <is>
          <t>Dubai</t>
        </is>
      </c>
      <c r="G4" s="56" t="inlineStr">
        <is>
          <t>Email</t>
        </is>
      </c>
      <c r="H4" s="56" t="inlineStr">
        <is>
          <t>Retargeting</t>
        </is>
      </c>
      <c r="I4" s="56" t="inlineStr">
        <is>
          <t>P003</t>
        </is>
      </c>
      <c r="J4" s="56" t="inlineStr">
        <is>
          <t>LED Strip Lights</t>
        </is>
      </c>
      <c r="K4" s="56" t="inlineStr">
        <is>
          <t>Home Decor</t>
        </is>
      </c>
      <c r="L4" s="56" t="inlineStr">
        <is>
          <t>Yiwu Lighting Factory</t>
        </is>
      </c>
      <c r="M4" s="80" t="n">
        <v>27.16</v>
      </c>
      <c r="N4" s="80" t="n">
        <v>5.99</v>
      </c>
      <c r="O4" s="80" t="n">
        <v>3.73</v>
      </c>
      <c r="P4" s="80" t="n">
        <v>0.03</v>
      </c>
      <c r="Q4" s="80" t="n">
        <v>22.04</v>
      </c>
      <c r="R4" s="80" t="n">
        <v>3</v>
      </c>
      <c r="S4" s="80">
        <f>IF(AC4="Cancelled",0,M4*R4)</f>
        <v/>
      </c>
      <c r="T4" s="80">
        <f>IF(AC4="Cancelled",0,N4*R4)</f>
        <v/>
      </c>
      <c r="U4" s="80">
        <f>IF(AC4="Cancelled",0,O4*R4)</f>
        <v/>
      </c>
      <c r="V4" s="80">
        <f>IF(AC4="Cancelled",0,ROUND(P4*S4,2))</f>
        <v/>
      </c>
      <c r="W4" s="80" t="inlineStr">
        <is>
          <t>No</t>
        </is>
      </c>
      <c r="X4" s="80" t="n">
        <v>0</v>
      </c>
      <c r="Y4" s="80">
        <f>IF(AC4="Cancelled",0,T4+U4+V4+Q4+X4)</f>
        <v/>
      </c>
      <c r="Z4" s="80">
        <f>IF(AC4="Cancelled",-Q4,S4-Y4)</f>
        <v/>
      </c>
      <c r="AA4" s="81">
        <f>IF(OR(AC4="Cancelled",S4=0),0,Z4/S4)</f>
        <v/>
      </c>
      <c r="AB4" s="82">
        <f>IFERROR(S4/Q4,0)</f>
        <v/>
      </c>
      <c r="AC4" s="56" t="inlineStr">
        <is>
          <t>Delivered</t>
        </is>
      </c>
    </row>
    <row r="5" ht="14.25" customHeight="1" s="57">
      <c r="A5" s="56" t="inlineStr">
        <is>
          <t>ORD-00459</t>
        </is>
      </c>
      <c r="B5" s="79" t="n">
        <v>45660</v>
      </c>
      <c r="C5" s="56" t="n">
        <v>2025</v>
      </c>
      <c r="D5" s="56" t="n">
        <v>1</v>
      </c>
      <c r="E5" s="56" t="inlineStr">
        <is>
          <t>Oman</t>
        </is>
      </c>
      <c r="F5" s="56" t="inlineStr">
        <is>
          <t>Muscat</t>
        </is>
      </c>
      <c r="G5" s="56" t="inlineStr">
        <is>
          <t>Email</t>
        </is>
      </c>
      <c r="H5" s="56" t="inlineStr">
        <is>
          <t>Summer Sale</t>
        </is>
      </c>
      <c r="I5" s="56" t="inlineStr">
        <is>
          <t>P005</t>
        </is>
      </c>
      <c r="J5" s="56" t="inlineStr">
        <is>
          <t>Mini Printer</t>
        </is>
      </c>
      <c r="K5" s="56" t="inlineStr">
        <is>
          <t>Electronics</t>
        </is>
      </c>
      <c r="L5" s="56" t="inlineStr">
        <is>
          <t>Shenzhen Print Tech</t>
        </is>
      </c>
      <c r="M5" s="80" t="n">
        <v>65.77</v>
      </c>
      <c r="N5" s="80" t="n">
        <v>21.01</v>
      </c>
      <c r="O5" s="80" t="n">
        <v>7.19</v>
      </c>
      <c r="P5" s="80" t="n">
        <v>0.03</v>
      </c>
      <c r="Q5" s="80" t="n">
        <v>9.619999999999999</v>
      </c>
      <c r="R5" s="80" t="n">
        <v>1</v>
      </c>
      <c r="S5" s="80">
        <f>IF(AC5="Cancelled",0,M5*R5)</f>
        <v/>
      </c>
      <c r="T5" s="80">
        <f>IF(AC5="Cancelled",0,N5*R5)</f>
        <v/>
      </c>
      <c r="U5" s="80">
        <f>IF(AC5="Cancelled",0,O5*R5)</f>
        <v/>
      </c>
      <c r="V5" s="80">
        <f>IF(AC5="Cancelled",0,ROUND(P5*S5,2))</f>
        <v/>
      </c>
      <c r="W5" s="80" t="inlineStr">
        <is>
          <t>No</t>
        </is>
      </c>
      <c r="X5" s="80" t="n">
        <v>0</v>
      </c>
      <c r="Y5" s="80">
        <f>IF(AC5="Cancelled",0,T5+U5+V5+Q5+X5)</f>
        <v/>
      </c>
      <c r="Z5" s="80">
        <f>IF(AC5="Cancelled",-Q5,S5-Y5)</f>
        <v/>
      </c>
      <c r="AA5" s="81">
        <f>IF(OR(AC5="Cancelled",S5=0),0,Z5/S5)</f>
        <v/>
      </c>
      <c r="AB5" s="82">
        <f>IFERROR(S5/Q5,0)</f>
        <v/>
      </c>
      <c r="AC5" s="56" t="inlineStr">
        <is>
          <t>Delivered</t>
        </is>
      </c>
    </row>
    <row r="6" ht="14.25" customHeight="1" s="57">
      <c r="A6" s="56" t="inlineStr">
        <is>
          <t>ORD-00054</t>
        </is>
      </c>
      <c r="B6" s="79" t="n">
        <v>45661</v>
      </c>
      <c r="C6" s="56" t="n">
        <v>2025</v>
      </c>
      <c r="D6" s="56" t="n">
        <v>1</v>
      </c>
      <c r="E6" s="56" t="inlineStr">
        <is>
          <t>Saudi Arabia</t>
        </is>
      </c>
      <c r="F6" s="56" t="inlineStr">
        <is>
          <t>Jeddah</t>
        </is>
      </c>
      <c r="G6" s="56" t="inlineStr">
        <is>
          <t>Google Ads</t>
        </is>
      </c>
      <c r="H6" s="56" t="inlineStr">
        <is>
          <t>Retargeting</t>
        </is>
      </c>
      <c r="I6" s="56" t="inlineStr">
        <is>
          <t>P009</t>
        </is>
      </c>
      <c r="J6" s="56" t="inlineStr">
        <is>
          <t>Car Vacuum Cleaner</t>
        </is>
      </c>
      <c r="K6" s="56" t="inlineStr">
        <is>
          <t>Automotive</t>
        </is>
      </c>
      <c r="L6" s="56" t="inlineStr">
        <is>
          <t>Dongguan Auto Tools</t>
        </is>
      </c>
      <c r="M6" s="80" t="n">
        <v>41.33</v>
      </c>
      <c r="N6" s="80" t="n">
        <v>15.02</v>
      </c>
      <c r="O6" s="80" t="n">
        <v>7.07</v>
      </c>
      <c r="P6" s="80" t="n">
        <v>0.03</v>
      </c>
      <c r="Q6" s="80" t="n">
        <v>27.25</v>
      </c>
      <c r="R6" s="80" t="n">
        <v>3</v>
      </c>
      <c r="S6" s="80">
        <f>IF(AC6="Cancelled",0,M6*R6)</f>
        <v/>
      </c>
      <c r="T6" s="80">
        <f>IF(AC6="Cancelled",0,N6*R6)</f>
        <v/>
      </c>
      <c r="U6" s="80">
        <f>IF(AC6="Cancelled",0,O6*R6)</f>
        <v/>
      </c>
      <c r="V6" s="80">
        <f>IF(AC6="Cancelled",0,ROUND(P6*S6,2))</f>
        <v/>
      </c>
      <c r="W6" s="80" t="inlineStr">
        <is>
          <t>No</t>
        </is>
      </c>
      <c r="X6" s="80" t="n">
        <v>0</v>
      </c>
      <c r="Y6" s="80">
        <f>IF(AC6="Cancelled",0,T6+U6+V6+Q6+X6)</f>
        <v/>
      </c>
      <c r="Z6" s="80">
        <f>IF(AC6="Cancelled",-Q6,S6-Y6)</f>
        <v/>
      </c>
      <c r="AA6" s="81">
        <f>IF(OR(AC6="Cancelled",S6=0),0,Z6/S6)</f>
        <v/>
      </c>
      <c r="AB6" s="82">
        <f>IFERROR(S6/Q6,0)</f>
        <v/>
      </c>
      <c r="AC6" s="56" t="inlineStr">
        <is>
          <t>Delivered</t>
        </is>
      </c>
    </row>
    <row r="7" ht="14.25" customHeight="1" s="57">
      <c r="A7" s="56" t="inlineStr">
        <is>
          <t>ORD-00386</t>
        </is>
      </c>
      <c r="B7" s="79" t="n">
        <v>45661</v>
      </c>
      <c r="C7" s="56" t="n">
        <v>2025</v>
      </c>
      <c r="D7" s="56" t="n">
        <v>1</v>
      </c>
      <c r="E7" s="56" t="inlineStr">
        <is>
          <t>Qatar</t>
        </is>
      </c>
      <c r="F7" s="56" t="inlineStr">
        <is>
          <t>Doha</t>
        </is>
      </c>
      <c r="G7" s="56" t="inlineStr">
        <is>
          <t>Email</t>
        </is>
      </c>
      <c r="H7" s="56" t="inlineStr">
        <is>
          <t>Retargeting</t>
        </is>
      </c>
      <c r="I7" s="56" t="inlineStr">
        <is>
          <t>P006</t>
        </is>
      </c>
      <c r="J7" s="56" t="inlineStr">
        <is>
          <t>Posture Corrector</t>
        </is>
      </c>
      <c r="K7" s="56" t="inlineStr">
        <is>
          <t>Fitness</t>
        </is>
      </c>
      <c r="L7" s="56" t="inlineStr">
        <is>
          <t>Hangzhou Health Gear</t>
        </is>
      </c>
      <c r="M7" s="80" t="n">
        <v>36.04</v>
      </c>
      <c r="N7" s="80" t="n">
        <v>8.56</v>
      </c>
      <c r="O7" s="80" t="n">
        <v>3.75</v>
      </c>
      <c r="P7" s="80" t="n">
        <v>0.03</v>
      </c>
      <c r="Q7" s="80" t="n">
        <v>8.57</v>
      </c>
      <c r="R7" s="80" t="n">
        <v>1</v>
      </c>
      <c r="S7" s="80">
        <f>IF(AC7="Cancelled",0,M7*R7)</f>
        <v/>
      </c>
      <c r="T7" s="80">
        <f>IF(AC7="Cancelled",0,N7*R7)</f>
        <v/>
      </c>
      <c r="U7" s="80">
        <f>IF(AC7="Cancelled",0,O7*R7)</f>
        <v/>
      </c>
      <c r="V7" s="80">
        <f>IF(AC7="Cancelled",0,ROUND(P7*S7,2))</f>
        <v/>
      </c>
      <c r="W7" s="80" t="inlineStr">
        <is>
          <t>No</t>
        </is>
      </c>
      <c r="X7" s="80" t="n">
        <v>0</v>
      </c>
      <c r="Y7" s="80">
        <f>IF(AC7="Cancelled",0,T7+U7+V7+Q7+X7)</f>
        <v/>
      </c>
      <c r="Z7" s="80">
        <f>IF(AC7="Cancelled",-Q7,S7-Y7)</f>
        <v/>
      </c>
      <c r="AA7" s="81">
        <f>IF(OR(AC7="Cancelled",S7=0),0,Z7/S7)</f>
        <v/>
      </c>
      <c r="AB7" s="82">
        <f>IFERROR(S7/Q7,0)</f>
        <v/>
      </c>
      <c r="AC7" s="56" t="inlineStr">
        <is>
          <t>Delivered</t>
        </is>
      </c>
    </row>
    <row r="8" ht="14.25" customHeight="1" s="57">
      <c r="A8" s="56" t="inlineStr">
        <is>
          <t>ORD-00040</t>
        </is>
      </c>
      <c r="B8" s="79" t="n">
        <v>45664</v>
      </c>
      <c r="C8" s="56" t="n">
        <v>2025</v>
      </c>
      <c r="D8" s="56" t="n">
        <v>1</v>
      </c>
      <c r="E8" s="56" t="inlineStr">
        <is>
          <t>UAE</t>
        </is>
      </c>
      <c r="F8" s="56" t="inlineStr">
        <is>
          <t>Abu Dhabi</t>
        </is>
      </c>
      <c r="G8" s="56" t="inlineStr">
        <is>
          <t>Email</t>
        </is>
      </c>
      <c r="H8" s="56" t="inlineStr">
        <is>
          <t>Summer Sale</t>
        </is>
      </c>
      <c r="I8" s="56" t="inlineStr">
        <is>
          <t>P003</t>
        </is>
      </c>
      <c r="J8" s="56" t="inlineStr">
        <is>
          <t>LED Strip Lights</t>
        </is>
      </c>
      <c r="K8" s="56" t="inlineStr">
        <is>
          <t>Home Decor</t>
        </is>
      </c>
      <c r="L8" s="56" t="inlineStr">
        <is>
          <t>Yiwu Lighting Factory</t>
        </is>
      </c>
      <c r="M8" s="80" t="n">
        <v>26.71</v>
      </c>
      <c r="N8" s="80" t="n">
        <v>6.12</v>
      </c>
      <c r="O8" s="80" t="n">
        <v>3.4</v>
      </c>
      <c r="P8" s="80" t="n">
        <v>0.03</v>
      </c>
      <c r="Q8" s="80" t="n">
        <v>6.87</v>
      </c>
      <c r="R8" s="80" t="n">
        <v>1</v>
      </c>
      <c r="S8" s="80">
        <f>IF(AC8="Cancelled",0,M8*R8)</f>
        <v/>
      </c>
      <c r="T8" s="80">
        <f>IF(AC8="Cancelled",0,N8*R8)</f>
        <v/>
      </c>
      <c r="U8" s="80">
        <f>IF(AC8="Cancelled",0,O8*R8)</f>
        <v/>
      </c>
      <c r="V8" s="80">
        <f>IF(AC8="Cancelled",0,ROUND(P8*S8,2))</f>
        <v/>
      </c>
      <c r="W8" s="80" t="inlineStr">
        <is>
          <t>No</t>
        </is>
      </c>
      <c r="X8" s="80" t="n">
        <v>0</v>
      </c>
      <c r="Y8" s="80">
        <f>IF(AC8="Cancelled",0,T8+U8+V8+Q8+X8)</f>
        <v/>
      </c>
      <c r="Z8" s="80">
        <f>IF(AC8="Cancelled",-Q8,S8-Y8)</f>
        <v/>
      </c>
      <c r="AA8" s="81">
        <f>IF(OR(AC8="Cancelled",S8=0),0,Z8/S8)</f>
        <v/>
      </c>
      <c r="AB8" s="82">
        <f>IFERROR(S8/Q8,0)</f>
        <v/>
      </c>
      <c r="AC8" s="56" t="inlineStr">
        <is>
          <t>Delivered</t>
        </is>
      </c>
    </row>
    <row r="9" ht="14.25" customHeight="1" s="57">
      <c r="A9" s="56" t="inlineStr">
        <is>
          <t>ORD-00203</t>
        </is>
      </c>
      <c r="B9" s="79" t="n">
        <v>45664</v>
      </c>
      <c r="C9" s="56" t="n">
        <v>2025</v>
      </c>
      <c r="D9" s="56" t="n">
        <v>1</v>
      </c>
      <c r="E9" s="56" t="inlineStr">
        <is>
          <t>UAE</t>
        </is>
      </c>
      <c r="F9" s="56" t="inlineStr">
        <is>
          <t>Sharjah</t>
        </is>
      </c>
      <c r="G9" s="56" t="inlineStr">
        <is>
          <t>TikTok Ads</t>
        </is>
      </c>
      <c r="H9" s="56" t="inlineStr">
        <is>
          <t>Summer Sale</t>
        </is>
      </c>
      <c r="I9" s="56" t="inlineStr">
        <is>
          <t>P006</t>
        </is>
      </c>
      <c r="J9" s="56" t="inlineStr">
        <is>
          <t>Posture Corrector</t>
        </is>
      </c>
      <c r="K9" s="56" t="inlineStr">
        <is>
          <t>Fitness</t>
        </is>
      </c>
      <c r="L9" s="56" t="inlineStr">
        <is>
          <t>Hangzhou Health Gear</t>
        </is>
      </c>
      <c r="M9" s="80" t="n">
        <v>33.08</v>
      </c>
      <c r="N9" s="80" t="n">
        <v>9.710000000000001</v>
      </c>
      <c r="O9" s="80" t="n">
        <v>3.77</v>
      </c>
      <c r="P9" s="80" t="n">
        <v>0.03</v>
      </c>
      <c r="Q9" s="80" t="n">
        <v>3.96</v>
      </c>
      <c r="R9" s="80" t="n">
        <v>2</v>
      </c>
      <c r="S9" s="80">
        <f>IF(AC9="Cancelled",0,M9*R9)</f>
        <v/>
      </c>
      <c r="T9" s="80">
        <f>IF(AC9="Cancelled",0,N9*R9)</f>
        <v/>
      </c>
      <c r="U9" s="80">
        <f>IF(AC9="Cancelled",0,O9*R9)</f>
        <v/>
      </c>
      <c r="V9" s="80">
        <f>IF(AC9="Cancelled",0,ROUND(P9*S9,2))</f>
        <v/>
      </c>
      <c r="W9" s="80" t="inlineStr">
        <is>
          <t>No</t>
        </is>
      </c>
      <c r="X9" s="80" t="n">
        <v>0</v>
      </c>
      <c r="Y9" s="80">
        <f>IF(AC9="Cancelled",0,T9+U9+V9+Q9+X9)</f>
        <v/>
      </c>
      <c r="Z9" s="80">
        <f>IF(AC9="Cancelled",-Q9,S9-Y9)</f>
        <v/>
      </c>
      <c r="AA9" s="81">
        <f>IF(OR(AC9="Cancelled",S9=0),0,Z9/S9)</f>
        <v/>
      </c>
      <c r="AB9" s="82">
        <f>IFERROR(S9/Q9,0)</f>
        <v/>
      </c>
      <c r="AC9" s="56" t="inlineStr">
        <is>
          <t>Delivered</t>
        </is>
      </c>
    </row>
    <row r="10" ht="14.25" customHeight="1" s="57">
      <c r="A10" s="56" t="inlineStr">
        <is>
          <t>ORD-00038</t>
        </is>
      </c>
      <c r="B10" s="79" t="n">
        <v>45665</v>
      </c>
      <c r="C10" s="56" t="n">
        <v>2025</v>
      </c>
      <c r="D10" s="56" t="n">
        <v>1</v>
      </c>
      <c r="E10" s="56" t="inlineStr">
        <is>
          <t>UAE</t>
        </is>
      </c>
      <c r="F10" s="56" t="inlineStr">
        <is>
          <t>Sharjah</t>
        </is>
      </c>
      <c r="G10" s="56" t="inlineStr">
        <is>
          <t>Google Ads</t>
        </is>
      </c>
      <c r="H10" s="56" t="inlineStr">
        <is>
          <t>Summer Sale</t>
        </is>
      </c>
      <c r="I10" s="56" t="inlineStr">
        <is>
          <t>P007</t>
        </is>
      </c>
      <c r="J10" s="56" t="inlineStr">
        <is>
          <t>Pet Grooming Glove</t>
        </is>
      </c>
      <c r="K10" s="56" t="inlineStr">
        <is>
          <t>Pets</t>
        </is>
      </c>
      <c r="L10" s="56" t="inlineStr">
        <is>
          <t>Yiwu Pet Products</t>
        </is>
      </c>
      <c r="M10" s="80" t="n">
        <v>20.42</v>
      </c>
      <c r="N10" s="80" t="n">
        <v>3.35</v>
      </c>
      <c r="O10" s="80" t="n">
        <v>2.49</v>
      </c>
      <c r="P10" s="80" t="n">
        <v>0.03</v>
      </c>
      <c r="Q10" s="80" t="n">
        <v>16.08</v>
      </c>
      <c r="R10" s="80" t="n">
        <v>3</v>
      </c>
      <c r="S10" s="80">
        <f>IF(AC10="Cancelled",0,M10*R10)</f>
        <v/>
      </c>
      <c r="T10" s="80">
        <f>IF(AC10="Cancelled",0,N10*R10)</f>
        <v/>
      </c>
      <c r="U10" s="80">
        <f>IF(AC10="Cancelled",0,O10*R10)</f>
        <v/>
      </c>
      <c r="V10" s="80">
        <f>IF(AC10="Cancelled",0,ROUND(P10*S10,2))</f>
        <v/>
      </c>
      <c r="W10" s="80" t="inlineStr">
        <is>
          <t>No</t>
        </is>
      </c>
      <c r="X10" s="80" t="n">
        <v>0</v>
      </c>
      <c r="Y10" s="80">
        <f>IF(AC10="Cancelled",0,T10+U10+V10+Q10+X10)</f>
        <v/>
      </c>
      <c r="Z10" s="80">
        <f>IF(AC10="Cancelled",-Q10,S10-Y10)</f>
        <v/>
      </c>
      <c r="AA10" s="81">
        <f>IF(OR(AC10="Cancelled",S10=0),0,Z10/S10)</f>
        <v/>
      </c>
      <c r="AB10" s="82">
        <f>IFERROR(S10/Q10,0)</f>
        <v/>
      </c>
      <c r="AC10" s="56" t="inlineStr">
        <is>
          <t>Delivered</t>
        </is>
      </c>
    </row>
    <row r="11" ht="14.25" customHeight="1" s="57">
      <c r="A11" s="56" t="inlineStr">
        <is>
          <t>ORD-00401</t>
        </is>
      </c>
      <c r="B11" s="79" t="n">
        <v>45666</v>
      </c>
      <c r="C11" s="56" t="n">
        <v>2025</v>
      </c>
      <c r="D11" s="56" t="n">
        <v>1</v>
      </c>
      <c r="E11" s="56" t="inlineStr">
        <is>
          <t>UAE</t>
        </is>
      </c>
      <c r="F11" s="56" t="inlineStr">
        <is>
          <t>Dubai</t>
        </is>
      </c>
      <c r="G11" s="56" t="inlineStr">
        <is>
          <t>Google Ads</t>
        </is>
      </c>
      <c r="H11" s="56" t="inlineStr">
        <is>
          <t>Launch Test</t>
        </is>
      </c>
      <c r="I11" s="56" t="inlineStr">
        <is>
          <t>P008</t>
        </is>
      </c>
      <c r="J11" s="56" t="inlineStr">
        <is>
          <t>Portable Blender</t>
        </is>
      </c>
      <c r="K11" s="56" t="inlineStr">
        <is>
          <t>Kitchen</t>
        </is>
      </c>
      <c r="L11" s="56" t="inlineStr">
        <is>
          <t>Foshan Appliances</t>
        </is>
      </c>
      <c r="M11" s="80" t="n">
        <v>53.18</v>
      </c>
      <c r="N11" s="80" t="n">
        <v>16.82</v>
      </c>
      <c r="O11" s="80" t="n">
        <v>5.87</v>
      </c>
      <c r="P11" s="80" t="n">
        <v>0.03</v>
      </c>
      <c r="Q11" s="80" t="n">
        <v>5.9</v>
      </c>
      <c r="R11" s="80" t="n">
        <v>1</v>
      </c>
      <c r="S11" s="80">
        <f>IF(AC11="Cancelled",0,M11*R11)</f>
        <v/>
      </c>
      <c r="T11" s="80">
        <f>IF(AC11="Cancelled",0,N11*R11)</f>
        <v/>
      </c>
      <c r="U11" s="80">
        <f>IF(AC11="Cancelled",0,O11*R11)</f>
        <v/>
      </c>
      <c r="V11" s="80">
        <f>IF(AC11="Cancelled",0,ROUND(P11*S11,2))</f>
        <v/>
      </c>
      <c r="W11" s="80" t="inlineStr">
        <is>
          <t>No</t>
        </is>
      </c>
      <c r="X11" s="80" t="n">
        <v>0</v>
      </c>
      <c r="Y11" s="80">
        <f>IF(AC11="Cancelled",0,T11+U11+V11+Q11+X11)</f>
        <v/>
      </c>
      <c r="Z11" s="80">
        <f>IF(AC11="Cancelled",-Q11,S11-Y11)</f>
        <v/>
      </c>
      <c r="AA11" s="81">
        <f>IF(OR(AC11="Cancelled",S11=0),0,Z11/S11)</f>
        <v/>
      </c>
      <c r="AB11" s="82">
        <f>IFERROR(S11/Q11,0)</f>
        <v/>
      </c>
      <c r="AC11" s="56" t="inlineStr">
        <is>
          <t>Delivered</t>
        </is>
      </c>
    </row>
    <row r="12" ht="14.25" customHeight="1" s="57">
      <c r="A12" s="56" t="inlineStr">
        <is>
          <t>ORD-00451</t>
        </is>
      </c>
      <c r="B12" s="79" t="n">
        <v>45667</v>
      </c>
      <c r="C12" s="56" t="n">
        <v>2025</v>
      </c>
      <c r="D12" s="56" t="n">
        <v>1</v>
      </c>
      <c r="E12" s="56" t="inlineStr">
        <is>
          <t>UAE</t>
        </is>
      </c>
      <c r="F12" s="56" t="inlineStr">
        <is>
          <t>Dubai</t>
        </is>
      </c>
      <c r="G12" s="56" t="inlineStr">
        <is>
          <t>TikTok Ads</t>
        </is>
      </c>
      <c r="H12" s="56" t="inlineStr">
        <is>
          <t>Launch Test</t>
        </is>
      </c>
      <c r="I12" s="56" t="inlineStr">
        <is>
          <t>P003</t>
        </is>
      </c>
      <c r="J12" s="56" t="inlineStr">
        <is>
          <t>LED Strip Lights</t>
        </is>
      </c>
      <c r="K12" s="56" t="inlineStr">
        <is>
          <t>Home Decor</t>
        </is>
      </c>
      <c r="L12" s="56" t="inlineStr">
        <is>
          <t>Yiwu Lighting Factory</t>
        </is>
      </c>
      <c r="M12" s="80" t="n">
        <v>24.36</v>
      </c>
      <c r="N12" s="80" t="n">
        <v>6.05</v>
      </c>
      <c r="O12" s="80" t="n">
        <v>3.32</v>
      </c>
      <c r="P12" s="80" t="n">
        <v>0.03</v>
      </c>
      <c r="Q12" s="80" t="n">
        <v>3.24</v>
      </c>
      <c r="R12" s="80" t="n">
        <v>1</v>
      </c>
      <c r="S12" s="80">
        <f>IF(AC12="Cancelled",0,M12*R12)</f>
        <v/>
      </c>
      <c r="T12" s="80">
        <f>IF(AC12="Cancelled",0,N12*R12)</f>
        <v/>
      </c>
      <c r="U12" s="80">
        <f>IF(AC12="Cancelled",0,O12*R12)</f>
        <v/>
      </c>
      <c r="V12" s="80">
        <f>IF(AC12="Cancelled",0,ROUND(P12*S12,2))</f>
        <v/>
      </c>
      <c r="W12" s="80" t="inlineStr">
        <is>
          <t>No</t>
        </is>
      </c>
      <c r="X12" s="80" t="n">
        <v>0</v>
      </c>
      <c r="Y12" s="80">
        <f>IF(AC12="Cancelled",0,T12+U12+V12+Q12+X12)</f>
        <v/>
      </c>
      <c r="Z12" s="80">
        <f>IF(AC12="Cancelled",-Q12,S12-Y12)</f>
        <v/>
      </c>
      <c r="AA12" s="81">
        <f>IF(OR(AC12="Cancelled",S12=0),0,Z12/S12)</f>
        <v/>
      </c>
      <c r="AB12" s="82">
        <f>IFERROR(S12/Q12,0)</f>
        <v/>
      </c>
      <c r="AC12" s="56" t="inlineStr">
        <is>
          <t>Delivered</t>
        </is>
      </c>
    </row>
    <row r="13" ht="14.25" customHeight="1" s="57">
      <c r="A13" s="56" t="inlineStr">
        <is>
          <t>ORD-00309</t>
        </is>
      </c>
      <c r="B13" s="79" t="n">
        <v>45668</v>
      </c>
      <c r="C13" s="56" t="n">
        <v>2025</v>
      </c>
      <c r="D13" s="56" t="n">
        <v>1</v>
      </c>
      <c r="E13" s="56" t="inlineStr">
        <is>
          <t>Oman</t>
        </is>
      </c>
      <c r="F13" s="56" t="inlineStr">
        <is>
          <t>Muscat</t>
        </is>
      </c>
      <c r="G13" s="56" t="inlineStr">
        <is>
          <t>TikTok Ads</t>
        </is>
      </c>
      <c r="H13" s="56" t="inlineStr">
        <is>
          <t>Launch Test</t>
        </is>
      </c>
      <c r="I13" s="56" t="inlineStr">
        <is>
          <t>P009</t>
        </is>
      </c>
      <c r="J13" s="56" t="inlineStr">
        <is>
          <t>Car Vacuum Cleaner</t>
        </is>
      </c>
      <c r="K13" s="56" t="inlineStr">
        <is>
          <t>Automotive</t>
        </is>
      </c>
      <c r="L13" s="56" t="inlineStr">
        <is>
          <t>Dongguan Auto Tools</t>
        </is>
      </c>
      <c r="M13" s="80" t="n">
        <v>45.62</v>
      </c>
      <c r="N13" s="80" t="n">
        <v>13.94</v>
      </c>
      <c r="O13" s="80" t="n">
        <v>7.25</v>
      </c>
      <c r="P13" s="80" t="n">
        <v>0.03</v>
      </c>
      <c r="Q13" s="80" t="n">
        <v>4.62</v>
      </c>
      <c r="R13" s="80" t="n">
        <v>2</v>
      </c>
      <c r="S13" s="80">
        <f>IF(AC13="Cancelled",0,M13*R13)</f>
        <v/>
      </c>
      <c r="T13" s="80">
        <f>IF(AC13="Cancelled",0,N13*R13)</f>
        <v/>
      </c>
      <c r="U13" s="80">
        <f>IF(AC13="Cancelled",0,O13*R13)</f>
        <v/>
      </c>
      <c r="V13" s="80">
        <f>IF(AC13="Cancelled",0,ROUND(P13*S13,2))</f>
        <v/>
      </c>
      <c r="W13" s="80" t="inlineStr">
        <is>
          <t>No</t>
        </is>
      </c>
      <c r="X13" s="80" t="n">
        <v>0</v>
      </c>
      <c r="Y13" s="80">
        <f>IF(AC13="Cancelled",0,T13+U13+V13+Q13+X13)</f>
        <v/>
      </c>
      <c r="Z13" s="80">
        <f>IF(AC13="Cancelled",-Q13,S13-Y13)</f>
        <v/>
      </c>
      <c r="AA13" s="81">
        <f>IF(OR(AC13="Cancelled",S13=0),0,Z13/S13)</f>
        <v/>
      </c>
      <c r="AB13" s="82">
        <f>IFERROR(S13/Q13,0)</f>
        <v/>
      </c>
      <c r="AC13" s="56" t="inlineStr">
        <is>
          <t>Delivered</t>
        </is>
      </c>
    </row>
    <row r="14" ht="14.25" customHeight="1" s="57">
      <c r="A14" s="56" t="inlineStr">
        <is>
          <t>ORD-00109</t>
        </is>
      </c>
      <c r="B14" s="79" t="n">
        <v>45669</v>
      </c>
      <c r="C14" s="56" t="n">
        <v>2025</v>
      </c>
      <c r="D14" s="56" t="n">
        <v>1</v>
      </c>
      <c r="E14" s="56" t="inlineStr">
        <is>
          <t>UAE</t>
        </is>
      </c>
      <c r="F14" s="56" t="inlineStr">
        <is>
          <t>Sharjah</t>
        </is>
      </c>
      <c r="G14" s="56" t="inlineStr">
        <is>
          <t>Organic Search</t>
        </is>
      </c>
      <c r="H14" s="56" t="inlineStr">
        <is>
          <t>Launch Test</t>
        </is>
      </c>
      <c r="I14" s="56" t="inlineStr">
        <is>
          <t>P008</t>
        </is>
      </c>
      <c r="J14" s="56" t="inlineStr">
        <is>
          <t>Portable Blender</t>
        </is>
      </c>
      <c r="K14" s="56" t="inlineStr">
        <is>
          <t>Kitchen</t>
        </is>
      </c>
      <c r="L14" s="56" t="inlineStr">
        <is>
          <t>Foshan Appliances</t>
        </is>
      </c>
      <c r="M14" s="80" t="n">
        <v>53.29</v>
      </c>
      <c r="N14" s="80" t="n">
        <v>15.27</v>
      </c>
      <c r="O14" s="80" t="n">
        <v>6.29</v>
      </c>
      <c r="P14" s="80" t="n">
        <v>0.03</v>
      </c>
      <c r="Q14" s="80" t="n">
        <v>0</v>
      </c>
      <c r="R14" s="80" t="n">
        <v>2</v>
      </c>
      <c r="S14" s="80">
        <f>IF(AC14="Cancelled",0,M14*R14)</f>
        <v/>
      </c>
      <c r="T14" s="80">
        <f>IF(AC14="Cancelled",0,N14*R14)</f>
        <v/>
      </c>
      <c r="U14" s="80">
        <f>IF(AC14="Cancelled",0,O14*R14)</f>
        <v/>
      </c>
      <c r="V14" s="80">
        <f>IF(AC14="Cancelled",0,ROUND(P14*S14,2))</f>
        <v/>
      </c>
      <c r="W14" s="80" t="inlineStr">
        <is>
          <t>No</t>
        </is>
      </c>
      <c r="X14" s="80" t="n">
        <v>0</v>
      </c>
      <c r="Y14" s="80">
        <f>IF(AC14="Cancelled",0,T14+U14+V14+Q14+X14)</f>
        <v/>
      </c>
      <c r="Z14" s="80">
        <f>IF(AC14="Cancelled",-Q14,S14-Y14)</f>
        <v/>
      </c>
      <c r="AA14" s="81">
        <f>IF(OR(AC14="Cancelled",S14=0),0,Z14/S14)</f>
        <v/>
      </c>
      <c r="AB14" s="82">
        <f>IFERROR(S14/Q14,0)</f>
        <v/>
      </c>
      <c r="AC14" s="56" t="inlineStr">
        <is>
          <t>Delivered</t>
        </is>
      </c>
    </row>
    <row r="15" ht="14.25" customHeight="1" s="57">
      <c r="A15" s="56" t="inlineStr">
        <is>
          <t>ORD-00145</t>
        </is>
      </c>
      <c r="B15" s="79" t="n">
        <v>45670</v>
      </c>
      <c r="C15" s="56" t="n">
        <v>2025</v>
      </c>
      <c r="D15" s="56" t="n">
        <v>1</v>
      </c>
      <c r="E15" s="56" t="inlineStr">
        <is>
          <t>UAE</t>
        </is>
      </c>
      <c r="F15" s="56" t="inlineStr">
        <is>
          <t>Abu Dhabi</t>
        </is>
      </c>
      <c r="G15" s="56" t="inlineStr">
        <is>
          <t>TikTok Ads</t>
        </is>
      </c>
      <c r="H15" s="56" t="inlineStr">
        <is>
          <t>Summer Sale</t>
        </is>
      </c>
      <c r="I15" s="56" t="inlineStr">
        <is>
          <t>P007</t>
        </is>
      </c>
      <c r="J15" s="56" t="inlineStr">
        <is>
          <t>Pet Grooming Glove</t>
        </is>
      </c>
      <c r="K15" s="56" t="inlineStr">
        <is>
          <t>Pets</t>
        </is>
      </c>
      <c r="L15" s="56" t="inlineStr">
        <is>
          <t>Yiwu Pet Products</t>
        </is>
      </c>
      <c r="M15" s="80" t="n">
        <v>19.67</v>
      </c>
      <c r="N15" s="80" t="n">
        <v>3.4</v>
      </c>
      <c r="O15" s="80" t="n">
        <v>2.82</v>
      </c>
      <c r="P15" s="80" t="n">
        <v>0.03</v>
      </c>
      <c r="Q15" s="80" t="n">
        <v>4.76</v>
      </c>
      <c r="R15" s="80" t="n">
        <v>2</v>
      </c>
      <c r="S15" s="80">
        <f>IF(AC15="Cancelled",0,M15*R15)</f>
        <v/>
      </c>
      <c r="T15" s="80">
        <f>IF(AC15="Cancelled",0,N15*R15)</f>
        <v/>
      </c>
      <c r="U15" s="80">
        <f>IF(AC15="Cancelled",0,O15*R15)</f>
        <v/>
      </c>
      <c r="V15" s="80">
        <f>IF(AC15="Cancelled",0,ROUND(P15*S15,2))</f>
        <v/>
      </c>
      <c r="W15" s="80" t="inlineStr">
        <is>
          <t>No</t>
        </is>
      </c>
      <c r="X15" s="80" t="n">
        <v>0</v>
      </c>
      <c r="Y15" s="80">
        <f>IF(AC15="Cancelled",0,T15+U15+V15+Q15+X15)</f>
        <v/>
      </c>
      <c r="Z15" s="80">
        <f>IF(AC15="Cancelled",-Q15,S15-Y15)</f>
        <v/>
      </c>
      <c r="AA15" s="81">
        <f>IF(OR(AC15="Cancelled",S15=0),0,Z15/S15)</f>
        <v/>
      </c>
      <c r="AB15" s="82">
        <f>IFERROR(S15/Q15,0)</f>
        <v/>
      </c>
      <c r="AC15" s="56" t="inlineStr">
        <is>
          <t>Delivered</t>
        </is>
      </c>
    </row>
    <row r="16" ht="14.25" customHeight="1" s="57">
      <c r="A16" s="56" t="inlineStr">
        <is>
          <t>ORD-00189</t>
        </is>
      </c>
      <c r="B16" s="79" t="n">
        <v>45670</v>
      </c>
      <c r="C16" s="56" t="n">
        <v>2025</v>
      </c>
      <c r="D16" s="56" t="n">
        <v>1</v>
      </c>
      <c r="E16" s="56" t="inlineStr">
        <is>
          <t>Kuwait</t>
        </is>
      </c>
      <c r="F16" s="56" t="inlineStr">
        <is>
          <t>Kuwait City</t>
        </is>
      </c>
      <c r="G16" s="56" t="inlineStr">
        <is>
          <t>Email</t>
        </is>
      </c>
      <c r="H16" s="56" t="inlineStr">
        <is>
          <t>Retargeting</t>
        </is>
      </c>
      <c r="I16" s="56" t="inlineStr">
        <is>
          <t>P003</t>
        </is>
      </c>
      <c r="J16" s="56" t="inlineStr">
        <is>
          <t>LED Strip Lights</t>
        </is>
      </c>
      <c r="K16" s="56" t="inlineStr">
        <is>
          <t>Home Decor</t>
        </is>
      </c>
      <c r="L16" s="56" t="inlineStr">
        <is>
          <t>Yiwu Lighting Factory</t>
        </is>
      </c>
      <c r="M16" s="80" t="n">
        <v>23.74</v>
      </c>
      <c r="N16" s="80" t="n">
        <v>6.17</v>
      </c>
      <c r="O16" s="80" t="n">
        <v>3.56</v>
      </c>
      <c r="P16" s="80" t="n">
        <v>0.03</v>
      </c>
      <c r="Q16" s="80" t="n">
        <v>16.49</v>
      </c>
      <c r="R16" s="80" t="n">
        <v>2</v>
      </c>
      <c r="S16" s="80">
        <f>IF(AC16="Cancelled",0,M16*R16)</f>
        <v/>
      </c>
      <c r="T16" s="80">
        <f>IF(AC16="Cancelled",0,N16*R16)</f>
        <v/>
      </c>
      <c r="U16" s="80">
        <f>IF(AC16="Cancelled",0,O16*R16)</f>
        <v/>
      </c>
      <c r="V16" s="80">
        <f>IF(AC16="Cancelled",0,ROUND(P16*S16,2))</f>
        <v/>
      </c>
      <c r="W16" s="80" t="inlineStr">
        <is>
          <t>No</t>
        </is>
      </c>
      <c r="X16" s="80" t="n">
        <v>0</v>
      </c>
      <c r="Y16" s="80">
        <f>IF(AC16="Cancelled",0,T16+U16+V16+Q16+X16)</f>
        <v/>
      </c>
      <c r="Z16" s="80">
        <f>IF(AC16="Cancelled",-Q16,S16-Y16)</f>
        <v/>
      </c>
      <c r="AA16" s="81">
        <f>IF(OR(AC16="Cancelled",S16=0),0,Z16/S16)</f>
        <v/>
      </c>
      <c r="AB16" s="82">
        <f>IFERROR(S16/Q16,0)</f>
        <v/>
      </c>
      <c r="AC16" s="56" t="inlineStr">
        <is>
          <t>Delivered</t>
        </is>
      </c>
    </row>
    <row r="17" ht="14.25" customHeight="1" s="57">
      <c r="A17" s="56" t="inlineStr">
        <is>
          <t>ORD-00256</t>
        </is>
      </c>
      <c r="B17" s="79" t="n">
        <v>45671</v>
      </c>
      <c r="C17" s="56" t="n">
        <v>2025</v>
      </c>
      <c r="D17" s="56" t="n">
        <v>1</v>
      </c>
      <c r="E17" s="56" t="inlineStr">
        <is>
          <t>Saudi Arabia</t>
        </is>
      </c>
      <c r="F17" s="56" t="inlineStr">
        <is>
          <t>Riyadh</t>
        </is>
      </c>
      <c r="G17" s="56" t="inlineStr">
        <is>
          <t>Organic Search</t>
        </is>
      </c>
      <c r="H17" s="56" t="inlineStr">
        <is>
          <t>Retargeting</t>
        </is>
      </c>
      <c r="I17" s="56" t="inlineStr">
        <is>
          <t>P008</t>
        </is>
      </c>
      <c r="J17" s="56" t="inlineStr">
        <is>
          <t>Portable Blender</t>
        </is>
      </c>
      <c r="K17" s="56" t="inlineStr">
        <is>
          <t>Kitchen</t>
        </is>
      </c>
      <c r="L17" s="56" t="inlineStr">
        <is>
          <t>Foshan Appliances</t>
        </is>
      </c>
      <c r="M17" s="80" t="n">
        <v>48.78</v>
      </c>
      <c r="N17" s="80" t="n">
        <v>17.16</v>
      </c>
      <c r="O17" s="80" t="n">
        <v>5.65</v>
      </c>
      <c r="P17" s="80" t="n">
        <v>0.03</v>
      </c>
      <c r="Q17" s="80" t="n">
        <v>0</v>
      </c>
      <c r="R17" s="80" t="n">
        <v>3</v>
      </c>
      <c r="S17" s="80">
        <f>IF(AC17="Cancelled",0,M17*R17)</f>
        <v/>
      </c>
      <c r="T17" s="80">
        <f>IF(AC17="Cancelled",0,N17*R17)</f>
        <v/>
      </c>
      <c r="U17" s="80">
        <f>IF(AC17="Cancelled",0,O17*R17)</f>
        <v/>
      </c>
      <c r="V17" s="80">
        <f>IF(AC17="Cancelled",0,ROUND(P17*S17,2))</f>
        <v/>
      </c>
      <c r="W17" s="80" t="inlineStr">
        <is>
          <t>No</t>
        </is>
      </c>
      <c r="X17" s="80" t="n">
        <v>0</v>
      </c>
      <c r="Y17" s="80">
        <f>IF(AC17="Cancelled",0,T17+U17+V17+Q17+X17)</f>
        <v/>
      </c>
      <c r="Z17" s="80">
        <f>IF(AC17="Cancelled",-Q17,S17-Y17)</f>
        <v/>
      </c>
      <c r="AA17" s="81">
        <f>IF(OR(AC17="Cancelled",S17=0),0,Z17/S17)</f>
        <v/>
      </c>
      <c r="AB17" s="82">
        <f>IFERROR(S17/Q17,0)</f>
        <v/>
      </c>
      <c r="AC17" s="56" t="inlineStr">
        <is>
          <t>Delivered</t>
        </is>
      </c>
    </row>
    <row r="18" ht="14.25" customHeight="1" s="57">
      <c r="A18" s="56" t="inlineStr">
        <is>
          <t>ORD-00088</t>
        </is>
      </c>
      <c r="B18" s="79" t="n">
        <v>45672</v>
      </c>
      <c r="C18" s="56" t="n">
        <v>2025</v>
      </c>
      <c r="D18" s="56" t="n">
        <v>1</v>
      </c>
      <c r="E18" s="56" t="inlineStr">
        <is>
          <t>Oman</t>
        </is>
      </c>
      <c r="F18" s="56" t="inlineStr">
        <is>
          <t>Muscat</t>
        </is>
      </c>
      <c r="G18" s="56" t="inlineStr">
        <is>
          <t>Meta Ads</t>
        </is>
      </c>
      <c r="H18" s="56" t="inlineStr">
        <is>
          <t>Bundle Promo</t>
        </is>
      </c>
      <c r="I18" s="56" t="inlineStr">
        <is>
          <t>P005</t>
        </is>
      </c>
      <c r="J18" s="56" t="inlineStr">
        <is>
          <t>Mini Printer</t>
        </is>
      </c>
      <c r="K18" s="56" t="inlineStr">
        <is>
          <t>Electronics</t>
        </is>
      </c>
      <c r="L18" s="56" t="inlineStr">
        <is>
          <t>Shenzhen Print Tech</t>
        </is>
      </c>
      <c r="M18" s="80" t="n">
        <v>60.22</v>
      </c>
      <c r="N18" s="80" t="n">
        <v>21.76</v>
      </c>
      <c r="O18" s="80" t="n">
        <v>7.97</v>
      </c>
      <c r="P18" s="80" t="n">
        <v>0.03</v>
      </c>
      <c r="Q18" s="80" t="n">
        <v>5.71</v>
      </c>
      <c r="R18" s="80" t="n">
        <v>1</v>
      </c>
      <c r="S18" s="80">
        <f>IF(AC18="Cancelled",0,M18*R18)</f>
        <v/>
      </c>
      <c r="T18" s="80">
        <f>IF(AC18="Cancelled",0,N18*R18)</f>
        <v/>
      </c>
      <c r="U18" s="80">
        <f>IF(AC18="Cancelled",0,O18*R18)</f>
        <v/>
      </c>
      <c r="V18" s="80">
        <f>IF(AC18="Cancelled",0,ROUND(P18*S18,2))</f>
        <v/>
      </c>
      <c r="W18" s="80" t="inlineStr">
        <is>
          <t>No</t>
        </is>
      </c>
      <c r="X18" s="80" t="n">
        <v>0</v>
      </c>
      <c r="Y18" s="80">
        <f>IF(AC18="Cancelled",0,T18+U18+V18+Q18+X18)</f>
        <v/>
      </c>
      <c r="Z18" s="80">
        <f>IF(AC18="Cancelled",-Q18,S18-Y18)</f>
        <v/>
      </c>
      <c r="AA18" s="81">
        <f>IF(OR(AC18="Cancelled",S18=0),0,Z18/S18)</f>
        <v/>
      </c>
      <c r="AB18" s="82">
        <f>IFERROR(S18/Q18,0)</f>
        <v/>
      </c>
      <c r="AC18" s="56" t="inlineStr">
        <is>
          <t>Delivered</t>
        </is>
      </c>
    </row>
    <row r="19" ht="14.25" customHeight="1" s="57">
      <c r="A19" s="56" t="inlineStr">
        <is>
          <t>ORD-00085</t>
        </is>
      </c>
      <c r="B19" s="79" t="n">
        <v>45673</v>
      </c>
      <c r="C19" s="56" t="n">
        <v>2025</v>
      </c>
      <c r="D19" s="56" t="n">
        <v>1</v>
      </c>
      <c r="E19" s="56" t="inlineStr">
        <is>
          <t>Saudi Arabia</t>
        </is>
      </c>
      <c r="F19" s="56" t="inlineStr">
        <is>
          <t>Jeddah</t>
        </is>
      </c>
      <c r="G19" s="56" t="inlineStr">
        <is>
          <t>Meta Ads</t>
        </is>
      </c>
      <c r="H19" s="56" t="inlineStr">
        <is>
          <t>Summer Sale</t>
        </is>
      </c>
      <c r="I19" s="56" t="inlineStr">
        <is>
          <t>P010</t>
        </is>
      </c>
      <c r="J19" s="56" t="inlineStr">
        <is>
          <t>Smart Water Bottle</t>
        </is>
      </c>
      <c r="K19" s="56" t="inlineStr">
        <is>
          <t>Lifestyle</t>
        </is>
      </c>
      <c r="L19" s="56" t="inlineStr">
        <is>
          <t>Shenzhen Smart Home</t>
        </is>
      </c>
      <c r="M19" s="80" t="n">
        <v>34.03</v>
      </c>
      <c r="N19" s="80" t="n">
        <v>10.13</v>
      </c>
      <c r="O19" s="80" t="n">
        <v>3.84</v>
      </c>
      <c r="P19" s="80" t="n">
        <v>0.03</v>
      </c>
      <c r="Q19" s="80" t="n">
        <v>6.13</v>
      </c>
      <c r="R19" s="80" t="n">
        <v>1</v>
      </c>
      <c r="S19" s="80">
        <f>IF(AC19="Cancelled",0,M19*R19)</f>
        <v/>
      </c>
      <c r="T19" s="80">
        <f>IF(AC19="Cancelled",0,N19*R19)</f>
        <v/>
      </c>
      <c r="U19" s="80">
        <f>IF(AC19="Cancelled",0,O19*R19)</f>
        <v/>
      </c>
      <c r="V19" s="80">
        <f>IF(AC19="Cancelled",0,ROUND(P19*S19,2))</f>
        <v/>
      </c>
      <c r="W19" s="80" t="inlineStr">
        <is>
          <t>No</t>
        </is>
      </c>
      <c r="X19" s="80" t="n">
        <v>0</v>
      </c>
      <c r="Y19" s="80">
        <f>IF(AC19="Cancelled",0,T19+U19+V19+Q19+X19)</f>
        <v/>
      </c>
      <c r="Z19" s="80">
        <f>IF(AC19="Cancelled",-Q19,S19-Y19)</f>
        <v/>
      </c>
      <c r="AA19" s="81">
        <f>IF(OR(AC19="Cancelled",S19=0),0,Z19/S19)</f>
        <v/>
      </c>
      <c r="AB19" s="82">
        <f>IFERROR(S19/Q19,0)</f>
        <v/>
      </c>
      <c r="AC19" s="56" t="inlineStr">
        <is>
          <t>Delivered</t>
        </is>
      </c>
    </row>
    <row r="20" ht="14.25" customHeight="1" s="57">
      <c r="A20" s="56" t="inlineStr">
        <is>
          <t>ORD-00432</t>
        </is>
      </c>
      <c r="B20" s="79" t="n">
        <v>45673</v>
      </c>
      <c r="C20" s="56" t="n">
        <v>2025</v>
      </c>
      <c r="D20" s="56" t="n">
        <v>1</v>
      </c>
      <c r="E20" s="56" t="inlineStr">
        <is>
          <t>UAE</t>
        </is>
      </c>
      <c r="F20" s="56" t="inlineStr">
        <is>
          <t>Dubai</t>
        </is>
      </c>
      <c r="G20" s="56" t="inlineStr">
        <is>
          <t>Email</t>
        </is>
      </c>
      <c r="H20" s="56" t="inlineStr">
        <is>
          <t>Bundle Promo</t>
        </is>
      </c>
      <c r="I20" s="56" t="inlineStr">
        <is>
          <t>P009</t>
        </is>
      </c>
      <c r="J20" s="56" t="inlineStr">
        <is>
          <t>Car Vacuum Cleaner</t>
        </is>
      </c>
      <c r="K20" s="56" t="inlineStr">
        <is>
          <t>Automotive</t>
        </is>
      </c>
      <c r="L20" s="56" t="inlineStr">
        <is>
          <t>Dongguan Auto Tools</t>
        </is>
      </c>
      <c r="M20" s="80" t="n">
        <v>49.68</v>
      </c>
      <c r="N20" s="80" t="n">
        <v>13.59</v>
      </c>
      <c r="O20" s="80" t="n">
        <v>6.24</v>
      </c>
      <c r="P20" s="80" t="n">
        <v>0.03</v>
      </c>
      <c r="Q20" s="80" t="n">
        <v>1.98</v>
      </c>
      <c r="R20" s="80" t="n">
        <v>1</v>
      </c>
      <c r="S20" s="80">
        <f>IF(AC20="Cancelled",0,M20*R20)</f>
        <v/>
      </c>
      <c r="T20" s="80">
        <f>IF(AC20="Cancelled",0,N20*R20)</f>
        <v/>
      </c>
      <c r="U20" s="80">
        <f>IF(AC20="Cancelled",0,O20*R20)</f>
        <v/>
      </c>
      <c r="V20" s="80">
        <f>IF(AC20="Cancelled",0,ROUND(P20*S20,2))</f>
        <v/>
      </c>
      <c r="W20" s="80" t="inlineStr">
        <is>
          <t>No</t>
        </is>
      </c>
      <c r="X20" s="80" t="n">
        <v>0</v>
      </c>
      <c r="Y20" s="80">
        <f>IF(AC20="Cancelled",0,T20+U20+V20+Q20+X20)</f>
        <v/>
      </c>
      <c r="Z20" s="80">
        <f>IF(AC20="Cancelled",-Q20,S20-Y20)</f>
        <v/>
      </c>
      <c r="AA20" s="81">
        <f>IF(OR(AC20="Cancelled",S20=0),0,Z20/S20)</f>
        <v/>
      </c>
      <c r="AB20" s="82">
        <f>IFERROR(S20/Q20,0)</f>
        <v/>
      </c>
      <c r="AC20" s="56" t="inlineStr">
        <is>
          <t>Delivered</t>
        </is>
      </c>
    </row>
    <row r="21" ht="14.25" customHeight="1" s="57">
      <c r="A21" s="56" t="inlineStr">
        <is>
          <t>ORD-00165</t>
        </is>
      </c>
      <c r="B21" s="79" t="n">
        <v>45675</v>
      </c>
      <c r="C21" s="56" t="n">
        <v>2025</v>
      </c>
      <c r="D21" s="56" t="n">
        <v>1</v>
      </c>
      <c r="E21" s="56" t="inlineStr">
        <is>
          <t>Oman</t>
        </is>
      </c>
      <c r="F21" s="56" t="inlineStr">
        <is>
          <t>Muscat</t>
        </is>
      </c>
      <c r="G21" s="56" t="inlineStr">
        <is>
          <t>Google Ads</t>
        </is>
      </c>
      <c r="H21" s="56" t="inlineStr">
        <is>
          <t>Summer Sale</t>
        </is>
      </c>
      <c r="I21" s="56" t="inlineStr">
        <is>
          <t>P007</t>
        </is>
      </c>
      <c r="J21" s="56" t="inlineStr">
        <is>
          <t>Pet Grooming Glove</t>
        </is>
      </c>
      <c r="K21" s="56" t="inlineStr">
        <is>
          <t>Pets</t>
        </is>
      </c>
      <c r="L21" s="56" t="inlineStr">
        <is>
          <t>Yiwu Pet Products</t>
        </is>
      </c>
      <c r="M21" s="80" t="n">
        <v>18.7</v>
      </c>
      <c r="N21" s="80" t="n">
        <v>3.67</v>
      </c>
      <c r="O21" s="80" t="n">
        <v>2.54</v>
      </c>
      <c r="P21" s="80" t="n">
        <v>0.03</v>
      </c>
      <c r="Q21" s="80" t="n">
        <v>19.91</v>
      </c>
      <c r="R21" s="80" t="n">
        <v>3</v>
      </c>
      <c r="S21" s="80">
        <f>IF(AC21="Cancelled",0,M21*R21)</f>
        <v/>
      </c>
      <c r="T21" s="80">
        <f>IF(AC21="Cancelled",0,N21*R21)</f>
        <v/>
      </c>
      <c r="U21" s="80">
        <f>IF(AC21="Cancelled",0,O21*R21)</f>
        <v/>
      </c>
      <c r="V21" s="80">
        <f>IF(AC21="Cancelled",0,ROUND(P21*S21,2))</f>
        <v/>
      </c>
      <c r="W21" s="80" t="inlineStr">
        <is>
          <t>No</t>
        </is>
      </c>
      <c r="X21" s="80" t="n">
        <v>0</v>
      </c>
      <c r="Y21" s="80">
        <f>IF(AC21="Cancelled",0,T21+U21+V21+Q21+X21)</f>
        <v/>
      </c>
      <c r="Z21" s="80">
        <f>IF(AC21="Cancelled",-Q21,S21-Y21)</f>
        <v/>
      </c>
      <c r="AA21" s="81">
        <f>IF(OR(AC21="Cancelled",S21=0),0,Z21/S21)</f>
        <v/>
      </c>
      <c r="AB21" s="82">
        <f>IFERROR(S21/Q21,0)</f>
        <v/>
      </c>
      <c r="AC21" s="56" t="inlineStr">
        <is>
          <t>Delivered</t>
        </is>
      </c>
    </row>
    <row r="22" ht="14.25" customHeight="1" s="57">
      <c r="A22" s="56" t="inlineStr">
        <is>
          <t>ORD-00399</t>
        </is>
      </c>
      <c r="B22" s="79" t="n">
        <v>45678</v>
      </c>
      <c r="C22" s="56" t="n">
        <v>2025</v>
      </c>
      <c r="D22" s="56" t="n">
        <v>1</v>
      </c>
      <c r="E22" s="56" t="inlineStr">
        <is>
          <t>Qatar</t>
        </is>
      </c>
      <c r="F22" s="56" t="inlineStr">
        <is>
          <t>Doha</t>
        </is>
      </c>
      <c r="G22" s="56" t="inlineStr">
        <is>
          <t>Google Ads</t>
        </is>
      </c>
      <c r="H22" s="56" t="inlineStr">
        <is>
          <t>Bundle Promo</t>
        </is>
      </c>
      <c r="I22" s="56" t="inlineStr">
        <is>
          <t>P003</t>
        </is>
      </c>
      <c r="J22" s="56" t="inlineStr">
        <is>
          <t>LED Strip Lights</t>
        </is>
      </c>
      <c r="K22" s="56" t="inlineStr">
        <is>
          <t>Home Decor</t>
        </is>
      </c>
      <c r="L22" s="56" t="inlineStr">
        <is>
          <t>Yiwu Lighting Factory</t>
        </is>
      </c>
      <c r="M22" s="80" t="n">
        <v>23.6</v>
      </c>
      <c r="N22" s="80" t="n">
        <v>6.07</v>
      </c>
      <c r="O22" s="80" t="n">
        <v>3.61</v>
      </c>
      <c r="P22" s="80" t="n">
        <v>0.03</v>
      </c>
      <c r="Q22" s="80" t="n">
        <v>2.25</v>
      </c>
      <c r="R22" s="80" t="n">
        <v>2</v>
      </c>
      <c r="S22" s="80">
        <f>IF(AC22="Cancelled",0,M22*R22)</f>
        <v/>
      </c>
      <c r="T22" s="80">
        <f>IF(AC22="Cancelled",0,N22*R22)</f>
        <v/>
      </c>
      <c r="U22" s="80">
        <f>IF(AC22="Cancelled",0,O22*R22)</f>
        <v/>
      </c>
      <c r="V22" s="80">
        <f>IF(AC22="Cancelled",0,ROUND(P22*S22,2))</f>
        <v/>
      </c>
      <c r="W22" s="80" t="inlineStr">
        <is>
          <t>No</t>
        </is>
      </c>
      <c r="X22" s="80" t="n">
        <v>0</v>
      </c>
      <c r="Y22" s="80">
        <f>IF(AC22="Cancelled",0,T22+U22+V22+Q22+X22)</f>
        <v/>
      </c>
      <c r="Z22" s="80">
        <f>IF(AC22="Cancelled",-Q22,S22-Y22)</f>
        <v/>
      </c>
      <c r="AA22" s="81">
        <f>IF(OR(AC22="Cancelled",S22=0),0,Z22/S22)</f>
        <v/>
      </c>
      <c r="AB22" s="82">
        <f>IFERROR(S22/Q22,0)</f>
        <v/>
      </c>
      <c r="AC22" s="56" t="inlineStr">
        <is>
          <t>Delivered</t>
        </is>
      </c>
    </row>
    <row r="23" ht="14.25" customHeight="1" s="57">
      <c r="A23" s="56" t="inlineStr">
        <is>
          <t>ORD-00332</t>
        </is>
      </c>
      <c r="B23" s="79" t="n">
        <v>45680</v>
      </c>
      <c r="C23" s="56" t="n">
        <v>2025</v>
      </c>
      <c r="D23" s="56" t="n">
        <v>1</v>
      </c>
      <c r="E23" s="56" t="inlineStr">
        <is>
          <t>Kuwait</t>
        </is>
      </c>
      <c r="F23" s="56" t="inlineStr">
        <is>
          <t>Kuwait City</t>
        </is>
      </c>
      <c r="G23" s="56" t="inlineStr">
        <is>
          <t>TikTok Ads</t>
        </is>
      </c>
      <c r="H23" s="56" t="inlineStr">
        <is>
          <t>Launch Test</t>
        </is>
      </c>
      <c r="I23" s="56" t="inlineStr">
        <is>
          <t>P002</t>
        </is>
      </c>
      <c r="J23" s="56" t="inlineStr">
        <is>
          <t>Phone Case</t>
        </is>
      </c>
      <c r="K23" s="56" t="inlineStr">
        <is>
          <t>Accessories</t>
        </is>
      </c>
      <c r="L23" s="56" t="inlineStr">
        <is>
          <t>Guangzhou Cases Ltd.</t>
        </is>
      </c>
      <c r="M23" s="80" t="n">
        <v>16.17</v>
      </c>
      <c r="N23" s="80" t="n">
        <v>1.98</v>
      </c>
      <c r="O23" s="80" t="n">
        <v>1.97</v>
      </c>
      <c r="P23" s="80" t="n">
        <v>0.03</v>
      </c>
      <c r="Q23" s="80" t="n">
        <v>5.8</v>
      </c>
      <c r="R23" s="80" t="n">
        <v>1</v>
      </c>
      <c r="S23" s="80">
        <f>IF(AC23="Cancelled",0,M23*R23)</f>
        <v/>
      </c>
      <c r="T23" s="80">
        <f>IF(AC23="Cancelled",0,N23*R23)</f>
        <v/>
      </c>
      <c r="U23" s="80">
        <f>IF(AC23="Cancelled",0,O23*R23)</f>
        <v/>
      </c>
      <c r="V23" s="80">
        <f>IF(AC23="Cancelled",0,ROUND(P23*S23,2))</f>
        <v/>
      </c>
      <c r="W23" s="80" t="inlineStr">
        <is>
          <t>No</t>
        </is>
      </c>
      <c r="X23" s="80" t="n">
        <v>0</v>
      </c>
      <c r="Y23" s="80">
        <f>IF(AC23="Cancelled",0,T23+U23+V23+Q23+X23)</f>
        <v/>
      </c>
      <c r="Z23" s="80">
        <f>IF(AC23="Cancelled",-Q23,S23-Y23)</f>
        <v/>
      </c>
      <c r="AA23" s="81">
        <f>IF(OR(AC23="Cancelled",S23=0),0,Z23/S23)</f>
        <v/>
      </c>
      <c r="AB23" s="82">
        <f>IFERROR(S23/Q23,0)</f>
        <v/>
      </c>
      <c r="AC23" s="56" t="inlineStr">
        <is>
          <t>Delivered</t>
        </is>
      </c>
    </row>
    <row r="24" ht="14.25" customHeight="1" s="57">
      <c r="A24" s="56" t="inlineStr">
        <is>
          <t>ORD-00187</t>
        </is>
      </c>
      <c r="B24" s="79" t="n">
        <v>45681</v>
      </c>
      <c r="C24" s="56" t="n">
        <v>2025</v>
      </c>
      <c r="D24" s="56" t="n">
        <v>1</v>
      </c>
      <c r="E24" s="56" t="inlineStr">
        <is>
          <t>UAE</t>
        </is>
      </c>
      <c r="F24" s="56" t="inlineStr">
        <is>
          <t>Dubai</t>
        </is>
      </c>
      <c r="G24" s="56" t="inlineStr">
        <is>
          <t>Influencer</t>
        </is>
      </c>
      <c r="H24" s="56" t="inlineStr">
        <is>
          <t>Launch Test</t>
        </is>
      </c>
      <c r="I24" s="56" t="inlineStr">
        <is>
          <t>P001</t>
        </is>
      </c>
      <c r="J24" s="56" t="inlineStr">
        <is>
          <t>Wireless Earbuds</t>
        </is>
      </c>
      <c r="K24" s="56" t="inlineStr">
        <is>
          <t>Electronics</t>
        </is>
      </c>
      <c r="L24" s="56" t="inlineStr">
        <is>
          <t>Shenzhen Audio Co.</t>
        </is>
      </c>
      <c r="M24" s="80" t="n">
        <v>43.81</v>
      </c>
      <c r="N24" s="80" t="n">
        <v>8.609999999999999</v>
      </c>
      <c r="O24" s="80" t="n">
        <v>4.21</v>
      </c>
      <c r="P24" s="80" t="n">
        <v>0.03</v>
      </c>
      <c r="Q24" s="80" t="n">
        <v>2.85</v>
      </c>
      <c r="R24" s="80" t="n">
        <v>1</v>
      </c>
      <c r="S24" s="80">
        <f>IF(AC24="Cancelled",0,M24*R24)</f>
        <v/>
      </c>
      <c r="T24" s="80">
        <f>IF(AC24="Cancelled",0,N24*R24)</f>
        <v/>
      </c>
      <c r="U24" s="80">
        <f>IF(AC24="Cancelled",0,O24*R24)</f>
        <v/>
      </c>
      <c r="V24" s="80">
        <f>IF(AC24="Cancelled",0,ROUND(P24*S24,2))</f>
        <v/>
      </c>
      <c r="W24" s="80" t="inlineStr">
        <is>
          <t>No</t>
        </is>
      </c>
      <c r="X24" s="80" t="n">
        <v>0</v>
      </c>
      <c r="Y24" s="80">
        <f>IF(AC24="Cancelled",0,T24+U24+V24+Q24+X24)</f>
        <v/>
      </c>
      <c r="Z24" s="80">
        <f>IF(AC24="Cancelled",-Q24,S24-Y24)</f>
        <v/>
      </c>
      <c r="AA24" s="81">
        <f>IF(OR(AC24="Cancelled",S24=0),0,Z24/S24)</f>
        <v/>
      </c>
      <c r="AB24" s="82">
        <f>IFERROR(S24/Q24,0)</f>
        <v/>
      </c>
      <c r="AC24" s="56" t="inlineStr">
        <is>
          <t>Delivered</t>
        </is>
      </c>
    </row>
    <row r="25" ht="14.25" customHeight="1" s="57">
      <c r="A25" s="56" t="inlineStr">
        <is>
          <t>ORD-00078</t>
        </is>
      </c>
      <c r="B25" s="79" t="n">
        <v>45683</v>
      </c>
      <c r="C25" s="56" t="n">
        <v>2025</v>
      </c>
      <c r="D25" s="56" t="n">
        <v>1</v>
      </c>
      <c r="E25" s="56" t="inlineStr">
        <is>
          <t>Qatar</t>
        </is>
      </c>
      <c r="F25" s="56" t="inlineStr">
        <is>
          <t>Doha</t>
        </is>
      </c>
      <c r="G25" s="56" t="inlineStr">
        <is>
          <t>Meta Ads</t>
        </is>
      </c>
      <c r="H25" s="56" t="inlineStr">
        <is>
          <t>Bundle Promo</t>
        </is>
      </c>
      <c r="I25" s="56" t="inlineStr">
        <is>
          <t>P009</t>
        </is>
      </c>
      <c r="J25" s="56" t="inlineStr">
        <is>
          <t>Car Vacuum Cleaner</t>
        </is>
      </c>
      <c r="K25" s="56" t="inlineStr">
        <is>
          <t>Automotive</t>
        </is>
      </c>
      <c r="L25" s="56" t="inlineStr">
        <is>
          <t>Dongguan Auto Tools</t>
        </is>
      </c>
      <c r="M25" s="80" t="n">
        <v>44.19</v>
      </c>
      <c r="N25" s="80" t="n">
        <v>14.17</v>
      </c>
      <c r="O25" s="80" t="n">
        <v>6.31</v>
      </c>
      <c r="P25" s="80" t="n">
        <v>0.03</v>
      </c>
      <c r="Q25" s="80" t="n">
        <v>20.54</v>
      </c>
      <c r="R25" s="80" t="n">
        <v>2</v>
      </c>
      <c r="S25" s="80">
        <f>IF(AC25="Cancelled",0,M25*R25)</f>
        <v/>
      </c>
      <c r="T25" s="80">
        <f>IF(AC25="Cancelled",0,N25*R25)</f>
        <v/>
      </c>
      <c r="U25" s="80">
        <f>IF(AC25="Cancelled",0,O25*R25)</f>
        <v/>
      </c>
      <c r="V25" s="80">
        <f>IF(AC25="Cancelled",0,ROUND(P25*S25,2))</f>
        <v/>
      </c>
      <c r="W25" s="80" t="inlineStr">
        <is>
          <t>No</t>
        </is>
      </c>
      <c r="X25" s="80" t="n">
        <v>0</v>
      </c>
      <c r="Y25" s="80">
        <f>IF(AC25="Cancelled",0,T25+U25+V25+Q25+X25)</f>
        <v/>
      </c>
      <c r="Z25" s="80">
        <f>IF(AC25="Cancelled",-Q25,S25-Y25)</f>
        <v/>
      </c>
      <c r="AA25" s="81">
        <f>IF(OR(AC25="Cancelled",S25=0),0,Z25/S25)</f>
        <v/>
      </c>
      <c r="AB25" s="82">
        <f>IFERROR(S25/Q25,0)</f>
        <v/>
      </c>
      <c r="AC25" s="56" t="inlineStr">
        <is>
          <t>Delivered</t>
        </is>
      </c>
    </row>
    <row r="26" ht="14.25" customHeight="1" s="57">
      <c r="A26" s="56" t="inlineStr">
        <is>
          <t>ORD-00186</t>
        </is>
      </c>
      <c r="B26" s="79" t="n">
        <v>45684</v>
      </c>
      <c r="C26" s="56" t="n">
        <v>2025</v>
      </c>
      <c r="D26" s="56" t="n">
        <v>1</v>
      </c>
      <c r="E26" s="56" t="inlineStr">
        <is>
          <t>Qatar</t>
        </is>
      </c>
      <c r="F26" s="56" t="inlineStr">
        <is>
          <t>Doha</t>
        </is>
      </c>
      <c r="G26" s="56" t="inlineStr">
        <is>
          <t>Meta Ads</t>
        </is>
      </c>
      <c r="H26" s="56" t="inlineStr">
        <is>
          <t>Summer Sale</t>
        </is>
      </c>
      <c r="I26" s="56" t="inlineStr">
        <is>
          <t>P002</t>
        </is>
      </c>
      <c r="J26" s="56" t="inlineStr">
        <is>
          <t>Phone Case</t>
        </is>
      </c>
      <c r="K26" s="56" t="inlineStr">
        <is>
          <t>Accessories</t>
        </is>
      </c>
      <c r="L26" s="56" t="inlineStr">
        <is>
          <t>Guangzhou Cases Ltd.</t>
        </is>
      </c>
      <c r="M26" s="80" t="n">
        <v>16.73</v>
      </c>
      <c r="N26" s="80" t="n">
        <v>2.02</v>
      </c>
      <c r="O26" s="80" t="n">
        <v>2.18</v>
      </c>
      <c r="P26" s="80" t="n">
        <v>0.03</v>
      </c>
      <c r="Q26" s="80" t="n">
        <v>3.74</v>
      </c>
      <c r="R26" s="80" t="n">
        <v>2</v>
      </c>
      <c r="S26" s="80">
        <f>IF(AC26="Cancelled",0,M26*R26)</f>
        <v/>
      </c>
      <c r="T26" s="80">
        <f>IF(AC26="Cancelled",0,N26*R26)</f>
        <v/>
      </c>
      <c r="U26" s="80">
        <f>IF(AC26="Cancelled",0,O26*R26)</f>
        <v/>
      </c>
      <c r="V26" s="80">
        <f>IF(AC26="Cancelled",0,ROUND(P26*S26,2))</f>
        <v/>
      </c>
      <c r="W26" s="80" t="inlineStr">
        <is>
          <t>No</t>
        </is>
      </c>
      <c r="X26" s="80" t="n">
        <v>0</v>
      </c>
      <c r="Y26" s="80">
        <f>IF(AC26="Cancelled",0,T26+U26+V26+Q26+X26)</f>
        <v/>
      </c>
      <c r="Z26" s="80">
        <f>IF(AC26="Cancelled",-Q26,S26-Y26)</f>
        <v/>
      </c>
      <c r="AA26" s="81">
        <f>IF(OR(AC26="Cancelled",S26=0),0,Z26/S26)</f>
        <v/>
      </c>
      <c r="AB26" s="82">
        <f>IFERROR(S26/Q26,0)</f>
        <v/>
      </c>
      <c r="AC26" s="56" t="inlineStr">
        <is>
          <t>Delivered</t>
        </is>
      </c>
    </row>
    <row r="27" ht="14.25" customHeight="1" s="57">
      <c r="A27" s="56" t="inlineStr">
        <is>
          <t>ORD-00363</t>
        </is>
      </c>
      <c r="B27" s="79" t="n">
        <v>45685</v>
      </c>
      <c r="C27" s="56" t="n">
        <v>2025</v>
      </c>
      <c r="D27" s="56" t="n">
        <v>1</v>
      </c>
      <c r="E27" s="56" t="inlineStr">
        <is>
          <t>Saudi Arabia</t>
        </is>
      </c>
      <c r="F27" s="56" t="inlineStr">
        <is>
          <t>Jeddah</t>
        </is>
      </c>
      <c r="G27" s="56" t="inlineStr">
        <is>
          <t>TikTok Ads</t>
        </is>
      </c>
      <c r="H27" s="56" t="inlineStr">
        <is>
          <t>Bundle Promo</t>
        </is>
      </c>
      <c r="I27" s="56" t="inlineStr">
        <is>
          <t>P001</t>
        </is>
      </c>
      <c r="J27" s="56" t="inlineStr">
        <is>
          <t>Wireless Earbuds</t>
        </is>
      </c>
      <c r="K27" s="56" t="inlineStr">
        <is>
          <t>Electronics</t>
        </is>
      </c>
      <c r="L27" s="56" t="inlineStr">
        <is>
          <t>Shenzhen Audio Co.</t>
        </is>
      </c>
      <c r="M27" s="80" t="n">
        <v>43.14</v>
      </c>
      <c r="N27" s="80" t="n">
        <v>8.83</v>
      </c>
      <c r="O27" s="80" t="n">
        <v>4.57</v>
      </c>
      <c r="P27" s="80" t="n">
        <v>0.03</v>
      </c>
      <c r="Q27" s="80" t="n">
        <v>9.57</v>
      </c>
      <c r="R27" s="80" t="n">
        <v>1</v>
      </c>
      <c r="S27" s="80">
        <f>IF(AC27="Cancelled",0,M27*R27)</f>
        <v/>
      </c>
      <c r="T27" s="80">
        <f>IF(AC27="Cancelled",0,N27*R27)</f>
        <v/>
      </c>
      <c r="U27" s="80">
        <f>IF(AC27="Cancelled",0,O27*R27)</f>
        <v/>
      </c>
      <c r="V27" s="80">
        <f>IF(AC27="Cancelled",0,ROUND(P27*S27,2))</f>
        <v/>
      </c>
      <c r="W27" s="80" t="inlineStr">
        <is>
          <t>No</t>
        </is>
      </c>
      <c r="X27" s="80" t="n">
        <v>0</v>
      </c>
      <c r="Y27" s="80">
        <f>IF(AC27="Cancelled",0,T27+U27+V27+Q27+X27)</f>
        <v/>
      </c>
      <c r="Z27" s="80">
        <f>IF(AC27="Cancelled",-Q27,S27-Y27)</f>
        <v/>
      </c>
      <c r="AA27" s="81">
        <f>IF(OR(AC27="Cancelled",S27=0),0,Z27/S27)</f>
        <v/>
      </c>
      <c r="AB27" s="82">
        <f>IFERROR(S27/Q27,0)</f>
        <v/>
      </c>
      <c r="AC27" s="56" t="inlineStr">
        <is>
          <t>Delivered</t>
        </is>
      </c>
    </row>
    <row r="28" ht="14.25" customHeight="1" s="57">
      <c r="A28" s="56" t="inlineStr">
        <is>
          <t>ORD-00221</t>
        </is>
      </c>
      <c r="B28" s="79" t="n">
        <v>45686</v>
      </c>
      <c r="C28" s="56" t="n">
        <v>2025</v>
      </c>
      <c r="D28" s="56" t="n">
        <v>1</v>
      </c>
      <c r="E28" s="56" t="inlineStr">
        <is>
          <t>UAE</t>
        </is>
      </c>
      <c r="F28" s="56" t="inlineStr">
        <is>
          <t>Dubai</t>
        </is>
      </c>
      <c r="G28" s="56" t="inlineStr">
        <is>
          <t>Organic Search</t>
        </is>
      </c>
      <c r="H28" s="56" t="inlineStr">
        <is>
          <t>Summer Sale</t>
        </is>
      </c>
      <c r="I28" s="56" t="inlineStr">
        <is>
          <t>P001</t>
        </is>
      </c>
      <c r="J28" s="56" t="inlineStr">
        <is>
          <t>Wireless Earbuds</t>
        </is>
      </c>
      <c r="K28" s="56" t="inlineStr">
        <is>
          <t>Electronics</t>
        </is>
      </c>
      <c r="L28" s="56" t="inlineStr">
        <is>
          <t>Shenzhen Audio Co.</t>
        </is>
      </c>
      <c r="M28" s="80" t="n">
        <v>42.78</v>
      </c>
      <c r="N28" s="80" t="n">
        <v>8.43</v>
      </c>
      <c r="O28" s="80" t="n">
        <v>4.06</v>
      </c>
      <c r="P28" s="80" t="n">
        <v>0.03</v>
      </c>
      <c r="Q28" s="80" t="n">
        <v>0</v>
      </c>
      <c r="R28" s="80" t="n">
        <v>1</v>
      </c>
      <c r="S28" s="80">
        <f>IF(AC28="Cancelled",0,M28*R28)</f>
        <v/>
      </c>
      <c r="T28" s="80">
        <f>IF(AC28="Cancelled",0,N28*R28)</f>
        <v/>
      </c>
      <c r="U28" s="80">
        <f>IF(AC28="Cancelled",0,O28*R28)</f>
        <v/>
      </c>
      <c r="V28" s="80">
        <f>IF(AC28="Cancelled",0,ROUND(P28*S28,2))</f>
        <v/>
      </c>
      <c r="W28" s="80" t="inlineStr">
        <is>
          <t>No</t>
        </is>
      </c>
      <c r="X28" s="80" t="n">
        <v>0</v>
      </c>
      <c r="Y28" s="80">
        <f>IF(AC28="Cancelled",0,T28+U28+V28+Q28+X28)</f>
        <v/>
      </c>
      <c r="Z28" s="80">
        <f>IF(AC28="Cancelled",-Q28,S28-Y28)</f>
        <v/>
      </c>
      <c r="AA28" s="81">
        <f>IF(OR(AC28="Cancelled",S28=0),0,Z28/S28)</f>
        <v/>
      </c>
      <c r="AB28" s="82">
        <f>IFERROR(S28/Q28,0)</f>
        <v/>
      </c>
      <c r="AC28" s="56" t="inlineStr">
        <is>
          <t>Delivered</t>
        </is>
      </c>
    </row>
    <row r="29" ht="14.25" customHeight="1" s="57">
      <c r="A29" s="56" t="inlineStr">
        <is>
          <t>ORD-00058</t>
        </is>
      </c>
      <c r="B29" s="79" t="n">
        <v>45687</v>
      </c>
      <c r="C29" s="56" t="n">
        <v>2025</v>
      </c>
      <c r="D29" s="56" t="n">
        <v>1</v>
      </c>
      <c r="E29" s="56" t="inlineStr">
        <is>
          <t>Saudi Arabia</t>
        </is>
      </c>
      <c r="F29" s="56" t="inlineStr">
        <is>
          <t>Jeddah</t>
        </is>
      </c>
      <c r="G29" s="56" t="inlineStr">
        <is>
          <t>TikTok Ads</t>
        </is>
      </c>
      <c r="H29" s="56" t="inlineStr">
        <is>
          <t>Retargeting</t>
        </is>
      </c>
      <c r="I29" s="56" t="inlineStr">
        <is>
          <t>P003</t>
        </is>
      </c>
      <c r="J29" s="56" t="inlineStr">
        <is>
          <t>LED Strip Lights</t>
        </is>
      </c>
      <c r="K29" s="56" t="inlineStr">
        <is>
          <t>Home Decor</t>
        </is>
      </c>
      <c r="L29" s="56" t="inlineStr">
        <is>
          <t>Yiwu Lighting Factory</t>
        </is>
      </c>
      <c r="M29" s="80" t="n">
        <v>23.41</v>
      </c>
      <c r="N29" s="80" t="n">
        <v>5.95</v>
      </c>
      <c r="O29" s="80" t="n">
        <v>3.59</v>
      </c>
      <c r="P29" s="80" t="n">
        <v>0.03</v>
      </c>
      <c r="Q29" s="80" t="n">
        <v>2.68</v>
      </c>
      <c r="R29" s="80" t="n">
        <v>2</v>
      </c>
      <c r="S29" s="80">
        <f>IF(AC29="Cancelled",0,M29*R29)</f>
        <v/>
      </c>
      <c r="T29" s="80">
        <f>IF(AC29="Cancelled",0,N29*R29)</f>
        <v/>
      </c>
      <c r="U29" s="80">
        <f>IF(AC29="Cancelled",0,O29*R29)</f>
        <v/>
      </c>
      <c r="V29" s="80">
        <f>IF(AC29="Cancelled",0,ROUND(P29*S29,2))</f>
        <v/>
      </c>
      <c r="W29" s="80" t="inlineStr">
        <is>
          <t>No</t>
        </is>
      </c>
      <c r="X29" s="80" t="n">
        <v>0</v>
      </c>
      <c r="Y29" s="80">
        <f>IF(AC29="Cancelled",0,T29+U29+V29+Q29+X29)</f>
        <v/>
      </c>
      <c r="Z29" s="80">
        <f>IF(AC29="Cancelled",-Q29,S29-Y29)</f>
        <v/>
      </c>
      <c r="AA29" s="81">
        <f>IF(OR(AC29="Cancelled",S29=0),0,Z29/S29)</f>
        <v/>
      </c>
      <c r="AB29" s="82">
        <f>IFERROR(S29/Q29,0)</f>
        <v/>
      </c>
      <c r="AC29" s="56" t="inlineStr">
        <is>
          <t>Delivered</t>
        </is>
      </c>
    </row>
    <row r="30" ht="14.25" customHeight="1" s="57">
      <c r="A30" s="56" t="inlineStr">
        <is>
          <t>ORD-00042</t>
        </is>
      </c>
      <c r="B30" s="79" t="n">
        <v>45688</v>
      </c>
      <c r="C30" s="56" t="n">
        <v>2025</v>
      </c>
      <c r="D30" s="56" t="n">
        <v>1</v>
      </c>
      <c r="E30" s="56" t="inlineStr">
        <is>
          <t>UAE</t>
        </is>
      </c>
      <c r="F30" s="56" t="inlineStr">
        <is>
          <t>Dubai</t>
        </is>
      </c>
      <c r="G30" s="56" t="inlineStr">
        <is>
          <t>TikTok Ads</t>
        </is>
      </c>
      <c r="H30" s="56" t="inlineStr">
        <is>
          <t>Launch Test</t>
        </is>
      </c>
      <c r="I30" s="56" t="inlineStr">
        <is>
          <t>P004</t>
        </is>
      </c>
      <c r="J30" s="56" t="inlineStr">
        <is>
          <t>Beauty Tool</t>
        </is>
      </c>
      <c r="K30" s="56" t="inlineStr">
        <is>
          <t>Beauty</t>
        </is>
      </c>
      <c r="L30" s="56" t="inlineStr">
        <is>
          <t>Ningbo Beauty Supply</t>
        </is>
      </c>
      <c r="M30" s="80" t="n">
        <v>31.55</v>
      </c>
      <c r="N30" s="80" t="n">
        <v>7.03</v>
      </c>
      <c r="O30" s="80" t="n">
        <v>5.02</v>
      </c>
      <c r="P30" s="80" t="n">
        <v>0.03</v>
      </c>
      <c r="Q30" s="80" t="n">
        <v>9.109999999999999</v>
      </c>
      <c r="R30" s="80" t="n">
        <v>2</v>
      </c>
      <c r="S30" s="80">
        <f>IF(AC30="Cancelled",0,M30*R30)</f>
        <v/>
      </c>
      <c r="T30" s="80">
        <f>IF(AC30="Cancelled",0,N30*R30)</f>
        <v/>
      </c>
      <c r="U30" s="80">
        <f>IF(AC30="Cancelled",0,O30*R30)</f>
        <v/>
      </c>
      <c r="V30" s="80">
        <f>IF(AC30="Cancelled",0,ROUND(P30*S30,2))</f>
        <v/>
      </c>
      <c r="W30" s="80" t="inlineStr">
        <is>
          <t>No</t>
        </is>
      </c>
      <c r="X30" s="80" t="n">
        <v>0</v>
      </c>
      <c r="Y30" s="80">
        <f>IF(AC30="Cancelled",0,T30+U30+V30+Q30+X30)</f>
        <v/>
      </c>
      <c r="Z30" s="80">
        <f>IF(AC30="Cancelled",-Q30,S30-Y30)</f>
        <v/>
      </c>
      <c r="AA30" s="81">
        <f>IF(OR(AC30="Cancelled",S30=0),0,Z30/S30)</f>
        <v/>
      </c>
      <c r="AB30" s="82">
        <f>IFERROR(S30/Q30,0)</f>
        <v/>
      </c>
      <c r="AC30" s="56" t="inlineStr">
        <is>
          <t>Delivered</t>
        </is>
      </c>
    </row>
    <row r="31" ht="14.25" customHeight="1" s="57">
      <c r="A31" s="56" t="inlineStr">
        <is>
          <t>ORD-00317</t>
        </is>
      </c>
      <c r="B31" s="79" t="n">
        <v>45688</v>
      </c>
      <c r="C31" s="56" t="n">
        <v>2025</v>
      </c>
      <c r="D31" s="56" t="n">
        <v>1</v>
      </c>
      <c r="E31" s="56" t="inlineStr">
        <is>
          <t>Kuwait</t>
        </is>
      </c>
      <c r="F31" s="56" t="inlineStr">
        <is>
          <t>Kuwait City</t>
        </is>
      </c>
      <c r="G31" s="56" t="inlineStr">
        <is>
          <t>Google Ads</t>
        </is>
      </c>
      <c r="H31" s="56" t="inlineStr">
        <is>
          <t>Retargeting</t>
        </is>
      </c>
      <c r="I31" s="56" t="inlineStr">
        <is>
          <t>P002</t>
        </is>
      </c>
      <c r="J31" s="56" t="inlineStr">
        <is>
          <t>Phone Case</t>
        </is>
      </c>
      <c r="K31" s="56" t="inlineStr">
        <is>
          <t>Accessories</t>
        </is>
      </c>
      <c r="L31" s="56" t="inlineStr">
        <is>
          <t>Guangzhou Cases Ltd.</t>
        </is>
      </c>
      <c r="M31" s="80" t="n">
        <v>15.35</v>
      </c>
      <c r="N31" s="80" t="n">
        <v>2.02</v>
      </c>
      <c r="O31" s="80" t="n">
        <v>2.02</v>
      </c>
      <c r="P31" s="80" t="n">
        <v>0.03</v>
      </c>
      <c r="Q31" s="80" t="n">
        <v>12.66</v>
      </c>
      <c r="R31" s="80" t="n">
        <v>3</v>
      </c>
      <c r="S31" s="80">
        <f>IF(AC31="Cancelled",0,M31*R31)</f>
        <v/>
      </c>
      <c r="T31" s="80">
        <f>IF(AC31="Cancelled",0,N31*R31)</f>
        <v/>
      </c>
      <c r="U31" s="80">
        <f>IF(AC31="Cancelled",0,O31*R31)</f>
        <v/>
      </c>
      <c r="V31" s="80">
        <f>IF(AC31="Cancelled",0,ROUND(P31*S31,2))</f>
        <v/>
      </c>
      <c r="W31" s="80" t="inlineStr">
        <is>
          <t>No</t>
        </is>
      </c>
      <c r="X31" s="80" t="n">
        <v>0</v>
      </c>
      <c r="Y31" s="80">
        <f>IF(AC31="Cancelled",0,T31+U31+V31+Q31+X31)</f>
        <v/>
      </c>
      <c r="Z31" s="80">
        <f>IF(AC31="Cancelled",-Q31,S31-Y31)</f>
        <v/>
      </c>
      <c r="AA31" s="81">
        <f>IF(OR(AC31="Cancelled",S31=0),0,Z31/S31)</f>
        <v/>
      </c>
      <c r="AB31" s="82">
        <f>IFERROR(S31/Q31,0)</f>
        <v/>
      </c>
      <c r="AC31" s="56" t="inlineStr">
        <is>
          <t>Delivered</t>
        </is>
      </c>
    </row>
    <row r="32" ht="14.25" customHeight="1" s="57">
      <c r="A32" s="56" t="inlineStr">
        <is>
          <t>ORD-00396</t>
        </is>
      </c>
      <c r="B32" s="79" t="n">
        <v>45688</v>
      </c>
      <c r="C32" s="56" t="n">
        <v>2025</v>
      </c>
      <c r="D32" s="56" t="n">
        <v>1</v>
      </c>
      <c r="E32" s="56" t="inlineStr">
        <is>
          <t>Qatar</t>
        </is>
      </c>
      <c r="F32" s="56" t="inlineStr">
        <is>
          <t>Doha</t>
        </is>
      </c>
      <c r="G32" s="56" t="inlineStr">
        <is>
          <t>Google Ads</t>
        </is>
      </c>
      <c r="H32" s="56" t="inlineStr">
        <is>
          <t>Summer Sale</t>
        </is>
      </c>
      <c r="I32" s="56" t="inlineStr">
        <is>
          <t>P010</t>
        </is>
      </c>
      <c r="J32" s="56" t="inlineStr">
        <is>
          <t>Smart Water Bottle</t>
        </is>
      </c>
      <c r="K32" s="56" t="inlineStr">
        <is>
          <t>Lifestyle</t>
        </is>
      </c>
      <c r="L32" s="56" t="inlineStr">
        <is>
          <t>Shenzhen Smart Home</t>
        </is>
      </c>
      <c r="M32" s="80" t="n">
        <v>31.41</v>
      </c>
      <c r="N32" s="80" t="n">
        <v>9.76</v>
      </c>
      <c r="O32" s="80" t="n">
        <v>3.84</v>
      </c>
      <c r="P32" s="80" t="n">
        <v>0.03</v>
      </c>
      <c r="Q32" s="80" t="n">
        <v>16.43</v>
      </c>
      <c r="R32" s="80" t="n">
        <v>2</v>
      </c>
      <c r="S32" s="80">
        <f>IF(AC32="Cancelled",0,M32*R32)</f>
        <v/>
      </c>
      <c r="T32" s="80">
        <f>IF(AC32="Cancelled",0,N32*R32)</f>
        <v/>
      </c>
      <c r="U32" s="80">
        <f>IF(AC32="Cancelled",0,O32*R32)</f>
        <v/>
      </c>
      <c r="V32" s="80">
        <f>IF(AC32="Cancelled",0,ROUND(P32*S32,2))</f>
        <v/>
      </c>
      <c r="W32" s="80" t="inlineStr">
        <is>
          <t>No</t>
        </is>
      </c>
      <c r="X32" s="80" t="n">
        <v>0</v>
      </c>
      <c r="Y32" s="80">
        <f>IF(AC32="Cancelled",0,T32+U32+V32+Q32+X32)</f>
        <v/>
      </c>
      <c r="Z32" s="80">
        <f>IF(AC32="Cancelled",-Q32,S32-Y32)</f>
        <v/>
      </c>
      <c r="AA32" s="81">
        <f>IF(OR(AC32="Cancelled",S32=0),0,Z32/S32)</f>
        <v/>
      </c>
      <c r="AB32" s="82">
        <f>IFERROR(S32/Q32,0)</f>
        <v/>
      </c>
      <c r="AC32" s="56" t="inlineStr">
        <is>
          <t>Delivered</t>
        </is>
      </c>
    </row>
    <row r="33" ht="14.25" customHeight="1" s="57">
      <c r="A33" s="56" t="inlineStr">
        <is>
          <t>ORD-00233</t>
        </is>
      </c>
      <c r="B33" s="79" t="n">
        <v>45689</v>
      </c>
      <c r="C33" s="56" t="n">
        <v>2025</v>
      </c>
      <c r="D33" s="56" t="n">
        <v>2</v>
      </c>
      <c r="E33" s="56" t="inlineStr">
        <is>
          <t>UAE</t>
        </is>
      </c>
      <c r="F33" s="56" t="inlineStr">
        <is>
          <t>Sharjah</t>
        </is>
      </c>
      <c r="G33" s="56" t="inlineStr">
        <is>
          <t>Meta Ads</t>
        </is>
      </c>
      <c r="H33" s="56" t="inlineStr">
        <is>
          <t>Retargeting</t>
        </is>
      </c>
      <c r="I33" s="56" t="inlineStr">
        <is>
          <t>P002</t>
        </is>
      </c>
      <c r="J33" s="56" t="inlineStr">
        <is>
          <t>Phone Case</t>
        </is>
      </c>
      <c r="K33" s="56" t="inlineStr">
        <is>
          <t>Accessories</t>
        </is>
      </c>
      <c r="L33" s="56" t="inlineStr">
        <is>
          <t>Guangzhou Cases Ltd.</t>
        </is>
      </c>
      <c r="M33" s="80" t="n">
        <v>15.14</v>
      </c>
      <c r="N33" s="80" t="n">
        <v>2.1</v>
      </c>
      <c r="O33" s="80" t="n">
        <v>1.87</v>
      </c>
      <c r="P33" s="80" t="n">
        <v>0.03</v>
      </c>
      <c r="Q33" s="80" t="n">
        <v>9.65</v>
      </c>
      <c r="R33" s="80" t="n">
        <v>1</v>
      </c>
      <c r="S33" s="80">
        <f>IF(AC33="Cancelled",0,M33*R33)</f>
        <v/>
      </c>
      <c r="T33" s="80">
        <f>IF(AC33="Cancelled",0,N33*R33)</f>
        <v/>
      </c>
      <c r="U33" s="80">
        <f>IF(AC33="Cancelled",0,O33*R33)</f>
        <v/>
      </c>
      <c r="V33" s="80">
        <f>IF(AC33="Cancelled",0,ROUND(P33*S33,2))</f>
        <v/>
      </c>
      <c r="W33" s="80" t="inlineStr">
        <is>
          <t>Yes</t>
        </is>
      </c>
      <c r="X33" s="80" t="n">
        <v>7.2</v>
      </c>
      <c r="Y33" s="80">
        <f>IF(AC33="Cancelled",0,T33+U33+V33+Q33+X33)</f>
        <v/>
      </c>
      <c r="Z33" s="80">
        <f>IF(AC33="Cancelled",-Q33,S33-Y33)</f>
        <v/>
      </c>
      <c r="AA33" s="81">
        <f>IF(OR(AC33="Cancelled",S33=0),0,Z33/S33)</f>
        <v/>
      </c>
      <c r="AB33" s="82">
        <f>IFERROR(S33/Q33,0)</f>
        <v/>
      </c>
      <c r="AC33" s="56" t="inlineStr">
        <is>
          <t>Refunded</t>
        </is>
      </c>
    </row>
    <row r="34" ht="14.25" customHeight="1" s="57">
      <c r="A34" s="56" t="inlineStr">
        <is>
          <t>ORD-00022</t>
        </is>
      </c>
      <c r="B34" s="79" t="n">
        <v>45691</v>
      </c>
      <c r="C34" s="56" t="n">
        <v>2025</v>
      </c>
      <c r="D34" s="56" t="n">
        <v>2</v>
      </c>
      <c r="E34" s="56" t="inlineStr">
        <is>
          <t>Saudi Arabia</t>
        </is>
      </c>
      <c r="F34" s="56" t="inlineStr">
        <is>
          <t>Jeddah</t>
        </is>
      </c>
      <c r="G34" s="56" t="inlineStr">
        <is>
          <t>TikTok Ads</t>
        </is>
      </c>
      <c r="H34" s="56" t="inlineStr">
        <is>
          <t>Retargeting</t>
        </is>
      </c>
      <c r="I34" s="56" t="inlineStr">
        <is>
          <t>P010</t>
        </is>
      </c>
      <c r="J34" s="56" t="inlineStr">
        <is>
          <t>Smart Water Bottle</t>
        </is>
      </c>
      <c r="K34" s="56" t="inlineStr">
        <is>
          <t>Lifestyle</t>
        </is>
      </c>
      <c r="L34" s="56" t="inlineStr">
        <is>
          <t>Shenzhen Smart Home</t>
        </is>
      </c>
      <c r="M34" s="80" t="n">
        <v>32.03</v>
      </c>
      <c r="N34" s="80" t="n">
        <v>10.46</v>
      </c>
      <c r="O34" s="80" t="n">
        <v>4.21</v>
      </c>
      <c r="P34" s="80" t="n">
        <v>0.03</v>
      </c>
      <c r="Q34" s="80" t="n">
        <v>11.05</v>
      </c>
      <c r="R34" s="80" t="n">
        <v>3</v>
      </c>
      <c r="S34" s="80">
        <f>IF(AC34="Cancelled",0,M34*R34)</f>
        <v/>
      </c>
      <c r="T34" s="80">
        <f>IF(AC34="Cancelled",0,N34*R34)</f>
        <v/>
      </c>
      <c r="U34" s="80">
        <f>IF(AC34="Cancelled",0,O34*R34)</f>
        <v/>
      </c>
      <c r="V34" s="80">
        <f>IF(AC34="Cancelled",0,ROUND(P34*S34,2))</f>
        <v/>
      </c>
      <c r="W34" s="80" t="inlineStr">
        <is>
          <t>No</t>
        </is>
      </c>
      <c r="X34" s="80" t="n">
        <v>0</v>
      </c>
      <c r="Y34" s="80">
        <f>IF(AC34="Cancelled",0,T34+U34+V34+Q34+X34)</f>
        <v/>
      </c>
      <c r="Z34" s="80">
        <f>IF(AC34="Cancelled",-Q34,S34-Y34)</f>
        <v/>
      </c>
      <c r="AA34" s="81">
        <f>IF(OR(AC34="Cancelled",S34=0),0,Z34/S34)</f>
        <v/>
      </c>
      <c r="AB34" s="82">
        <f>IFERROR(S34/Q34,0)</f>
        <v/>
      </c>
      <c r="AC34" s="56" t="inlineStr">
        <is>
          <t>Delivered</t>
        </is>
      </c>
    </row>
    <row r="35" ht="14.25" customHeight="1" s="57">
      <c r="A35" s="56" t="inlineStr">
        <is>
          <t>ORD-00050</t>
        </is>
      </c>
      <c r="B35" s="79" t="n">
        <v>45692</v>
      </c>
      <c r="C35" s="56" t="n">
        <v>2025</v>
      </c>
      <c r="D35" s="56" t="n">
        <v>2</v>
      </c>
      <c r="E35" s="56" t="inlineStr">
        <is>
          <t>UAE</t>
        </is>
      </c>
      <c r="F35" s="56" t="inlineStr">
        <is>
          <t>Sharjah</t>
        </is>
      </c>
      <c r="G35" s="56" t="inlineStr">
        <is>
          <t>Organic Search</t>
        </is>
      </c>
      <c r="H35" s="56" t="inlineStr">
        <is>
          <t>Retargeting</t>
        </is>
      </c>
      <c r="I35" s="56" t="inlineStr">
        <is>
          <t>P009</t>
        </is>
      </c>
      <c r="J35" s="56" t="inlineStr">
        <is>
          <t>Car Vacuum Cleaner</t>
        </is>
      </c>
      <c r="K35" s="56" t="inlineStr">
        <is>
          <t>Automotive</t>
        </is>
      </c>
      <c r="L35" s="56" t="inlineStr">
        <is>
          <t>Dongguan Auto Tools</t>
        </is>
      </c>
      <c r="M35" s="80" t="n">
        <v>41.78</v>
      </c>
      <c r="N35" s="80" t="n">
        <v>14.5</v>
      </c>
      <c r="O35" s="80" t="n">
        <v>6.59</v>
      </c>
      <c r="P35" s="80" t="n">
        <v>0.03</v>
      </c>
      <c r="Q35" s="80" t="n">
        <v>0</v>
      </c>
      <c r="R35" s="80" t="n">
        <v>3</v>
      </c>
      <c r="S35" s="80">
        <f>IF(AC35="Cancelled",0,M35*R35)</f>
        <v/>
      </c>
      <c r="T35" s="80">
        <f>IF(AC35="Cancelled",0,N35*R35)</f>
        <v/>
      </c>
      <c r="U35" s="80">
        <f>IF(AC35="Cancelled",0,O35*R35)</f>
        <v/>
      </c>
      <c r="V35" s="80">
        <f>IF(AC35="Cancelled",0,ROUND(P35*S35,2))</f>
        <v/>
      </c>
      <c r="W35" s="80" t="inlineStr">
        <is>
          <t>No</t>
        </is>
      </c>
      <c r="X35" s="80" t="n">
        <v>0</v>
      </c>
      <c r="Y35" s="80">
        <f>IF(AC35="Cancelled",0,T35+U35+V35+Q35+X35)</f>
        <v/>
      </c>
      <c r="Z35" s="80">
        <f>IF(AC35="Cancelled",-Q35,S35-Y35)</f>
        <v/>
      </c>
      <c r="AA35" s="81">
        <f>IF(OR(AC35="Cancelled",S35=0),0,Z35/S35)</f>
        <v/>
      </c>
      <c r="AB35" s="82">
        <f>IFERROR(S35/Q35,0)</f>
        <v/>
      </c>
      <c r="AC35" s="56" t="inlineStr">
        <is>
          <t>Delivered</t>
        </is>
      </c>
    </row>
    <row r="36" ht="14.25" customHeight="1" s="57">
      <c r="A36" s="56" t="inlineStr">
        <is>
          <t>ORD-00440</t>
        </is>
      </c>
      <c r="B36" s="79" t="n">
        <v>45692</v>
      </c>
      <c r="C36" s="56" t="n">
        <v>2025</v>
      </c>
      <c r="D36" s="56" t="n">
        <v>2</v>
      </c>
      <c r="E36" s="56" t="inlineStr">
        <is>
          <t>UAE</t>
        </is>
      </c>
      <c r="F36" s="56" t="inlineStr">
        <is>
          <t>Sharjah</t>
        </is>
      </c>
      <c r="G36" s="56" t="inlineStr">
        <is>
          <t>Email</t>
        </is>
      </c>
      <c r="H36" s="56" t="inlineStr">
        <is>
          <t>Launch Test</t>
        </is>
      </c>
      <c r="I36" s="56" t="inlineStr">
        <is>
          <t>P010</t>
        </is>
      </c>
      <c r="J36" s="56" t="inlineStr">
        <is>
          <t>Smart Water Bottle</t>
        </is>
      </c>
      <c r="K36" s="56" t="inlineStr">
        <is>
          <t>Lifestyle</t>
        </is>
      </c>
      <c r="L36" s="56" t="inlineStr">
        <is>
          <t>Shenzhen Smart Home</t>
        </is>
      </c>
      <c r="M36" s="80" t="n">
        <v>32.19</v>
      </c>
      <c r="N36" s="80" t="n">
        <v>9.83</v>
      </c>
      <c r="O36" s="80" t="n">
        <v>4.1</v>
      </c>
      <c r="P36" s="80" t="n">
        <v>0.03</v>
      </c>
      <c r="Q36" s="80" t="n">
        <v>10.31</v>
      </c>
      <c r="R36" s="80" t="n">
        <v>1</v>
      </c>
      <c r="S36" s="80">
        <f>IF(AC36="Cancelled",0,M36*R36)</f>
        <v/>
      </c>
      <c r="T36" s="80">
        <f>IF(AC36="Cancelled",0,N36*R36)</f>
        <v/>
      </c>
      <c r="U36" s="80">
        <f>IF(AC36="Cancelled",0,O36*R36)</f>
        <v/>
      </c>
      <c r="V36" s="80">
        <f>IF(AC36="Cancelled",0,ROUND(P36*S36,2))</f>
        <v/>
      </c>
      <c r="W36" s="80" t="inlineStr">
        <is>
          <t>No</t>
        </is>
      </c>
      <c r="X36" s="80" t="n">
        <v>0</v>
      </c>
      <c r="Y36" s="80">
        <f>IF(AC36="Cancelled",0,T36+U36+V36+Q36+X36)</f>
        <v/>
      </c>
      <c r="Z36" s="80">
        <f>IF(AC36="Cancelled",-Q36,S36-Y36)</f>
        <v/>
      </c>
      <c r="AA36" s="81">
        <f>IF(OR(AC36="Cancelled",S36=0),0,Z36/S36)</f>
        <v/>
      </c>
      <c r="AB36" s="82">
        <f>IFERROR(S36/Q36,0)</f>
        <v/>
      </c>
      <c r="AC36" s="56" t="inlineStr">
        <is>
          <t>Delivered</t>
        </is>
      </c>
    </row>
    <row r="37" ht="14.25" customHeight="1" s="57">
      <c r="A37" s="56" t="inlineStr">
        <is>
          <t>ORD-00296</t>
        </is>
      </c>
      <c r="B37" s="79" t="n">
        <v>45694</v>
      </c>
      <c r="C37" s="56" t="n">
        <v>2025</v>
      </c>
      <c r="D37" s="56" t="n">
        <v>2</v>
      </c>
      <c r="E37" s="56" t="inlineStr">
        <is>
          <t>Saudi Arabia</t>
        </is>
      </c>
      <c r="F37" s="56" t="inlineStr">
        <is>
          <t>Riyadh</t>
        </is>
      </c>
      <c r="G37" s="56" t="inlineStr">
        <is>
          <t>Google Ads</t>
        </is>
      </c>
      <c r="H37" s="56" t="inlineStr">
        <is>
          <t>Retargeting</t>
        </is>
      </c>
      <c r="I37" s="56" t="inlineStr">
        <is>
          <t>P003</t>
        </is>
      </c>
      <c r="J37" s="56" t="inlineStr">
        <is>
          <t>LED Strip Lights</t>
        </is>
      </c>
      <c r="K37" s="56" t="inlineStr">
        <is>
          <t>Home Decor</t>
        </is>
      </c>
      <c r="L37" s="56" t="inlineStr">
        <is>
          <t>Yiwu Lighting Factory</t>
        </is>
      </c>
      <c r="M37" s="80" t="n">
        <v>25.43</v>
      </c>
      <c r="N37" s="80" t="n">
        <v>6.39</v>
      </c>
      <c r="O37" s="80" t="n">
        <v>3.55</v>
      </c>
      <c r="P37" s="80" t="n">
        <v>0.03</v>
      </c>
      <c r="Q37" s="80" t="n">
        <v>6.71</v>
      </c>
      <c r="R37" s="80" t="n">
        <v>1</v>
      </c>
      <c r="S37" s="80">
        <f>IF(AC37="Cancelled",0,M37*R37)</f>
        <v/>
      </c>
      <c r="T37" s="80">
        <f>IF(AC37="Cancelled",0,N37*R37)</f>
        <v/>
      </c>
      <c r="U37" s="80">
        <f>IF(AC37="Cancelled",0,O37*R37)</f>
        <v/>
      </c>
      <c r="V37" s="80">
        <f>IF(AC37="Cancelled",0,ROUND(P37*S37,2))</f>
        <v/>
      </c>
      <c r="W37" s="80" t="inlineStr">
        <is>
          <t>No</t>
        </is>
      </c>
      <c r="X37" s="80" t="n">
        <v>0</v>
      </c>
      <c r="Y37" s="80">
        <f>IF(AC37="Cancelled",0,T37+U37+V37+Q37+X37)</f>
        <v/>
      </c>
      <c r="Z37" s="80">
        <f>IF(AC37="Cancelled",-Q37,S37-Y37)</f>
        <v/>
      </c>
      <c r="AA37" s="81">
        <f>IF(OR(AC37="Cancelled",S37=0),0,Z37/S37)</f>
        <v/>
      </c>
      <c r="AB37" s="82">
        <f>IFERROR(S37/Q37,0)</f>
        <v/>
      </c>
      <c r="AC37" s="56" t="inlineStr">
        <is>
          <t>Delivered</t>
        </is>
      </c>
    </row>
    <row r="38" ht="14.25" customHeight="1" s="57">
      <c r="A38" s="56" t="inlineStr">
        <is>
          <t>ORD-00469</t>
        </is>
      </c>
      <c r="B38" s="79" t="n">
        <v>45694</v>
      </c>
      <c r="C38" s="56" t="n">
        <v>2025</v>
      </c>
      <c r="D38" s="56" t="n">
        <v>2</v>
      </c>
      <c r="E38" s="56" t="inlineStr">
        <is>
          <t>Saudi Arabia</t>
        </is>
      </c>
      <c r="F38" s="56" t="inlineStr">
        <is>
          <t>Jeddah</t>
        </is>
      </c>
      <c r="G38" s="56" t="inlineStr">
        <is>
          <t>Influencer</t>
        </is>
      </c>
      <c r="H38" s="56" t="inlineStr">
        <is>
          <t>Retargeting</t>
        </is>
      </c>
      <c r="I38" s="56" t="inlineStr">
        <is>
          <t>P006</t>
        </is>
      </c>
      <c r="J38" s="56" t="inlineStr">
        <is>
          <t>Posture Corrector</t>
        </is>
      </c>
      <c r="K38" s="56" t="inlineStr">
        <is>
          <t>Fitness</t>
        </is>
      </c>
      <c r="L38" s="56" t="inlineStr">
        <is>
          <t>Hangzhou Health Gear</t>
        </is>
      </c>
      <c r="M38" s="80" t="n">
        <v>31.5</v>
      </c>
      <c r="N38" s="80" t="n">
        <v>8.85</v>
      </c>
      <c r="O38" s="80" t="n">
        <v>3.85</v>
      </c>
      <c r="P38" s="80" t="n">
        <v>0.03</v>
      </c>
      <c r="Q38" s="80" t="n">
        <v>14.87</v>
      </c>
      <c r="R38" s="80" t="n">
        <v>2</v>
      </c>
      <c r="S38" s="80">
        <f>IF(AC38="Cancelled",0,M38*R38)</f>
        <v/>
      </c>
      <c r="T38" s="80">
        <f>IF(AC38="Cancelled",0,N38*R38)</f>
        <v/>
      </c>
      <c r="U38" s="80">
        <f>IF(AC38="Cancelled",0,O38*R38)</f>
        <v/>
      </c>
      <c r="V38" s="80">
        <f>IF(AC38="Cancelled",0,ROUND(P38*S38,2))</f>
        <v/>
      </c>
      <c r="W38" s="80" t="inlineStr">
        <is>
          <t>No</t>
        </is>
      </c>
      <c r="X38" s="80" t="n">
        <v>0</v>
      </c>
      <c r="Y38" s="80">
        <f>IF(AC38="Cancelled",0,T38+U38+V38+Q38+X38)</f>
        <v/>
      </c>
      <c r="Z38" s="80">
        <f>IF(AC38="Cancelled",-Q38,S38-Y38)</f>
        <v/>
      </c>
      <c r="AA38" s="81">
        <f>IF(OR(AC38="Cancelled",S38=0),0,Z38/S38)</f>
        <v/>
      </c>
      <c r="AB38" s="82">
        <f>IFERROR(S38/Q38,0)</f>
        <v/>
      </c>
      <c r="AC38" s="56" t="inlineStr">
        <is>
          <t>Delivered</t>
        </is>
      </c>
    </row>
    <row r="39" ht="14.25" customHeight="1" s="57">
      <c r="A39" s="56" t="inlineStr">
        <is>
          <t>ORD-00238</t>
        </is>
      </c>
      <c r="B39" s="79" t="n">
        <v>45695</v>
      </c>
      <c r="C39" s="56" t="n">
        <v>2025</v>
      </c>
      <c r="D39" s="56" t="n">
        <v>2</v>
      </c>
      <c r="E39" s="56" t="inlineStr">
        <is>
          <t>Oman</t>
        </is>
      </c>
      <c r="F39" s="56" t="inlineStr">
        <is>
          <t>Muscat</t>
        </is>
      </c>
      <c r="G39" s="56" t="inlineStr">
        <is>
          <t>Google Ads</t>
        </is>
      </c>
      <c r="H39" s="56" t="inlineStr">
        <is>
          <t>Launch Test</t>
        </is>
      </c>
      <c r="I39" s="56" t="inlineStr">
        <is>
          <t>P001</t>
        </is>
      </c>
      <c r="J39" s="56" t="inlineStr">
        <is>
          <t>Wireless Earbuds</t>
        </is>
      </c>
      <c r="K39" s="56" t="inlineStr">
        <is>
          <t>Electronics</t>
        </is>
      </c>
      <c r="L39" s="56" t="inlineStr">
        <is>
          <t>Shenzhen Audio Co.</t>
        </is>
      </c>
      <c r="M39" s="80" t="n">
        <v>44.13</v>
      </c>
      <c r="N39" s="80" t="n">
        <v>8.48</v>
      </c>
      <c r="O39" s="80" t="n">
        <v>3.92</v>
      </c>
      <c r="P39" s="80" t="n">
        <v>0.03</v>
      </c>
      <c r="Q39" s="80" t="n">
        <v>3.98</v>
      </c>
      <c r="R39" s="80" t="n">
        <v>1</v>
      </c>
      <c r="S39" s="80">
        <f>IF(AC39="Cancelled",0,M39*R39)</f>
        <v/>
      </c>
      <c r="T39" s="80">
        <f>IF(AC39="Cancelled",0,N39*R39)</f>
        <v/>
      </c>
      <c r="U39" s="80">
        <f>IF(AC39="Cancelled",0,O39*R39)</f>
        <v/>
      </c>
      <c r="V39" s="80">
        <f>IF(AC39="Cancelled",0,ROUND(P39*S39,2))</f>
        <v/>
      </c>
      <c r="W39" s="80" t="inlineStr">
        <is>
          <t>No</t>
        </is>
      </c>
      <c r="X39" s="80" t="n">
        <v>0</v>
      </c>
      <c r="Y39" s="80">
        <f>IF(AC39="Cancelled",0,T39+U39+V39+Q39+X39)</f>
        <v/>
      </c>
      <c r="Z39" s="80">
        <f>IF(AC39="Cancelled",-Q39,S39-Y39)</f>
        <v/>
      </c>
      <c r="AA39" s="81">
        <f>IF(OR(AC39="Cancelled",S39=0),0,Z39/S39)</f>
        <v/>
      </c>
      <c r="AB39" s="82">
        <f>IFERROR(S39/Q39,0)</f>
        <v/>
      </c>
      <c r="AC39" s="56" t="inlineStr">
        <is>
          <t>Delivered</t>
        </is>
      </c>
    </row>
    <row r="40" ht="14.25" customHeight="1" s="57">
      <c r="A40" s="56" t="inlineStr">
        <is>
          <t>ORD-00285</t>
        </is>
      </c>
      <c r="B40" s="79" t="n">
        <v>45695</v>
      </c>
      <c r="C40" s="56" t="n">
        <v>2025</v>
      </c>
      <c r="D40" s="56" t="n">
        <v>2</v>
      </c>
      <c r="E40" s="56" t="inlineStr">
        <is>
          <t>Saudi Arabia</t>
        </is>
      </c>
      <c r="F40" s="56" t="inlineStr">
        <is>
          <t>Riyadh</t>
        </is>
      </c>
      <c r="G40" s="56" t="inlineStr">
        <is>
          <t>Organic Search</t>
        </is>
      </c>
      <c r="H40" s="56" t="inlineStr">
        <is>
          <t>Bundle Promo</t>
        </is>
      </c>
      <c r="I40" s="56" t="inlineStr">
        <is>
          <t>P004</t>
        </is>
      </c>
      <c r="J40" s="56" t="inlineStr">
        <is>
          <t>Beauty Tool</t>
        </is>
      </c>
      <c r="K40" s="56" t="inlineStr">
        <is>
          <t>Beauty</t>
        </is>
      </c>
      <c r="L40" s="56" t="inlineStr">
        <is>
          <t>Ningbo Beauty Supply</t>
        </is>
      </c>
      <c r="M40" s="80" t="n">
        <v>28.29</v>
      </c>
      <c r="N40" s="80" t="n">
        <v>7.51</v>
      </c>
      <c r="O40" s="80" t="n">
        <v>5.14</v>
      </c>
      <c r="P40" s="80" t="n">
        <v>0.03</v>
      </c>
      <c r="Q40" s="80" t="n">
        <v>0</v>
      </c>
      <c r="R40" s="80" t="n">
        <v>2</v>
      </c>
      <c r="S40" s="80">
        <f>IF(AC40="Cancelled",0,M40*R40)</f>
        <v/>
      </c>
      <c r="T40" s="80">
        <f>IF(AC40="Cancelled",0,N40*R40)</f>
        <v/>
      </c>
      <c r="U40" s="80">
        <f>IF(AC40="Cancelled",0,O40*R40)</f>
        <v/>
      </c>
      <c r="V40" s="80">
        <f>IF(AC40="Cancelled",0,ROUND(P40*S40,2))</f>
        <v/>
      </c>
      <c r="W40" s="80" t="inlineStr">
        <is>
          <t>No</t>
        </is>
      </c>
      <c r="X40" s="80" t="n">
        <v>0</v>
      </c>
      <c r="Y40" s="80">
        <f>IF(AC40="Cancelled",0,T40+U40+V40+Q40+X40)</f>
        <v/>
      </c>
      <c r="Z40" s="80">
        <f>IF(AC40="Cancelled",-Q40,S40-Y40)</f>
        <v/>
      </c>
      <c r="AA40" s="81">
        <f>IF(OR(AC40="Cancelled",S40=0),0,Z40/S40)</f>
        <v/>
      </c>
      <c r="AB40" s="82">
        <f>IFERROR(S40/Q40,0)</f>
        <v/>
      </c>
      <c r="AC40" s="56" t="inlineStr">
        <is>
          <t>Delivered</t>
        </is>
      </c>
    </row>
    <row r="41" ht="14.25" customHeight="1" s="57">
      <c r="A41" s="56" t="inlineStr">
        <is>
          <t>ORD-00035</t>
        </is>
      </c>
      <c r="B41" s="79" t="n">
        <v>45696</v>
      </c>
      <c r="C41" s="56" t="n">
        <v>2025</v>
      </c>
      <c r="D41" s="56" t="n">
        <v>2</v>
      </c>
      <c r="E41" s="56" t="inlineStr">
        <is>
          <t>UAE</t>
        </is>
      </c>
      <c r="F41" s="56" t="inlineStr">
        <is>
          <t>Dubai</t>
        </is>
      </c>
      <c r="G41" s="56" t="inlineStr">
        <is>
          <t>Google Ads</t>
        </is>
      </c>
      <c r="H41" s="56" t="inlineStr">
        <is>
          <t>Bundle Promo</t>
        </is>
      </c>
      <c r="I41" s="56" t="inlineStr">
        <is>
          <t>P007</t>
        </is>
      </c>
      <c r="J41" s="56" t="inlineStr">
        <is>
          <t>Pet Grooming Glove</t>
        </is>
      </c>
      <c r="K41" s="56" t="inlineStr">
        <is>
          <t>Pets</t>
        </is>
      </c>
      <c r="L41" s="56" t="inlineStr">
        <is>
          <t>Yiwu Pet Products</t>
        </is>
      </c>
      <c r="M41" s="80" t="n">
        <v>21.66</v>
      </c>
      <c r="N41" s="80" t="n">
        <v>3.41</v>
      </c>
      <c r="O41" s="80" t="n">
        <v>2.28</v>
      </c>
      <c r="P41" s="80" t="n">
        <v>0.03</v>
      </c>
      <c r="Q41" s="80" t="n">
        <v>4.08</v>
      </c>
      <c r="R41" s="80" t="n">
        <v>1</v>
      </c>
      <c r="S41" s="80">
        <f>IF(AC41="Cancelled",0,M41*R41)</f>
        <v/>
      </c>
      <c r="T41" s="80">
        <f>IF(AC41="Cancelled",0,N41*R41)</f>
        <v/>
      </c>
      <c r="U41" s="80">
        <f>IF(AC41="Cancelled",0,O41*R41)</f>
        <v/>
      </c>
      <c r="V41" s="80">
        <f>IF(AC41="Cancelled",0,ROUND(P41*S41,2))</f>
        <v/>
      </c>
      <c r="W41" s="80" t="inlineStr">
        <is>
          <t>No</t>
        </is>
      </c>
      <c r="X41" s="80" t="n">
        <v>0</v>
      </c>
      <c r="Y41" s="80">
        <f>IF(AC41="Cancelled",0,T41+U41+V41+Q41+X41)</f>
        <v/>
      </c>
      <c r="Z41" s="80">
        <f>IF(AC41="Cancelled",-Q41,S41-Y41)</f>
        <v/>
      </c>
      <c r="AA41" s="81">
        <f>IF(OR(AC41="Cancelled",S41=0),0,Z41/S41)</f>
        <v/>
      </c>
      <c r="AB41" s="82">
        <f>IFERROR(S41/Q41,0)</f>
        <v/>
      </c>
      <c r="AC41" s="56" t="inlineStr">
        <is>
          <t>Delivered</t>
        </is>
      </c>
    </row>
    <row r="42" ht="14.25" customHeight="1" s="57">
      <c r="A42" s="56" t="inlineStr">
        <is>
          <t>ORD-00177</t>
        </is>
      </c>
      <c r="B42" s="79" t="n">
        <v>45696</v>
      </c>
      <c r="C42" s="56" t="n">
        <v>2025</v>
      </c>
      <c r="D42" s="56" t="n">
        <v>2</v>
      </c>
      <c r="E42" s="56" t="inlineStr">
        <is>
          <t>Qatar</t>
        </is>
      </c>
      <c r="F42" s="56" t="inlineStr">
        <is>
          <t>Doha</t>
        </is>
      </c>
      <c r="G42" s="56" t="inlineStr">
        <is>
          <t>Organic Search</t>
        </is>
      </c>
      <c r="H42" s="56" t="inlineStr">
        <is>
          <t>New Creative A/B</t>
        </is>
      </c>
      <c r="I42" s="56" t="inlineStr">
        <is>
          <t>P002</t>
        </is>
      </c>
      <c r="J42" s="56" t="inlineStr">
        <is>
          <t>Phone Case</t>
        </is>
      </c>
      <c r="K42" s="56" t="inlineStr">
        <is>
          <t>Accessories</t>
        </is>
      </c>
      <c r="L42" s="56" t="inlineStr">
        <is>
          <t>Guangzhou Cases Ltd.</t>
        </is>
      </c>
      <c r="M42" s="80" t="n">
        <v>15.65</v>
      </c>
      <c r="N42" s="80" t="n">
        <v>2.12</v>
      </c>
      <c r="O42" s="80" t="n">
        <v>2.1</v>
      </c>
      <c r="P42" s="80" t="n">
        <v>0.03</v>
      </c>
      <c r="Q42" s="80" t="n">
        <v>0</v>
      </c>
      <c r="R42" s="80" t="n">
        <v>2</v>
      </c>
      <c r="S42" s="80">
        <f>IF(AC42="Cancelled",0,M42*R42)</f>
        <v/>
      </c>
      <c r="T42" s="80">
        <f>IF(AC42="Cancelled",0,N42*R42)</f>
        <v/>
      </c>
      <c r="U42" s="80">
        <f>IF(AC42="Cancelled",0,O42*R42)</f>
        <v/>
      </c>
      <c r="V42" s="80">
        <f>IF(AC42="Cancelled",0,ROUND(P42*S42,2))</f>
        <v/>
      </c>
      <c r="W42" s="80" t="inlineStr">
        <is>
          <t>No</t>
        </is>
      </c>
      <c r="X42" s="80" t="n">
        <v>0</v>
      </c>
      <c r="Y42" s="80">
        <f>IF(AC42="Cancelled",0,T42+U42+V42+Q42+X42)</f>
        <v/>
      </c>
      <c r="Z42" s="80">
        <f>IF(AC42="Cancelled",-Q42,S42-Y42)</f>
        <v/>
      </c>
      <c r="AA42" s="81">
        <f>IF(OR(AC42="Cancelled",S42=0),0,Z42/S42)</f>
        <v/>
      </c>
      <c r="AB42" s="82">
        <f>IFERROR(S42/Q42,0)</f>
        <v/>
      </c>
      <c r="AC42" s="56" t="inlineStr">
        <is>
          <t>Delivered</t>
        </is>
      </c>
    </row>
    <row r="43" ht="14.25" customHeight="1" s="57">
      <c r="A43" s="56" t="inlineStr">
        <is>
          <t>ORD-00204</t>
        </is>
      </c>
      <c r="B43" s="79" t="n">
        <v>45696</v>
      </c>
      <c r="C43" s="56" t="n">
        <v>2025</v>
      </c>
      <c r="D43" s="56" t="n">
        <v>2</v>
      </c>
      <c r="E43" s="56" t="inlineStr">
        <is>
          <t>Qatar</t>
        </is>
      </c>
      <c r="F43" s="56" t="inlineStr">
        <is>
          <t>Doha</t>
        </is>
      </c>
      <c r="G43" s="56" t="inlineStr">
        <is>
          <t>Organic Search</t>
        </is>
      </c>
      <c r="H43" s="56" t="inlineStr">
        <is>
          <t>Bundle Promo</t>
        </is>
      </c>
      <c r="I43" s="56" t="inlineStr">
        <is>
          <t>P009</t>
        </is>
      </c>
      <c r="J43" s="56" t="inlineStr">
        <is>
          <t>Car Vacuum Cleaner</t>
        </is>
      </c>
      <c r="K43" s="56" t="inlineStr">
        <is>
          <t>Automotive</t>
        </is>
      </c>
      <c r="L43" s="56" t="inlineStr">
        <is>
          <t>Dongguan Auto Tools</t>
        </is>
      </c>
      <c r="M43" s="80" t="n">
        <v>42.47</v>
      </c>
      <c r="N43" s="80" t="n">
        <v>14.9</v>
      </c>
      <c r="O43" s="80" t="n">
        <v>7.41</v>
      </c>
      <c r="P43" s="80" t="n">
        <v>0.03</v>
      </c>
      <c r="Q43" s="80" t="n">
        <v>0</v>
      </c>
      <c r="R43" s="80" t="n">
        <v>2</v>
      </c>
      <c r="S43" s="80">
        <f>IF(AC43="Cancelled",0,M43*R43)</f>
        <v/>
      </c>
      <c r="T43" s="80">
        <f>IF(AC43="Cancelled",0,N43*R43)</f>
        <v/>
      </c>
      <c r="U43" s="80">
        <f>IF(AC43="Cancelled",0,O43*R43)</f>
        <v/>
      </c>
      <c r="V43" s="80">
        <f>IF(AC43="Cancelled",0,ROUND(P43*S43,2))</f>
        <v/>
      </c>
      <c r="W43" s="80" t="inlineStr">
        <is>
          <t>No</t>
        </is>
      </c>
      <c r="X43" s="80" t="n">
        <v>0</v>
      </c>
      <c r="Y43" s="80">
        <f>IF(AC43="Cancelled",0,T43+U43+V43+Q43+X43)</f>
        <v/>
      </c>
      <c r="Z43" s="80">
        <f>IF(AC43="Cancelled",-Q43,S43-Y43)</f>
        <v/>
      </c>
      <c r="AA43" s="81">
        <f>IF(OR(AC43="Cancelled",S43=0),0,Z43/S43)</f>
        <v/>
      </c>
      <c r="AB43" s="82">
        <f>IFERROR(S43/Q43,0)</f>
        <v/>
      </c>
      <c r="AC43" s="56" t="inlineStr">
        <is>
          <t>Cancelled</t>
        </is>
      </c>
    </row>
    <row r="44" ht="14.25" customHeight="1" s="57">
      <c r="A44" s="56" t="inlineStr">
        <is>
          <t>ORD-00134</t>
        </is>
      </c>
      <c r="B44" s="79" t="n">
        <v>45697</v>
      </c>
      <c r="C44" s="56" t="n">
        <v>2025</v>
      </c>
      <c r="D44" s="56" t="n">
        <v>2</v>
      </c>
      <c r="E44" s="56" t="inlineStr">
        <is>
          <t>UAE</t>
        </is>
      </c>
      <c r="F44" s="56" t="inlineStr">
        <is>
          <t>Dubai</t>
        </is>
      </c>
      <c r="G44" s="56" t="inlineStr">
        <is>
          <t>Email</t>
        </is>
      </c>
      <c r="H44" s="56" t="inlineStr">
        <is>
          <t>Bundle Promo</t>
        </is>
      </c>
      <c r="I44" s="56" t="inlineStr">
        <is>
          <t>P002</t>
        </is>
      </c>
      <c r="J44" s="56" t="inlineStr">
        <is>
          <t>Phone Case</t>
        </is>
      </c>
      <c r="K44" s="56" t="inlineStr">
        <is>
          <t>Accessories</t>
        </is>
      </c>
      <c r="L44" s="56" t="inlineStr">
        <is>
          <t>Guangzhou Cases Ltd.</t>
        </is>
      </c>
      <c r="M44" s="80" t="n">
        <v>15.87</v>
      </c>
      <c r="N44" s="80" t="n">
        <v>2.12</v>
      </c>
      <c r="O44" s="80" t="n">
        <v>2.23</v>
      </c>
      <c r="P44" s="80" t="n">
        <v>0.03</v>
      </c>
      <c r="Q44" s="80" t="n">
        <v>8.130000000000001</v>
      </c>
      <c r="R44" s="80" t="n">
        <v>1</v>
      </c>
      <c r="S44" s="80">
        <f>IF(AC44="Cancelled",0,M44*R44)</f>
        <v/>
      </c>
      <c r="T44" s="80">
        <f>IF(AC44="Cancelled",0,N44*R44)</f>
        <v/>
      </c>
      <c r="U44" s="80">
        <f>IF(AC44="Cancelled",0,O44*R44)</f>
        <v/>
      </c>
      <c r="V44" s="80">
        <f>IF(AC44="Cancelled",0,ROUND(P44*S44,2))</f>
        <v/>
      </c>
      <c r="W44" s="80" t="inlineStr">
        <is>
          <t>No</t>
        </is>
      </c>
      <c r="X44" s="80" t="n">
        <v>0</v>
      </c>
      <c r="Y44" s="80">
        <f>IF(AC44="Cancelled",0,T44+U44+V44+Q44+X44)</f>
        <v/>
      </c>
      <c r="Z44" s="80">
        <f>IF(AC44="Cancelled",-Q44,S44-Y44)</f>
        <v/>
      </c>
      <c r="AA44" s="81">
        <f>IF(OR(AC44="Cancelled",S44=0),0,Z44/S44)</f>
        <v/>
      </c>
      <c r="AB44" s="82">
        <f>IFERROR(S44/Q44,0)</f>
        <v/>
      </c>
      <c r="AC44" s="56" t="inlineStr">
        <is>
          <t>Delivered</t>
        </is>
      </c>
    </row>
    <row r="45" ht="14.25" customHeight="1" s="57">
      <c r="A45" s="56" t="inlineStr">
        <is>
          <t>ORD-00366</t>
        </is>
      </c>
      <c r="B45" s="79" t="n">
        <v>45697</v>
      </c>
      <c r="C45" s="56" t="n">
        <v>2025</v>
      </c>
      <c r="D45" s="56" t="n">
        <v>2</v>
      </c>
      <c r="E45" s="56" t="inlineStr">
        <is>
          <t>Saudi Arabia</t>
        </is>
      </c>
      <c r="F45" s="56" t="inlineStr">
        <is>
          <t>Jeddah</t>
        </is>
      </c>
      <c r="G45" s="56" t="inlineStr">
        <is>
          <t>TikTok Ads</t>
        </is>
      </c>
      <c r="H45" s="56" t="inlineStr">
        <is>
          <t>Summer Sale</t>
        </is>
      </c>
      <c r="I45" s="56" t="inlineStr">
        <is>
          <t>P002</t>
        </is>
      </c>
      <c r="J45" s="56" t="inlineStr">
        <is>
          <t>Phone Case</t>
        </is>
      </c>
      <c r="K45" s="56" t="inlineStr">
        <is>
          <t>Accessories</t>
        </is>
      </c>
      <c r="L45" s="56" t="inlineStr">
        <is>
          <t>Guangzhou Cases Ltd.</t>
        </is>
      </c>
      <c r="M45" s="80" t="n">
        <v>13.99</v>
      </c>
      <c r="N45" s="80" t="n">
        <v>2.14</v>
      </c>
      <c r="O45" s="80" t="n">
        <v>1.99</v>
      </c>
      <c r="P45" s="80" t="n">
        <v>0.03</v>
      </c>
      <c r="Q45" s="80" t="n">
        <v>4.37</v>
      </c>
      <c r="R45" s="80" t="n">
        <v>1</v>
      </c>
      <c r="S45" s="80">
        <f>IF(AC45="Cancelled",0,M45*R45)</f>
        <v/>
      </c>
      <c r="T45" s="80">
        <f>IF(AC45="Cancelled",0,N45*R45)</f>
        <v/>
      </c>
      <c r="U45" s="80">
        <f>IF(AC45="Cancelled",0,O45*R45)</f>
        <v/>
      </c>
      <c r="V45" s="80">
        <f>IF(AC45="Cancelled",0,ROUND(P45*S45,2))</f>
        <v/>
      </c>
      <c r="W45" s="80" t="inlineStr">
        <is>
          <t>No</t>
        </is>
      </c>
      <c r="X45" s="80" t="n">
        <v>0</v>
      </c>
      <c r="Y45" s="80">
        <f>IF(AC45="Cancelled",0,T45+U45+V45+Q45+X45)</f>
        <v/>
      </c>
      <c r="Z45" s="80">
        <f>IF(AC45="Cancelled",-Q45,S45-Y45)</f>
        <v/>
      </c>
      <c r="AA45" s="81">
        <f>IF(OR(AC45="Cancelled",S45=0),0,Z45/S45)</f>
        <v/>
      </c>
      <c r="AB45" s="82">
        <f>IFERROR(S45/Q45,0)</f>
        <v/>
      </c>
      <c r="AC45" s="56" t="inlineStr">
        <is>
          <t>Delivered</t>
        </is>
      </c>
    </row>
    <row r="46" ht="14.25" customHeight="1" s="57">
      <c r="A46" s="56" t="inlineStr">
        <is>
          <t>ORD-00272</t>
        </is>
      </c>
      <c r="B46" s="79" t="n">
        <v>45700</v>
      </c>
      <c r="C46" s="56" t="n">
        <v>2025</v>
      </c>
      <c r="D46" s="56" t="n">
        <v>2</v>
      </c>
      <c r="E46" s="56" t="inlineStr">
        <is>
          <t>UAE</t>
        </is>
      </c>
      <c r="F46" s="56" t="inlineStr">
        <is>
          <t>Dubai</t>
        </is>
      </c>
      <c r="G46" s="56" t="inlineStr">
        <is>
          <t>TikTok Ads</t>
        </is>
      </c>
      <c r="H46" s="56" t="inlineStr">
        <is>
          <t>Retargeting</t>
        </is>
      </c>
      <c r="I46" s="56" t="inlineStr">
        <is>
          <t>P002</t>
        </is>
      </c>
      <c r="J46" s="56" t="inlineStr">
        <is>
          <t>Phone Case</t>
        </is>
      </c>
      <c r="K46" s="56" t="inlineStr">
        <is>
          <t>Accessories</t>
        </is>
      </c>
      <c r="L46" s="56" t="inlineStr">
        <is>
          <t>Guangzhou Cases Ltd.</t>
        </is>
      </c>
      <c r="M46" s="80" t="n">
        <v>13.93</v>
      </c>
      <c r="N46" s="80" t="n">
        <v>2.07</v>
      </c>
      <c r="O46" s="80" t="n">
        <v>1.92</v>
      </c>
      <c r="P46" s="80" t="n">
        <v>0.03</v>
      </c>
      <c r="Q46" s="80" t="n">
        <v>18.97</v>
      </c>
      <c r="R46" s="80" t="n">
        <v>2</v>
      </c>
      <c r="S46" s="80">
        <f>IF(AC46="Cancelled",0,M46*R46)</f>
        <v/>
      </c>
      <c r="T46" s="80">
        <f>IF(AC46="Cancelled",0,N46*R46)</f>
        <v/>
      </c>
      <c r="U46" s="80">
        <f>IF(AC46="Cancelled",0,O46*R46)</f>
        <v/>
      </c>
      <c r="V46" s="80">
        <f>IF(AC46="Cancelled",0,ROUND(P46*S46,2))</f>
        <v/>
      </c>
      <c r="W46" s="80" t="inlineStr">
        <is>
          <t>No</t>
        </is>
      </c>
      <c r="X46" s="80" t="n">
        <v>0</v>
      </c>
      <c r="Y46" s="80">
        <f>IF(AC46="Cancelled",0,T46+U46+V46+Q46+X46)</f>
        <v/>
      </c>
      <c r="Z46" s="80">
        <f>IF(AC46="Cancelled",-Q46,S46-Y46)</f>
        <v/>
      </c>
      <c r="AA46" s="81">
        <f>IF(OR(AC46="Cancelled",S46=0),0,Z46/S46)</f>
        <v/>
      </c>
      <c r="AB46" s="82">
        <f>IFERROR(S46/Q46,0)</f>
        <v/>
      </c>
      <c r="AC46" s="56" t="inlineStr">
        <is>
          <t>Delivered</t>
        </is>
      </c>
    </row>
    <row r="47" ht="14.25" customHeight="1" s="57">
      <c r="A47" s="56" t="inlineStr">
        <is>
          <t>ORD-00294</t>
        </is>
      </c>
      <c r="B47" s="79" t="n">
        <v>45701</v>
      </c>
      <c r="C47" s="56" t="n">
        <v>2025</v>
      </c>
      <c r="D47" s="56" t="n">
        <v>2</v>
      </c>
      <c r="E47" s="56" t="inlineStr">
        <is>
          <t>Saudi Arabia</t>
        </is>
      </c>
      <c r="F47" s="56" t="inlineStr">
        <is>
          <t>Riyadh</t>
        </is>
      </c>
      <c r="G47" s="56" t="inlineStr">
        <is>
          <t>Influencer</t>
        </is>
      </c>
      <c r="H47" s="56" t="inlineStr">
        <is>
          <t>New Creative A/B</t>
        </is>
      </c>
      <c r="I47" s="56" t="inlineStr">
        <is>
          <t>P005</t>
        </is>
      </c>
      <c r="J47" s="56" t="inlineStr">
        <is>
          <t>Mini Printer</t>
        </is>
      </c>
      <c r="K47" s="56" t="inlineStr">
        <is>
          <t>Electronics</t>
        </is>
      </c>
      <c r="L47" s="56" t="inlineStr">
        <is>
          <t>Shenzhen Print Tech</t>
        </is>
      </c>
      <c r="M47" s="80" t="n">
        <v>62.56</v>
      </c>
      <c r="N47" s="80" t="n">
        <v>21.72</v>
      </c>
      <c r="O47" s="80" t="n">
        <v>7.15</v>
      </c>
      <c r="P47" s="80" t="n">
        <v>0.03</v>
      </c>
      <c r="Q47" s="80" t="n">
        <v>1.08</v>
      </c>
      <c r="R47" s="80" t="n">
        <v>1</v>
      </c>
      <c r="S47" s="80">
        <f>IF(AC47="Cancelled",0,M47*R47)</f>
        <v/>
      </c>
      <c r="T47" s="80">
        <f>IF(AC47="Cancelled",0,N47*R47)</f>
        <v/>
      </c>
      <c r="U47" s="80">
        <f>IF(AC47="Cancelled",0,O47*R47)</f>
        <v/>
      </c>
      <c r="V47" s="80">
        <f>IF(AC47="Cancelled",0,ROUND(P47*S47,2))</f>
        <v/>
      </c>
      <c r="W47" s="80" t="inlineStr">
        <is>
          <t>No</t>
        </is>
      </c>
      <c r="X47" s="80" t="n">
        <v>0</v>
      </c>
      <c r="Y47" s="80">
        <f>IF(AC47="Cancelled",0,T47+U47+V47+Q47+X47)</f>
        <v/>
      </c>
      <c r="Z47" s="80">
        <f>IF(AC47="Cancelled",-Q47,S47-Y47)</f>
        <v/>
      </c>
      <c r="AA47" s="81">
        <f>IF(OR(AC47="Cancelled",S47=0),0,Z47/S47)</f>
        <v/>
      </c>
      <c r="AB47" s="82">
        <f>IFERROR(S47/Q47,0)</f>
        <v/>
      </c>
      <c r="AC47" s="56" t="inlineStr">
        <is>
          <t>Delivered</t>
        </is>
      </c>
    </row>
    <row r="48" ht="14.25" customHeight="1" s="57">
      <c r="A48" s="56" t="inlineStr">
        <is>
          <t>ORD-00381</t>
        </is>
      </c>
      <c r="B48" s="79" t="n">
        <v>45701</v>
      </c>
      <c r="C48" s="56" t="n">
        <v>2025</v>
      </c>
      <c r="D48" s="56" t="n">
        <v>2</v>
      </c>
      <c r="E48" s="56" t="inlineStr">
        <is>
          <t>UAE</t>
        </is>
      </c>
      <c r="F48" s="56" t="inlineStr">
        <is>
          <t>Abu Dhabi</t>
        </is>
      </c>
      <c r="G48" s="56" t="inlineStr">
        <is>
          <t>TikTok Ads</t>
        </is>
      </c>
      <c r="H48" s="56" t="inlineStr">
        <is>
          <t>Summer Sale</t>
        </is>
      </c>
      <c r="I48" s="56" t="inlineStr">
        <is>
          <t>P006</t>
        </is>
      </c>
      <c r="J48" s="56" t="inlineStr">
        <is>
          <t>Posture Corrector</t>
        </is>
      </c>
      <c r="K48" s="56" t="inlineStr">
        <is>
          <t>Fitness</t>
        </is>
      </c>
      <c r="L48" s="56" t="inlineStr">
        <is>
          <t>Hangzhou Health Gear</t>
        </is>
      </c>
      <c r="M48" s="80" t="n">
        <v>31.97</v>
      </c>
      <c r="N48" s="80" t="n">
        <v>9.08</v>
      </c>
      <c r="O48" s="80" t="n">
        <v>4.13</v>
      </c>
      <c r="P48" s="80" t="n">
        <v>0.03</v>
      </c>
      <c r="Q48" s="80" t="n">
        <v>9.550000000000001</v>
      </c>
      <c r="R48" s="80" t="n">
        <v>1</v>
      </c>
      <c r="S48" s="80">
        <f>IF(AC48="Cancelled",0,M48*R48)</f>
        <v/>
      </c>
      <c r="T48" s="80">
        <f>IF(AC48="Cancelled",0,N48*R48)</f>
        <v/>
      </c>
      <c r="U48" s="80">
        <f>IF(AC48="Cancelled",0,O48*R48)</f>
        <v/>
      </c>
      <c r="V48" s="80">
        <f>IF(AC48="Cancelled",0,ROUND(P48*S48,2))</f>
        <v/>
      </c>
      <c r="W48" s="80" t="inlineStr">
        <is>
          <t>No</t>
        </is>
      </c>
      <c r="X48" s="80" t="n">
        <v>0</v>
      </c>
      <c r="Y48" s="80">
        <f>IF(AC48="Cancelled",0,T48+U48+V48+Q48+X48)</f>
        <v/>
      </c>
      <c r="Z48" s="80">
        <f>IF(AC48="Cancelled",-Q48,S48-Y48)</f>
        <v/>
      </c>
      <c r="AA48" s="81">
        <f>IF(OR(AC48="Cancelled",S48=0),0,Z48/S48)</f>
        <v/>
      </c>
      <c r="AB48" s="82">
        <f>IFERROR(S48/Q48,0)</f>
        <v/>
      </c>
      <c r="AC48" s="56" t="inlineStr">
        <is>
          <t>Delivered</t>
        </is>
      </c>
    </row>
    <row r="49" ht="14.25" customHeight="1" s="57">
      <c r="A49" s="56" t="inlineStr">
        <is>
          <t>ORD-00251</t>
        </is>
      </c>
      <c r="B49" s="79" t="n">
        <v>45702</v>
      </c>
      <c r="C49" s="56" t="n">
        <v>2025</v>
      </c>
      <c r="D49" s="56" t="n">
        <v>2</v>
      </c>
      <c r="E49" s="56" t="inlineStr">
        <is>
          <t>Saudi Arabia</t>
        </is>
      </c>
      <c r="F49" s="56" t="inlineStr">
        <is>
          <t>Jeddah</t>
        </is>
      </c>
      <c r="G49" s="56" t="inlineStr">
        <is>
          <t>Meta Ads</t>
        </is>
      </c>
      <c r="H49" s="56" t="inlineStr">
        <is>
          <t>Bundle Promo</t>
        </is>
      </c>
      <c r="I49" s="56" t="inlineStr">
        <is>
          <t>P005</t>
        </is>
      </c>
      <c r="J49" s="56" t="inlineStr">
        <is>
          <t>Mini Printer</t>
        </is>
      </c>
      <c r="K49" s="56" t="inlineStr">
        <is>
          <t>Electronics</t>
        </is>
      </c>
      <c r="L49" s="56" t="inlineStr">
        <is>
          <t>Shenzhen Print Tech</t>
        </is>
      </c>
      <c r="M49" s="80" t="n">
        <v>66.59</v>
      </c>
      <c r="N49" s="80" t="n">
        <v>22.27</v>
      </c>
      <c r="O49" s="80" t="n">
        <v>7.2</v>
      </c>
      <c r="P49" s="80" t="n">
        <v>0.03</v>
      </c>
      <c r="Q49" s="80" t="n">
        <v>8.130000000000001</v>
      </c>
      <c r="R49" s="80" t="n">
        <v>1</v>
      </c>
      <c r="S49" s="80">
        <f>IF(AC49="Cancelled",0,M49*R49)</f>
        <v/>
      </c>
      <c r="T49" s="80">
        <f>IF(AC49="Cancelled",0,N49*R49)</f>
        <v/>
      </c>
      <c r="U49" s="80">
        <f>IF(AC49="Cancelled",0,O49*R49)</f>
        <v/>
      </c>
      <c r="V49" s="80">
        <f>IF(AC49="Cancelled",0,ROUND(P49*S49,2))</f>
        <v/>
      </c>
      <c r="W49" s="80" t="inlineStr">
        <is>
          <t>No</t>
        </is>
      </c>
      <c r="X49" s="80" t="n">
        <v>0</v>
      </c>
      <c r="Y49" s="80">
        <f>IF(AC49="Cancelled",0,T49+U49+V49+Q49+X49)</f>
        <v/>
      </c>
      <c r="Z49" s="80">
        <f>IF(AC49="Cancelled",-Q49,S49-Y49)</f>
        <v/>
      </c>
      <c r="AA49" s="81">
        <f>IF(OR(AC49="Cancelled",S49=0),0,Z49/S49)</f>
        <v/>
      </c>
      <c r="AB49" s="82">
        <f>IFERROR(S49/Q49,0)</f>
        <v/>
      </c>
      <c r="AC49" s="56" t="inlineStr">
        <is>
          <t>Delivered</t>
        </is>
      </c>
    </row>
    <row r="50" ht="14.25" customHeight="1" s="57">
      <c r="A50" s="56" t="inlineStr">
        <is>
          <t>ORD-00458</t>
        </is>
      </c>
      <c r="B50" s="79" t="n">
        <v>45702</v>
      </c>
      <c r="C50" s="56" t="n">
        <v>2025</v>
      </c>
      <c r="D50" s="56" t="n">
        <v>2</v>
      </c>
      <c r="E50" s="56" t="inlineStr">
        <is>
          <t>Kuwait</t>
        </is>
      </c>
      <c r="F50" s="56" t="inlineStr">
        <is>
          <t>Kuwait City</t>
        </is>
      </c>
      <c r="G50" s="56" t="inlineStr">
        <is>
          <t>Meta Ads</t>
        </is>
      </c>
      <c r="H50" s="56" t="inlineStr">
        <is>
          <t>New Creative A/B</t>
        </is>
      </c>
      <c r="I50" s="56" t="inlineStr">
        <is>
          <t>P010</t>
        </is>
      </c>
      <c r="J50" s="56" t="inlineStr">
        <is>
          <t>Smart Water Bottle</t>
        </is>
      </c>
      <c r="K50" s="56" t="inlineStr">
        <is>
          <t>Lifestyle</t>
        </is>
      </c>
      <c r="L50" s="56" t="inlineStr">
        <is>
          <t>Shenzhen Smart Home</t>
        </is>
      </c>
      <c r="M50" s="80" t="n">
        <v>33.14</v>
      </c>
      <c r="N50" s="80" t="n">
        <v>9.92</v>
      </c>
      <c r="O50" s="80" t="n">
        <v>4.43</v>
      </c>
      <c r="P50" s="80" t="n">
        <v>0.03</v>
      </c>
      <c r="Q50" s="80" t="n">
        <v>15.14</v>
      </c>
      <c r="R50" s="80" t="n">
        <v>3</v>
      </c>
      <c r="S50" s="80">
        <f>IF(AC50="Cancelled",0,M50*R50)</f>
        <v/>
      </c>
      <c r="T50" s="80">
        <f>IF(AC50="Cancelled",0,N50*R50)</f>
        <v/>
      </c>
      <c r="U50" s="80">
        <f>IF(AC50="Cancelled",0,O50*R50)</f>
        <v/>
      </c>
      <c r="V50" s="80">
        <f>IF(AC50="Cancelled",0,ROUND(P50*S50,2))</f>
        <v/>
      </c>
      <c r="W50" s="80" t="inlineStr">
        <is>
          <t>No</t>
        </is>
      </c>
      <c r="X50" s="80" t="n">
        <v>0</v>
      </c>
      <c r="Y50" s="80">
        <f>IF(AC50="Cancelled",0,T50+U50+V50+Q50+X50)</f>
        <v/>
      </c>
      <c r="Z50" s="80">
        <f>IF(AC50="Cancelled",-Q50,S50-Y50)</f>
        <v/>
      </c>
      <c r="AA50" s="81">
        <f>IF(OR(AC50="Cancelled",S50=0),0,Z50/S50)</f>
        <v/>
      </c>
      <c r="AB50" s="82">
        <f>IFERROR(S50/Q50,0)</f>
        <v/>
      </c>
      <c r="AC50" s="56" t="inlineStr">
        <is>
          <t>Delivered</t>
        </is>
      </c>
    </row>
    <row r="51" ht="14.25" customHeight="1" s="57">
      <c r="A51" s="56" t="inlineStr">
        <is>
          <t>ORD-00274</t>
        </is>
      </c>
      <c r="B51" s="79" t="n">
        <v>45705</v>
      </c>
      <c r="C51" s="56" t="n">
        <v>2025</v>
      </c>
      <c r="D51" s="56" t="n">
        <v>2</v>
      </c>
      <c r="E51" s="56" t="inlineStr">
        <is>
          <t>Saudi Arabia</t>
        </is>
      </c>
      <c r="F51" s="56" t="inlineStr">
        <is>
          <t>Riyadh</t>
        </is>
      </c>
      <c r="G51" s="56" t="inlineStr">
        <is>
          <t>TikTok Ads</t>
        </is>
      </c>
      <c r="H51" s="56" t="inlineStr">
        <is>
          <t>Summer Sale</t>
        </is>
      </c>
      <c r="I51" s="56" t="inlineStr">
        <is>
          <t>P009</t>
        </is>
      </c>
      <c r="J51" s="56" t="inlineStr">
        <is>
          <t>Car Vacuum Cleaner</t>
        </is>
      </c>
      <c r="K51" s="56" t="inlineStr">
        <is>
          <t>Automotive</t>
        </is>
      </c>
      <c r="L51" s="56" t="inlineStr">
        <is>
          <t>Dongguan Auto Tools</t>
        </is>
      </c>
      <c r="M51" s="80" t="n">
        <v>46.1</v>
      </c>
      <c r="N51" s="80" t="n">
        <v>13.88</v>
      </c>
      <c r="O51" s="80" t="n">
        <v>6.07</v>
      </c>
      <c r="P51" s="80" t="n">
        <v>0.03</v>
      </c>
      <c r="Q51" s="80" t="n">
        <v>19.95</v>
      </c>
      <c r="R51" s="80" t="n">
        <v>3</v>
      </c>
      <c r="S51" s="80">
        <f>IF(AC51="Cancelled",0,M51*R51)</f>
        <v/>
      </c>
      <c r="T51" s="80">
        <f>IF(AC51="Cancelled",0,N51*R51)</f>
        <v/>
      </c>
      <c r="U51" s="80">
        <f>IF(AC51="Cancelled",0,O51*R51)</f>
        <v/>
      </c>
      <c r="V51" s="80">
        <f>IF(AC51="Cancelled",0,ROUND(P51*S51,2))</f>
        <v/>
      </c>
      <c r="W51" s="80" t="inlineStr">
        <is>
          <t>No</t>
        </is>
      </c>
      <c r="X51" s="80" t="n">
        <v>0</v>
      </c>
      <c r="Y51" s="80">
        <f>IF(AC51="Cancelled",0,T51+U51+V51+Q51+X51)</f>
        <v/>
      </c>
      <c r="Z51" s="80">
        <f>IF(AC51="Cancelled",-Q51,S51-Y51)</f>
        <v/>
      </c>
      <c r="AA51" s="81">
        <f>IF(OR(AC51="Cancelled",S51=0),0,Z51/S51)</f>
        <v/>
      </c>
      <c r="AB51" s="82">
        <f>IFERROR(S51/Q51,0)</f>
        <v/>
      </c>
      <c r="AC51" s="56" t="inlineStr">
        <is>
          <t>Delivered</t>
        </is>
      </c>
    </row>
    <row r="52" ht="14.25" customHeight="1" s="57">
      <c r="A52" s="56" t="inlineStr">
        <is>
          <t>ORD-00017</t>
        </is>
      </c>
      <c r="B52" s="79" t="n">
        <v>45707</v>
      </c>
      <c r="C52" s="56" t="n">
        <v>2025</v>
      </c>
      <c r="D52" s="56" t="n">
        <v>2</v>
      </c>
      <c r="E52" s="56" t="inlineStr">
        <is>
          <t>Kuwait</t>
        </is>
      </c>
      <c r="F52" s="56" t="inlineStr">
        <is>
          <t>Kuwait City</t>
        </is>
      </c>
      <c r="G52" s="56" t="inlineStr">
        <is>
          <t>Meta Ads</t>
        </is>
      </c>
      <c r="H52" s="56" t="inlineStr">
        <is>
          <t>Launch Test</t>
        </is>
      </c>
      <c r="I52" s="56" t="inlineStr">
        <is>
          <t>P005</t>
        </is>
      </c>
      <c r="J52" s="56" t="inlineStr">
        <is>
          <t>Mini Printer</t>
        </is>
      </c>
      <c r="K52" s="56" t="inlineStr">
        <is>
          <t>Electronics</t>
        </is>
      </c>
      <c r="L52" s="56" t="inlineStr">
        <is>
          <t>Shenzhen Print Tech</t>
        </is>
      </c>
      <c r="M52" s="80" t="n">
        <v>56.74</v>
      </c>
      <c r="N52" s="80" t="n">
        <v>22.61</v>
      </c>
      <c r="O52" s="80" t="n">
        <v>6.5</v>
      </c>
      <c r="P52" s="80" t="n">
        <v>0.03</v>
      </c>
      <c r="Q52" s="80" t="n">
        <v>16.87</v>
      </c>
      <c r="R52" s="80" t="n">
        <v>2</v>
      </c>
      <c r="S52" s="80">
        <f>IF(AC52="Cancelled",0,M52*R52)</f>
        <v/>
      </c>
      <c r="T52" s="80">
        <f>IF(AC52="Cancelled",0,N52*R52)</f>
        <v/>
      </c>
      <c r="U52" s="80">
        <f>IF(AC52="Cancelled",0,O52*R52)</f>
        <v/>
      </c>
      <c r="V52" s="80">
        <f>IF(AC52="Cancelled",0,ROUND(P52*S52,2))</f>
        <v/>
      </c>
      <c r="W52" s="80" t="inlineStr">
        <is>
          <t>No</t>
        </is>
      </c>
      <c r="X52" s="80" t="n">
        <v>0</v>
      </c>
      <c r="Y52" s="80">
        <f>IF(AC52="Cancelled",0,T52+U52+V52+Q52+X52)</f>
        <v/>
      </c>
      <c r="Z52" s="80">
        <f>IF(AC52="Cancelled",-Q52,S52-Y52)</f>
        <v/>
      </c>
      <c r="AA52" s="81">
        <f>IF(OR(AC52="Cancelled",S52=0),0,Z52/S52)</f>
        <v/>
      </c>
      <c r="AB52" s="82">
        <f>IFERROR(S52/Q52,0)</f>
        <v/>
      </c>
      <c r="AC52" s="56" t="inlineStr">
        <is>
          <t>Delivered</t>
        </is>
      </c>
    </row>
    <row r="53" ht="14.25" customHeight="1" s="57">
      <c r="A53" s="56" t="inlineStr">
        <is>
          <t>ORD-00245</t>
        </is>
      </c>
      <c r="B53" s="79" t="n">
        <v>45708</v>
      </c>
      <c r="C53" s="56" t="n">
        <v>2025</v>
      </c>
      <c r="D53" s="56" t="n">
        <v>2</v>
      </c>
      <c r="E53" s="56" t="inlineStr">
        <is>
          <t>UAE</t>
        </is>
      </c>
      <c r="F53" s="56" t="inlineStr">
        <is>
          <t>Sharjah</t>
        </is>
      </c>
      <c r="G53" s="56" t="inlineStr">
        <is>
          <t>TikTok Ads</t>
        </is>
      </c>
      <c r="H53" s="56" t="inlineStr">
        <is>
          <t>Bundle Promo</t>
        </is>
      </c>
      <c r="I53" s="56" t="inlineStr">
        <is>
          <t>P008</t>
        </is>
      </c>
      <c r="J53" s="56" t="inlineStr">
        <is>
          <t>Portable Blender</t>
        </is>
      </c>
      <c r="K53" s="56" t="inlineStr">
        <is>
          <t>Kitchen</t>
        </is>
      </c>
      <c r="L53" s="56" t="inlineStr">
        <is>
          <t>Foshan Appliances</t>
        </is>
      </c>
      <c r="M53" s="80" t="n">
        <v>55.3</v>
      </c>
      <c r="N53" s="80" t="n">
        <v>17.06</v>
      </c>
      <c r="O53" s="80" t="n">
        <v>6.13</v>
      </c>
      <c r="P53" s="80" t="n">
        <v>0.03</v>
      </c>
      <c r="Q53" s="80" t="n">
        <v>10.97</v>
      </c>
      <c r="R53" s="80" t="n">
        <v>3</v>
      </c>
      <c r="S53" s="80">
        <f>IF(AC53="Cancelled",0,M53*R53)</f>
        <v/>
      </c>
      <c r="T53" s="80">
        <f>IF(AC53="Cancelled",0,N53*R53)</f>
        <v/>
      </c>
      <c r="U53" s="80">
        <f>IF(AC53="Cancelled",0,O53*R53)</f>
        <v/>
      </c>
      <c r="V53" s="80">
        <f>IF(AC53="Cancelled",0,ROUND(P53*S53,2))</f>
        <v/>
      </c>
      <c r="W53" s="80" t="inlineStr">
        <is>
          <t>No</t>
        </is>
      </c>
      <c r="X53" s="80" t="n">
        <v>0</v>
      </c>
      <c r="Y53" s="80">
        <f>IF(AC53="Cancelled",0,T53+U53+V53+Q53+X53)</f>
        <v/>
      </c>
      <c r="Z53" s="80">
        <f>IF(AC53="Cancelled",-Q53,S53-Y53)</f>
        <v/>
      </c>
      <c r="AA53" s="81">
        <f>IF(OR(AC53="Cancelled",S53=0),0,Z53/S53)</f>
        <v/>
      </c>
      <c r="AB53" s="82">
        <f>IFERROR(S53/Q53,0)</f>
        <v/>
      </c>
      <c r="AC53" s="56" t="inlineStr">
        <is>
          <t>Delivered</t>
        </is>
      </c>
    </row>
    <row r="54" ht="14.25" customHeight="1" s="57">
      <c r="A54" s="56" t="inlineStr">
        <is>
          <t>ORD-00250</t>
        </is>
      </c>
      <c r="B54" s="79" t="n">
        <v>45708</v>
      </c>
      <c r="C54" s="56" t="n">
        <v>2025</v>
      </c>
      <c r="D54" s="56" t="n">
        <v>2</v>
      </c>
      <c r="E54" s="56" t="inlineStr">
        <is>
          <t>UAE</t>
        </is>
      </c>
      <c r="F54" s="56" t="inlineStr">
        <is>
          <t>Dubai</t>
        </is>
      </c>
      <c r="G54" s="56" t="inlineStr">
        <is>
          <t>TikTok Ads</t>
        </is>
      </c>
      <c r="H54" s="56" t="inlineStr">
        <is>
          <t>Launch Test</t>
        </is>
      </c>
      <c r="I54" s="56" t="inlineStr">
        <is>
          <t>P003</t>
        </is>
      </c>
      <c r="J54" s="56" t="inlineStr">
        <is>
          <t>LED Strip Lights</t>
        </is>
      </c>
      <c r="K54" s="56" t="inlineStr">
        <is>
          <t>Home Decor</t>
        </is>
      </c>
      <c r="L54" s="56" t="inlineStr">
        <is>
          <t>Yiwu Lighting Factory</t>
        </is>
      </c>
      <c r="M54" s="80" t="n">
        <v>25.06</v>
      </c>
      <c r="N54" s="80" t="n">
        <v>6.33</v>
      </c>
      <c r="O54" s="80" t="n">
        <v>3.39</v>
      </c>
      <c r="P54" s="80" t="n">
        <v>0.03</v>
      </c>
      <c r="Q54" s="80" t="n">
        <v>3.93</v>
      </c>
      <c r="R54" s="80" t="n">
        <v>2</v>
      </c>
      <c r="S54" s="80">
        <f>IF(AC54="Cancelled",0,M54*R54)</f>
        <v/>
      </c>
      <c r="T54" s="80">
        <f>IF(AC54="Cancelled",0,N54*R54)</f>
        <v/>
      </c>
      <c r="U54" s="80">
        <f>IF(AC54="Cancelled",0,O54*R54)</f>
        <v/>
      </c>
      <c r="V54" s="80">
        <f>IF(AC54="Cancelled",0,ROUND(P54*S54,2))</f>
        <v/>
      </c>
      <c r="W54" s="80" t="inlineStr">
        <is>
          <t>No</t>
        </is>
      </c>
      <c r="X54" s="80" t="n">
        <v>0</v>
      </c>
      <c r="Y54" s="80">
        <f>IF(AC54="Cancelled",0,T54+U54+V54+Q54+X54)</f>
        <v/>
      </c>
      <c r="Z54" s="80">
        <f>IF(AC54="Cancelled",-Q54,S54-Y54)</f>
        <v/>
      </c>
      <c r="AA54" s="81">
        <f>IF(OR(AC54="Cancelled",S54=0),0,Z54/S54)</f>
        <v/>
      </c>
      <c r="AB54" s="82">
        <f>IFERROR(S54/Q54,0)</f>
        <v/>
      </c>
      <c r="AC54" s="56" t="inlineStr">
        <is>
          <t>Delivered</t>
        </is>
      </c>
    </row>
    <row r="55" ht="14.25" customHeight="1" s="57">
      <c r="A55" s="56" t="inlineStr">
        <is>
          <t>ORD-00375</t>
        </is>
      </c>
      <c r="B55" s="79" t="n">
        <v>45708</v>
      </c>
      <c r="C55" s="56" t="n">
        <v>2025</v>
      </c>
      <c r="D55" s="56" t="n">
        <v>2</v>
      </c>
      <c r="E55" s="56" t="inlineStr">
        <is>
          <t>Saudi Arabia</t>
        </is>
      </c>
      <c r="F55" s="56" t="inlineStr">
        <is>
          <t>Jeddah</t>
        </is>
      </c>
      <c r="G55" s="56" t="inlineStr">
        <is>
          <t>Email</t>
        </is>
      </c>
      <c r="H55" s="56" t="inlineStr">
        <is>
          <t>Summer Sale</t>
        </is>
      </c>
      <c r="I55" s="56" t="inlineStr">
        <is>
          <t>P001</t>
        </is>
      </c>
      <c r="J55" s="56" t="inlineStr">
        <is>
          <t>Wireless Earbuds</t>
        </is>
      </c>
      <c r="K55" s="56" t="inlineStr">
        <is>
          <t>Electronics</t>
        </is>
      </c>
      <c r="L55" s="56" t="inlineStr">
        <is>
          <t>Shenzhen Audio Co.</t>
        </is>
      </c>
      <c r="M55" s="80" t="n">
        <v>39.18</v>
      </c>
      <c r="N55" s="80" t="n">
        <v>8.789999999999999</v>
      </c>
      <c r="O55" s="80" t="n">
        <v>4.12</v>
      </c>
      <c r="P55" s="80" t="n">
        <v>0.03</v>
      </c>
      <c r="Q55" s="80" t="n">
        <v>10.14</v>
      </c>
      <c r="R55" s="80" t="n">
        <v>2</v>
      </c>
      <c r="S55" s="80">
        <f>IF(AC55="Cancelled",0,M55*R55)</f>
        <v/>
      </c>
      <c r="T55" s="80">
        <f>IF(AC55="Cancelled",0,N55*R55)</f>
        <v/>
      </c>
      <c r="U55" s="80">
        <f>IF(AC55="Cancelled",0,O55*R55)</f>
        <v/>
      </c>
      <c r="V55" s="80">
        <f>IF(AC55="Cancelled",0,ROUND(P55*S55,2))</f>
        <v/>
      </c>
      <c r="W55" s="80" t="inlineStr">
        <is>
          <t>No</t>
        </is>
      </c>
      <c r="X55" s="80" t="n">
        <v>0</v>
      </c>
      <c r="Y55" s="80">
        <f>IF(AC55="Cancelled",0,T55+U55+V55+Q55+X55)</f>
        <v/>
      </c>
      <c r="Z55" s="80">
        <f>IF(AC55="Cancelled",-Q55,S55-Y55)</f>
        <v/>
      </c>
      <c r="AA55" s="81">
        <f>IF(OR(AC55="Cancelled",S55=0),0,Z55/S55)</f>
        <v/>
      </c>
      <c r="AB55" s="82">
        <f>IFERROR(S55/Q55,0)</f>
        <v/>
      </c>
      <c r="AC55" s="56" t="inlineStr">
        <is>
          <t>Delivered</t>
        </is>
      </c>
    </row>
    <row r="56" ht="14.25" customHeight="1" s="57">
      <c r="A56" s="56" t="inlineStr">
        <is>
          <t>ORD-00113</t>
        </is>
      </c>
      <c r="B56" s="79" t="n">
        <v>45709</v>
      </c>
      <c r="C56" s="56" t="n">
        <v>2025</v>
      </c>
      <c r="D56" s="56" t="n">
        <v>2</v>
      </c>
      <c r="E56" s="56" t="inlineStr">
        <is>
          <t>UAE</t>
        </is>
      </c>
      <c r="F56" s="56" t="inlineStr">
        <is>
          <t>Abu Dhabi</t>
        </is>
      </c>
      <c r="G56" s="56" t="inlineStr">
        <is>
          <t>Email</t>
        </is>
      </c>
      <c r="H56" s="56" t="inlineStr">
        <is>
          <t>New Creative A/B</t>
        </is>
      </c>
      <c r="I56" s="56" t="inlineStr">
        <is>
          <t>P008</t>
        </is>
      </c>
      <c r="J56" s="56" t="inlineStr">
        <is>
          <t>Portable Blender</t>
        </is>
      </c>
      <c r="K56" s="56" t="inlineStr">
        <is>
          <t>Kitchen</t>
        </is>
      </c>
      <c r="L56" s="56" t="inlineStr">
        <is>
          <t>Foshan Appliances</t>
        </is>
      </c>
      <c r="M56" s="80" t="n">
        <v>51.41</v>
      </c>
      <c r="N56" s="80" t="n">
        <v>16.76</v>
      </c>
      <c r="O56" s="80" t="n">
        <v>6.7</v>
      </c>
      <c r="P56" s="80" t="n">
        <v>0.03</v>
      </c>
      <c r="Q56" s="80" t="n">
        <v>4.03</v>
      </c>
      <c r="R56" s="80" t="n">
        <v>2</v>
      </c>
      <c r="S56" s="80">
        <f>IF(AC56="Cancelled",0,M56*R56)</f>
        <v/>
      </c>
      <c r="T56" s="80">
        <f>IF(AC56="Cancelled",0,N56*R56)</f>
        <v/>
      </c>
      <c r="U56" s="80">
        <f>IF(AC56="Cancelled",0,O56*R56)</f>
        <v/>
      </c>
      <c r="V56" s="80">
        <f>IF(AC56="Cancelled",0,ROUND(P56*S56,2))</f>
        <v/>
      </c>
      <c r="W56" s="80" t="inlineStr">
        <is>
          <t>Yes</t>
        </is>
      </c>
      <c r="X56" s="80" t="n">
        <v>51.41</v>
      </c>
      <c r="Y56" s="80">
        <f>IF(AC56="Cancelled",0,T56+U56+V56+Q56+X56)</f>
        <v/>
      </c>
      <c r="Z56" s="80">
        <f>IF(AC56="Cancelled",-Q56,S56-Y56)</f>
        <v/>
      </c>
      <c r="AA56" s="81">
        <f>IF(OR(AC56="Cancelled",S56=0),0,Z56/S56)</f>
        <v/>
      </c>
      <c r="AB56" s="82">
        <f>IFERROR(S56/Q56,0)</f>
        <v/>
      </c>
      <c r="AC56" s="56" t="inlineStr">
        <is>
          <t>Refunded</t>
        </is>
      </c>
    </row>
    <row r="57" ht="14.25" customHeight="1" s="57">
      <c r="A57" s="56" t="inlineStr">
        <is>
          <t>ORD-00302</t>
        </is>
      </c>
      <c r="B57" s="79" t="n">
        <v>45709</v>
      </c>
      <c r="C57" s="56" t="n">
        <v>2025</v>
      </c>
      <c r="D57" s="56" t="n">
        <v>2</v>
      </c>
      <c r="E57" s="56" t="inlineStr">
        <is>
          <t>UAE</t>
        </is>
      </c>
      <c r="F57" s="56" t="inlineStr">
        <is>
          <t>Sharjah</t>
        </is>
      </c>
      <c r="G57" s="56" t="inlineStr">
        <is>
          <t>Email</t>
        </is>
      </c>
      <c r="H57" s="56" t="inlineStr">
        <is>
          <t>Summer Sale</t>
        </is>
      </c>
      <c r="I57" s="56" t="inlineStr">
        <is>
          <t>P006</t>
        </is>
      </c>
      <c r="J57" s="56" t="inlineStr">
        <is>
          <t>Posture Corrector</t>
        </is>
      </c>
      <c r="K57" s="56" t="inlineStr">
        <is>
          <t>Fitness</t>
        </is>
      </c>
      <c r="L57" s="56" t="inlineStr">
        <is>
          <t>Hangzhou Health Gear</t>
        </is>
      </c>
      <c r="M57" s="80" t="n">
        <v>32.72</v>
      </c>
      <c r="N57" s="80" t="n">
        <v>9.43</v>
      </c>
      <c r="O57" s="80" t="n">
        <v>3.7</v>
      </c>
      <c r="P57" s="80" t="n">
        <v>0.03</v>
      </c>
      <c r="Q57" s="80" t="n">
        <v>8.529999999999999</v>
      </c>
      <c r="R57" s="80" t="n">
        <v>2</v>
      </c>
      <c r="S57" s="80">
        <f>IF(AC57="Cancelled",0,M57*R57)</f>
        <v/>
      </c>
      <c r="T57" s="80">
        <f>IF(AC57="Cancelled",0,N57*R57)</f>
        <v/>
      </c>
      <c r="U57" s="80">
        <f>IF(AC57="Cancelled",0,O57*R57)</f>
        <v/>
      </c>
      <c r="V57" s="80">
        <f>IF(AC57="Cancelled",0,ROUND(P57*S57,2))</f>
        <v/>
      </c>
      <c r="W57" s="80" t="inlineStr">
        <is>
          <t>No</t>
        </is>
      </c>
      <c r="X57" s="80" t="n">
        <v>0</v>
      </c>
      <c r="Y57" s="80">
        <f>IF(AC57="Cancelled",0,T57+U57+V57+Q57+X57)</f>
        <v/>
      </c>
      <c r="Z57" s="80">
        <f>IF(AC57="Cancelled",-Q57,S57-Y57)</f>
        <v/>
      </c>
      <c r="AA57" s="81">
        <f>IF(OR(AC57="Cancelled",S57=0),0,Z57/S57)</f>
        <v/>
      </c>
      <c r="AB57" s="82">
        <f>IFERROR(S57/Q57,0)</f>
        <v/>
      </c>
      <c r="AC57" s="56" t="inlineStr">
        <is>
          <t>Delivered</t>
        </is>
      </c>
    </row>
    <row r="58" ht="14.25" customHeight="1" s="57">
      <c r="A58" s="56" t="inlineStr">
        <is>
          <t>ORD-00403</t>
        </is>
      </c>
      <c r="B58" s="79" t="n">
        <v>45709</v>
      </c>
      <c r="C58" s="56" t="n">
        <v>2025</v>
      </c>
      <c r="D58" s="56" t="n">
        <v>2</v>
      </c>
      <c r="E58" s="56" t="inlineStr">
        <is>
          <t>UAE</t>
        </is>
      </c>
      <c r="F58" s="56" t="inlineStr">
        <is>
          <t>Dubai</t>
        </is>
      </c>
      <c r="G58" s="56" t="inlineStr">
        <is>
          <t>Influencer</t>
        </is>
      </c>
      <c r="H58" s="56" t="inlineStr">
        <is>
          <t>Launch Test</t>
        </is>
      </c>
      <c r="I58" s="56" t="inlineStr">
        <is>
          <t>P010</t>
        </is>
      </c>
      <c r="J58" s="56" t="inlineStr">
        <is>
          <t>Smart Water Bottle</t>
        </is>
      </c>
      <c r="K58" s="56" t="inlineStr">
        <is>
          <t>Lifestyle</t>
        </is>
      </c>
      <c r="L58" s="56" t="inlineStr">
        <is>
          <t>Shenzhen Smart Home</t>
        </is>
      </c>
      <c r="M58" s="80" t="n">
        <v>34.27</v>
      </c>
      <c r="N58" s="80" t="n">
        <v>10.78</v>
      </c>
      <c r="O58" s="80" t="n">
        <v>4.28</v>
      </c>
      <c r="P58" s="80" t="n">
        <v>0.03</v>
      </c>
      <c r="Q58" s="80" t="n">
        <v>4.96</v>
      </c>
      <c r="R58" s="80" t="n">
        <v>1</v>
      </c>
      <c r="S58" s="80">
        <f>IF(AC58="Cancelled",0,M58*R58)</f>
        <v/>
      </c>
      <c r="T58" s="80">
        <f>IF(AC58="Cancelled",0,N58*R58)</f>
        <v/>
      </c>
      <c r="U58" s="80">
        <f>IF(AC58="Cancelled",0,O58*R58)</f>
        <v/>
      </c>
      <c r="V58" s="80">
        <f>IF(AC58="Cancelled",0,ROUND(P58*S58,2))</f>
        <v/>
      </c>
      <c r="W58" s="80" t="inlineStr">
        <is>
          <t>No</t>
        </is>
      </c>
      <c r="X58" s="80" t="n">
        <v>0</v>
      </c>
      <c r="Y58" s="80">
        <f>IF(AC58="Cancelled",0,T58+U58+V58+Q58+X58)</f>
        <v/>
      </c>
      <c r="Z58" s="80">
        <f>IF(AC58="Cancelled",-Q58,S58-Y58)</f>
        <v/>
      </c>
      <c r="AA58" s="81">
        <f>IF(OR(AC58="Cancelled",S58=0),0,Z58/S58)</f>
        <v/>
      </c>
      <c r="AB58" s="82">
        <f>IFERROR(S58/Q58,0)</f>
        <v/>
      </c>
      <c r="AC58" s="56" t="inlineStr">
        <is>
          <t>Delivered</t>
        </is>
      </c>
    </row>
    <row r="59" ht="14.25" customHeight="1" s="57">
      <c r="A59" s="56" t="inlineStr">
        <is>
          <t>ORD-00074</t>
        </is>
      </c>
      <c r="B59" s="79" t="n">
        <v>45710</v>
      </c>
      <c r="C59" s="56" t="n">
        <v>2025</v>
      </c>
      <c r="D59" s="56" t="n">
        <v>2</v>
      </c>
      <c r="E59" s="56" t="inlineStr">
        <is>
          <t>Kuwait</t>
        </is>
      </c>
      <c r="F59" s="56" t="inlineStr">
        <is>
          <t>Kuwait City</t>
        </is>
      </c>
      <c r="G59" s="56" t="inlineStr">
        <is>
          <t>Meta Ads</t>
        </is>
      </c>
      <c r="H59" s="56" t="inlineStr">
        <is>
          <t>Launch Test</t>
        </is>
      </c>
      <c r="I59" s="56" t="inlineStr">
        <is>
          <t>P005</t>
        </is>
      </c>
      <c r="J59" s="56" t="inlineStr">
        <is>
          <t>Mini Printer</t>
        </is>
      </c>
      <c r="K59" s="56" t="inlineStr">
        <is>
          <t>Electronics</t>
        </is>
      </c>
      <c r="L59" s="56" t="inlineStr">
        <is>
          <t>Shenzhen Print Tech</t>
        </is>
      </c>
      <c r="M59" s="80" t="n">
        <v>56.19</v>
      </c>
      <c r="N59" s="80" t="n">
        <v>21.23</v>
      </c>
      <c r="O59" s="80" t="n">
        <v>7.93</v>
      </c>
      <c r="P59" s="80" t="n">
        <v>0.03</v>
      </c>
      <c r="Q59" s="80" t="n">
        <v>20.6</v>
      </c>
      <c r="R59" s="80" t="n">
        <v>3</v>
      </c>
      <c r="S59" s="80">
        <f>IF(AC59="Cancelled",0,M59*R59)</f>
        <v/>
      </c>
      <c r="T59" s="80">
        <f>IF(AC59="Cancelled",0,N59*R59)</f>
        <v/>
      </c>
      <c r="U59" s="80">
        <f>IF(AC59="Cancelled",0,O59*R59)</f>
        <v/>
      </c>
      <c r="V59" s="80">
        <f>IF(AC59="Cancelled",0,ROUND(P59*S59,2))</f>
        <v/>
      </c>
      <c r="W59" s="80" t="inlineStr">
        <is>
          <t>No</t>
        </is>
      </c>
      <c r="X59" s="80" t="n">
        <v>0</v>
      </c>
      <c r="Y59" s="80">
        <f>IF(AC59="Cancelled",0,T59+U59+V59+Q59+X59)</f>
        <v/>
      </c>
      <c r="Z59" s="80">
        <f>IF(AC59="Cancelled",-Q59,S59-Y59)</f>
        <v/>
      </c>
      <c r="AA59" s="81">
        <f>IF(OR(AC59="Cancelled",S59=0),0,Z59/S59)</f>
        <v/>
      </c>
      <c r="AB59" s="82">
        <f>IFERROR(S59/Q59,0)</f>
        <v/>
      </c>
      <c r="AC59" s="56" t="inlineStr">
        <is>
          <t>Delivered</t>
        </is>
      </c>
    </row>
    <row r="60" ht="14.25" customHeight="1" s="57">
      <c r="A60" s="56" t="inlineStr">
        <is>
          <t>ORD-00497</t>
        </is>
      </c>
      <c r="B60" s="79" t="n">
        <v>45710</v>
      </c>
      <c r="C60" s="56" t="n">
        <v>2025</v>
      </c>
      <c r="D60" s="56" t="n">
        <v>2</v>
      </c>
      <c r="E60" s="56" t="inlineStr">
        <is>
          <t>Saudi Arabia</t>
        </is>
      </c>
      <c r="F60" s="56" t="inlineStr">
        <is>
          <t>Jeddah</t>
        </is>
      </c>
      <c r="G60" s="56" t="inlineStr">
        <is>
          <t>Meta Ads</t>
        </is>
      </c>
      <c r="H60" s="56" t="inlineStr">
        <is>
          <t>Retargeting</t>
        </is>
      </c>
      <c r="I60" s="56" t="inlineStr">
        <is>
          <t>P009</t>
        </is>
      </c>
      <c r="J60" s="56" t="inlineStr">
        <is>
          <t>Car Vacuum Cleaner</t>
        </is>
      </c>
      <c r="K60" s="56" t="inlineStr">
        <is>
          <t>Automotive</t>
        </is>
      </c>
      <c r="L60" s="56" t="inlineStr">
        <is>
          <t>Dongguan Auto Tools</t>
        </is>
      </c>
      <c r="M60" s="80" t="n">
        <v>45.31</v>
      </c>
      <c r="N60" s="80" t="n">
        <v>14.57</v>
      </c>
      <c r="O60" s="80" t="n">
        <v>6.44</v>
      </c>
      <c r="P60" s="80" t="n">
        <v>0.03</v>
      </c>
      <c r="Q60" s="80" t="n">
        <v>29.55</v>
      </c>
      <c r="R60" s="80" t="n">
        <v>3</v>
      </c>
      <c r="S60" s="80">
        <f>IF(AC60="Cancelled",0,M60*R60)</f>
        <v/>
      </c>
      <c r="T60" s="80">
        <f>IF(AC60="Cancelled",0,N60*R60)</f>
        <v/>
      </c>
      <c r="U60" s="80">
        <f>IF(AC60="Cancelled",0,O60*R60)</f>
        <v/>
      </c>
      <c r="V60" s="80">
        <f>IF(AC60="Cancelled",0,ROUND(P60*S60,2))</f>
        <v/>
      </c>
      <c r="W60" s="80" t="inlineStr">
        <is>
          <t>No</t>
        </is>
      </c>
      <c r="X60" s="80" t="n">
        <v>0</v>
      </c>
      <c r="Y60" s="80">
        <f>IF(AC60="Cancelled",0,T60+U60+V60+Q60+X60)</f>
        <v/>
      </c>
      <c r="Z60" s="80">
        <f>IF(AC60="Cancelled",-Q60,S60-Y60)</f>
        <v/>
      </c>
      <c r="AA60" s="81">
        <f>IF(OR(AC60="Cancelled",S60=0),0,Z60/S60)</f>
        <v/>
      </c>
      <c r="AB60" s="82">
        <f>IFERROR(S60/Q60,0)</f>
        <v/>
      </c>
      <c r="AC60" s="56" t="inlineStr">
        <is>
          <t>Delivered</t>
        </is>
      </c>
    </row>
    <row r="61" ht="14.25" customHeight="1" s="57">
      <c r="A61" s="56" t="inlineStr">
        <is>
          <t>ORD-00300</t>
        </is>
      </c>
      <c r="B61" s="79" t="n">
        <v>45711</v>
      </c>
      <c r="C61" s="56" t="n">
        <v>2025</v>
      </c>
      <c r="D61" s="56" t="n">
        <v>2</v>
      </c>
      <c r="E61" s="56" t="inlineStr">
        <is>
          <t>Saudi Arabia</t>
        </is>
      </c>
      <c r="F61" s="56" t="inlineStr">
        <is>
          <t>Jeddah</t>
        </is>
      </c>
      <c r="G61" s="56" t="inlineStr">
        <is>
          <t>TikTok Ads</t>
        </is>
      </c>
      <c r="H61" s="56" t="inlineStr">
        <is>
          <t>Bundle Promo</t>
        </is>
      </c>
      <c r="I61" s="56" t="inlineStr">
        <is>
          <t>P008</t>
        </is>
      </c>
      <c r="J61" s="56" t="inlineStr">
        <is>
          <t>Portable Blender</t>
        </is>
      </c>
      <c r="K61" s="56" t="inlineStr">
        <is>
          <t>Kitchen</t>
        </is>
      </c>
      <c r="L61" s="56" t="inlineStr">
        <is>
          <t>Foshan Appliances</t>
        </is>
      </c>
      <c r="M61" s="80" t="n">
        <v>49.5</v>
      </c>
      <c r="N61" s="80" t="n">
        <v>16.44</v>
      </c>
      <c r="O61" s="80" t="n">
        <v>6.69</v>
      </c>
      <c r="P61" s="80" t="n">
        <v>0.03</v>
      </c>
      <c r="Q61" s="80" t="n">
        <v>23.78</v>
      </c>
      <c r="R61" s="80" t="n">
        <v>3</v>
      </c>
      <c r="S61" s="80">
        <f>IF(AC61="Cancelled",0,M61*R61)</f>
        <v/>
      </c>
      <c r="T61" s="80">
        <f>IF(AC61="Cancelled",0,N61*R61)</f>
        <v/>
      </c>
      <c r="U61" s="80">
        <f>IF(AC61="Cancelled",0,O61*R61)</f>
        <v/>
      </c>
      <c r="V61" s="80">
        <f>IF(AC61="Cancelled",0,ROUND(P61*S61,2))</f>
        <v/>
      </c>
      <c r="W61" s="80" t="inlineStr">
        <is>
          <t>No</t>
        </is>
      </c>
      <c r="X61" s="80" t="n">
        <v>0</v>
      </c>
      <c r="Y61" s="80">
        <f>IF(AC61="Cancelled",0,T61+U61+V61+Q61+X61)</f>
        <v/>
      </c>
      <c r="Z61" s="80">
        <f>IF(AC61="Cancelled",-Q61,S61-Y61)</f>
        <v/>
      </c>
      <c r="AA61" s="81">
        <f>IF(OR(AC61="Cancelled",S61=0),0,Z61/S61)</f>
        <v/>
      </c>
      <c r="AB61" s="82">
        <f>IFERROR(S61/Q61,0)</f>
        <v/>
      </c>
      <c r="AC61" s="56" t="inlineStr">
        <is>
          <t>Delivered</t>
        </is>
      </c>
    </row>
    <row r="62" ht="14.25" customHeight="1" s="57">
      <c r="A62" s="56" t="inlineStr">
        <is>
          <t>ORD-00485</t>
        </is>
      </c>
      <c r="B62" s="79" t="n">
        <v>45713</v>
      </c>
      <c r="C62" s="56" t="n">
        <v>2025</v>
      </c>
      <c r="D62" s="56" t="n">
        <v>2</v>
      </c>
      <c r="E62" s="56" t="inlineStr">
        <is>
          <t>UAE</t>
        </is>
      </c>
      <c r="F62" s="56" t="inlineStr">
        <is>
          <t>Abu Dhabi</t>
        </is>
      </c>
      <c r="G62" s="56" t="inlineStr">
        <is>
          <t>Meta Ads</t>
        </is>
      </c>
      <c r="H62" s="56" t="inlineStr">
        <is>
          <t>New Creative A/B</t>
        </is>
      </c>
      <c r="I62" s="56" t="inlineStr">
        <is>
          <t>P001</t>
        </is>
      </c>
      <c r="J62" s="56" t="inlineStr">
        <is>
          <t>Wireless Earbuds</t>
        </is>
      </c>
      <c r="K62" s="56" t="inlineStr">
        <is>
          <t>Electronics</t>
        </is>
      </c>
      <c r="L62" s="56" t="inlineStr">
        <is>
          <t>Shenzhen Audio Co.</t>
        </is>
      </c>
      <c r="M62" s="80" t="n">
        <v>37.72</v>
      </c>
      <c r="N62" s="80" t="n">
        <v>8.83</v>
      </c>
      <c r="O62" s="80" t="n">
        <v>3.99</v>
      </c>
      <c r="P62" s="80" t="n">
        <v>0.03</v>
      </c>
      <c r="Q62" s="80" t="n">
        <v>9.81</v>
      </c>
      <c r="R62" s="80" t="n">
        <v>1</v>
      </c>
      <c r="S62" s="80">
        <f>IF(AC62="Cancelled",0,M62*R62)</f>
        <v/>
      </c>
      <c r="T62" s="80">
        <f>IF(AC62="Cancelled",0,N62*R62)</f>
        <v/>
      </c>
      <c r="U62" s="80">
        <f>IF(AC62="Cancelled",0,O62*R62)</f>
        <v/>
      </c>
      <c r="V62" s="80">
        <f>IF(AC62="Cancelled",0,ROUND(P62*S62,2))</f>
        <v/>
      </c>
      <c r="W62" s="80" t="inlineStr">
        <is>
          <t>No</t>
        </is>
      </c>
      <c r="X62" s="80" t="n">
        <v>0</v>
      </c>
      <c r="Y62" s="80">
        <f>IF(AC62="Cancelled",0,T62+U62+V62+Q62+X62)</f>
        <v/>
      </c>
      <c r="Z62" s="80">
        <f>IF(AC62="Cancelled",-Q62,S62-Y62)</f>
        <v/>
      </c>
      <c r="AA62" s="81">
        <f>IF(OR(AC62="Cancelled",S62=0),0,Z62/S62)</f>
        <v/>
      </c>
      <c r="AB62" s="82">
        <f>IFERROR(S62/Q62,0)</f>
        <v/>
      </c>
      <c r="AC62" s="56" t="inlineStr">
        <is>
          <t>Delivered</t>
        </is>
      </c>
    </row>
    <row r="63" ht="14.25" customHeight="1" s="57">
      <c r="A63" s="56" t="inlineStr">
        <is>
          <t>ORD-00149</t>
        </is>
      </c>
      <c r="B63" s="79" t="n">
        <v>45714</v>
      </c>
      <c r="C63" s="56" t="n">
        <v>2025</v>
      </c>
      <c r="D63" s="56" t="n">
        <v>2</v>
      </c>
      <c r="E63" s="56" t="inlineStr">
        <is>
          <t>Saudi Arabia</t>
        </is>
      </c>
      <c r="F63" s="56" t="inlineStr">
        <is>
          <t>Riyadh</t>
        </is>
      </c>
      <c r="G63" s="56" t="inlineStr">
        <is>
          <t>Google Ads</t>
        </is>
      </c>
      <c r="H63" s="56" t="inlineStr">
        <is>
          <t>Summer Sale</t>
        </is>
      </c>
      <c r="I63" s="56" t="inlineStr">
        <is>
          <t>P004</t>
        </is>
      </c>
      <c r="J63" s="56" t="inlineStr">
        <is>
          <t>Beauty Tool</t>
        </is>
      </c>
      <c r="K63" s="56" t="inlineStr">
        <is>
          <t>Beauty</t>
        </is>
      </c>
      <c r="L63" s="56" t="inlineStr">
        <is>
          <t>Ningbo Beauty Supply</t>
        </is>
      </c>
      <c r="M63" s="80" t="n">
        <v>29.99</v>
      </c>
      <c r="N63" s="80" t="n">
        <v>6.75</v>
      </c>
      <c r="O63" s="80" t="n">
        <v>4.41</v>
      </c>
      <c r="P63" s="80" t="n">
        <v>0.03</v>
      </c>
      <c r="Q63" s="80" t="n">
        <v>5.82</v>
      </c>
      <c r="R63" s="80" t="n">
        <v>1</v>
      </c>
      <c r="S63" s="80">
        <f>IF(AC63="Cancelled",0,M63*R63)</f>
        <v/>
      </c>
      <c r="T63" s="80">
        <f>IF(AC63="Cancelled",0,N63*R63)</f>
        <v/>
      </c>
      <c r="U63" s="80">
        <f>IF(AC63="Cancelled",0,O63*R63)</f>
        <v/>
      </c>
      <c r="V63" s="80">
        <f>IF(AC63="Cancelled",0,ROUND(P63*S63,2))</f>
        <v/>
      </c>
      <c r="W63" s="80" t="inlineStr">
        <is>
          <t>No</t>
        </is>
      </c>
      <c r="X63" s="80" t="n">
        <v>0</v>
      </c>
      <c r="Y63" s="80">
        <f>IF(AC63="Cancelled",0,T63+U63+V63+Q63+X63)</f>
        <v/>
      </c>
      <c r="Z63" s="80">
        <f>IF(AC63="Cancelled",-Q63,S63-Y63)</f>
        <v/>
      </c>
      <c r="AA63" s="81">
        <f>IF(OR(AC63="Cancelled",S63=0),0,Z63/S63)</f>
        <v/>
      </c>
      <c r="AB63" s="82">
        <f>IFERROR(S63/Q63,0)</f>
        <v/>
      </c>
      <c r="AC63" s="56" t="inlineStr">
        <is>
          <t>Delivered</t>
        </is>
      </c>
    </row>
    <row r="64" ht="14.25" customHeight="1" s="57">
      <c r="A64" s="56" t="inlineStr">
        <is>
          <t>ORD-00222</t>
        </is>
      </c>
      <c r="B64" s="79" t="n">
        <v>45714</v>
      </c>
      <c r="C64" s="56" t="n">
        <v>2025</v>
      </c>
      <c r="D64" s="56" t="n">
        <v>2</v>
      </c>
      <c r="E64" s="56" t="inlineStr">
        <is>
          <t>Saudi Arabia</t>
        </is>
      </c>
      <c r="F64" s="56" t="inlineStr">
        <is>
          <t>Jeddah</t>
        </is>
      </c>
      <c r="G64" s="56" t="inlineStr">
        <is>
          <t>Organic Search</t>
        </is>
      </c>
      <c r="H64" s="56" t="inlineStr">
        <is>
          <t>Retargeting</t>
        </is>
      </c>
      <c r="I64" s="56" t="inlineStr">
        <is>
          <t>P003</t>
        </is>
      </c>
      <c r="J64" s="56" t="inlineStr">
        <is>
          <t>LED Strip Lights</t>
        </is>
      </c>
      <c r="K64" s="56" t="inlineStr">
        <is>
          <t>Home Decor</t>
        </is>
      </c>
      <c r="L64" s="56" t="inlineStr">
        <is>
          <t>Yiwu Lighting Factory</t>
        </is>
      </c>
      <c r="M64" s="80" t="n">
        <v>24.63</v>
      </c>
      <c r="N64" s="80" t="n">
        <v>6.17</v>
      </c>
      <c r="O64" s="80" t="n">
        <v>3.76</v>
      </c>
      <c r="P64" s="80" t="n">
        <v>0.03</v>
      </c>
      <c r="Q64" s="80" t="n">
        <v>0</v>
      </c>
      <c r="R64" s="80" t="n">
        <v>3</v>
      </c>
      <c r="S64" s="80">
        <f>IF(AC64="Cancelled",0,M64*R64)</f>
        <v/>
      </c>
      <c r="T64" s="80">
        <f>IF(AC64="Cancelled",0,N64*R64)</f>
        <v/>
      </c>
      <c r="U64" s="80">
        <f>IF(AC64="Cancelled",0,O64*R64)</f>
        <v/>
      </c>
      <c r="V64" s="80">
        <f>IF(AC64="Cancelled",0,ROUND(P64*S64,2))</f>
        <v/>
      </c>
      <c r="W64" s="80" t="inlineStr">
        <is>
          <t>No</t>
        </is>
      </c>
      <c r="X64" s="80" t="n">
        <v>0</v>
      </c>
      <c r="Y64" s="80">
        <f>IF(AC64="Cancelled",0,T64+U64+V64+Q64+X64)</f>
        <v/>
      </c>
      <c r="Z64" s="80">
        <f>IF(AC64="Cancelled",-Q64,S64-Y64)</f>
        <v/>
      </c>
      <c r="AA64" s="81">
        <f>IF(OR(AC64="Cancelled",S64=0),0,Z64/S64)</f>
        <v/>
      </c>
      <c r="AB64" s="82">
        <f>IFERROR(S64/Q64,0)</f>
        <v/>
      </c>
      <c r="AC64" s="56" t="inlineStr">
        <is>
          <t>Cancelled</t>
        </is>
      </c>
    </row>
    <row r="65" ht="14.25" customHeight="1" s="57">
      <c r="A65" s="56" t="inlineStr">
        <is>
          <t>ORD-00060</t>
        </is>
      </c>
      <c r="B65" s="79" t="n">
        <v>45716</v>
      </c>
      <c r="C65" s="56" t="n">
        <v>2025</v>
      </c>
      <c r="D65" s="56" t="n">
        <v>2</v>
      </c>
      <c r="E65" s="56" t="inlineStr">
        <is>
          <t>Oman</t>
        </is>
      </c>
      <c r="F65" s="56" t="inlineStr">
        <is>
          <t>Muscat</t>
        </is>
      </c>
      <c r="G65" s="56" t="inlineStr">
        <is>
          <t>Influencer</t>
        </is>
      </c>
      <c r="H65" s="56" t="inlineStr">
        <is>
          <t>Summer Sale</t>
        </is>
      </c>
      <c r="I65" s="56" t="inlineStr">
        <is>
          <t>P009</t>
        </is>
      </c>
      <c r="J65" s="56" t="inlineStr">
        <is>
          <t>Car Vacuum Cleaner</t>
        </is>
      </c>
      <c r="K65" s="56" t="inlineStr">
        <is>
          <t>Automotive</t>
        </is>
      </c>
      <c r="L65" s="56" t="inlineStr">
        <is>
          <t>Dongguan Auto Tools</t>
        </is>
      </c>
      <c r="M65" s="80" t="n">
        <v>43.66</v>
      </c>
      <c r="N65" s="80" t="n">
        <v>14.08</v>
      </c>
      <c r="O65" s="80" t="n">
        <v>7.26</v>
      </c>
      <c r="P65" s="80" t="n">
        <v>0.03</v>
      </c>
      <c r="Q65" s="80" t="n">
        <v>12.37</v>
      </c>
      <c r="R65" s="80" t="n">
        <v>3</v>
      </c>
      <c r="S65" s="80">
        <f>IF(AC65="Cancelled",0,M65*R65)</f>
        <v/>
      </c>
      <c r="T65" s="80">
        <f>IF(AC65="Cancelled",0,N65*R65)</f>
        <v/>
      </c>
      <c r="U65" s="80">
        <f>IF(AC65="Cancelled",0,O65*R65)</f>
        <v/>
      </c>
      <c r="V65" s="80">
        <f>IF(AC65="Cancelled",0,ROUND(P65*S65,2))</f>
        <v/>
      </c>
      <c r="W65" s="80" t="inlineStr">
        <is>
          <t>No</t>
        </is>
      </c>
      <c r="X65" s="80" t="n">
        <v>0</v>
      </c>
      <c r="Y65" s="80">
        <f>IF(AC65="Cancelled",0,T65+U65+V65+Q65+X65)</f>
        <v/>
      </c>
      <c r="Z65" s="80">
        <f>IF(AC65="Cancelled",-Q65,S65-Y65)</f>
        <v/>
      </c>
      <c r="AA65" s="81">
        <f>IF(OR(AC65="Cancelled",S65=0),0,Z65/S65)</f>
        <v/>
      </c>
      <c r="AB65" s="82">
        <f>IFERROR(S65/Q65,0)</f>
        <v/>
      </c>
      <c r="AC65" s="56" t="inlineStr">
        <is>
          <t>Delivered</t>
        </is>
      </c>
    </row>
    <row r="66" ht="14.25" customHeight="1" s="57">
      <c r="A66" s="56" t="inlineStr">
        <is>
          <t>ORD-00397</t>
        </is>
      </c>
      <c r="B66" s="79" t="n">
        <v>45718</v>
      </c>
      <c r="C66" s="56" t="n">
        <v>2025</v>
      </c>
      <c r="D66" s="56" t="n">
        <v>3</v>
      </c>
      <c r="E66" s="56" t="inlineStr">
        <is>
          <t>UAE</t>
        </is>
      </c>
      <c r="F66" s="56" t="inlineStr">
        <is>
          <t>Abu Dhabi</t>
        </is>
      </c>
      <c r="G66" s="56" t="inlineStr">
        <is>
          <t>Meta Ads</t>
        </is>
      </c>
      <c r="H66" s="56" t="inlineStr">
        <is>
          <t>Retargeting</t>
        </is>
      </c>
      <c r="I66" s="56" t="inlineStr">
        <is>
          <t>P010</t>
        </is>
      </c>
      <c r="J66" s="56" t="inlineStr">
        <is>
          <t>Smart Water Bottle</t>
        </is>
      </c>
      <c r="K66" s="56" t="inlineStr">
        <is>
          <t>Lifestyle</t>
        </is>
      </c>
      <c r="L66" s="56" t="inlineStr">
        <is>
          <t>Shenzhen Smart Home</t>
        </is>
      </c>
      <c r="M66" s="80" t="n">
        <v>31.13</v>
      </c>
      <c r="N66" s="80" t="n">
        <v>9.56</v>
      </c>
      <c r="O66" s="80" t="n">
        <v>4.24</v>
      </c>
      <c r="P66" s="80" t="n">
        <v>0.03</v>
      </c>
      <c r="Q66" s="80" t="n">
        <v>2.98</v>
      </c>
      <c r="R66" s="80" t="n">
        <v>1</v>
      </c>
      <c r="S66" s="80">
        <f>IF(AC66="Cancelled",0,M66*R66)</f>
        <v/>
      </c>
      <c r="T66" s="80">
        <f>IF(AC66="Cancelled",0,N66*R66)</f>
        <v/>
      </c>
      <c r="U66" s="80">
        <f>IF(AC66="Cancelled",0,O66*R66)</f>
        <v/>
      </c>
      <c r="V66" s="80">
        <f>IF(AC66="Cancelled",0,ROUND(P66*S66,2))</f>
        <v/>
      </c>
      <c r="W66" s="80" t="inlineStr">
        <is>
          <t>Yes</t>
        </is>
      </c>
      <c r="X66" s="80" t="n">
        <v>22.06</v>
      </c>
      <c r="Y66" s="80">
        <f>IF(AC66="Cancelled",0,T66+U66+V66+Q66+X66)</f>
        <v/>
      </c>
      <c r="Z66" s="80">
        <f>IF(AC66="Cancelled",-Q66,S66-Y66)</f>
        <v/>
      </c>
      <c r="AA66" s="81">
        <f>IF(OR(AC66="Cancelled",S66=0),0,Z66/S66)</f>
        <v/>
      </c>
      <c r="AB66" s="82">
        <f>IFERROR(S66/Q66,0)</f>
        <v/>
      </c>
      <c r="AC66" s="56" t="inlineStr">
        <is>
          <t>Refunded</t>
        </is>
      </c>
    </row>
    <row r="67" ht="14.25" customHeight="1" s="57">
      <c r="A67" s="56" t="inlineStr">
        <is>
          <t>ORD-00275</t>
        </is>
      </c>
      <c r="B67" s="79" t="n">
        <v>45719</v>
      </c>
      <c r="C67" s="56" t="n">
        <v>2025</v>
      </c>
      <c r="D67" s="56" t="n">
        <v>3</v>
      </c>
      <c r="E67" s="56" t="inlineStr">
        <is>
          <t>Qatar</t>
        </is>
      </c>
      <c r="F67" s="56" t="inlineStr">
        <is>
          <t>Doha</t>
        </is>
      </c>
      <c r="G67" s="56" t="inlineStr">
        <is>
          <t>Meta Ads</t>
        </is>
      </c>
      <c r="H67" s="56" t="inlineStr">
        <is>
          <t>Summer Sale</t>
        </is>
      </c>
      <c r="I67" s="56" t="inlineStr">
        <is>
          <t>P009</t>
        </is>
      </c>
      <c r="J67" s="56" t="inlineStr">
        <is>
          <t>Car Vacuum Cleaner</t>
        </is>
      </c>
      <c r="K67" s="56" t="inlineStr">
        <is>
          <t>Automotive</t>
        </is>
      </c>
      <c r="L67" s="56" t="inlineStr">
        <is>
          <t>Dongguan Auto Tools</t>
        </is>
      </c>
      <c r="M67" s="80" t="n">
        <v>40.75</v>
      </c>
      <c r="N67" s="80" t="n">
        <v>14.72</v>
      </c>
      <c r="O67" s="80" t="n">
        <v>6.66</v>
      </c>
      <c r="P67" s="80" t="n">
        <v>0.03</v>
      </c>
      <c r="Q67" s="80" t="n">
        <v>4.65</v>
      </c>
      <c r="R67" s="80" t="n">
        <v>1</v>
      </c>
      <c r="S67" s="80">
        <f>IF(AC67="Cancelled",0,M67*R67)</f>
        <v/>
      </c>
      <c r="T67" s="80">
        <f>IF(AC67="Cancelled",0,N67*R67)</f>
        <v/>
      </c>
      <c r="U67" s="80">
        <f>IF(AC67="Cancelled",0,O67*R67)</f>
        <v/>
      </c>
      <c r="V67" s="80">
        <f>IF(AC67="Cancelled",0,ROUND(P67*S67,2))</f>
        <v/>
      </c>
      <c r="W67" s="80" t="inlineStr">
        <is>
          <t>No</t>
        </is>
      </c>
      <c r="X67" s="80" t="n">
        <v>0</v>
      </c>
      <c r="Y67" s="80">
        <f>IF(AC67="Cancelled",0,T67+U67+V67+Q67+X67)</f>
        <v/>
      </c>
      <c r="Z67" s="80">
        <f>IF(AC67="Cancelled",-Q67,S67-Y67)</f>
        <v/>
      </c>
      <c r="AA67" s="81">
        <f>IF(OR(AC67="Cancelled",S67=0),0,Z67/S67)</f>
        <v/>
      </c>
      <c r="AB67" s="82">
        <f>IFERROR(S67/Q67,0)</f>
        <v/>
      </c>
      <c r="AC67" s="56" t="inlineStr">
        <is>
          <t>Delivered</t>
        </is>
      </c>
    </row>
    <row r="68" ht="14.25" customHeight="1" s="57">
      <c r="A68" s="56" t="inlineStr">
        <is>
          <t>ORD-00389</t>
        </is>
      </c>
      <c r="B68" s="79" t="n">
        <v>45720</v>
      </c>
      <c r="C68" s="56" t="n">
        <v>2025</v>
      </c>
      <c r="D68" s="56" t="n">
        <v>3</v>
      </c>
      <c r="E68" s="56" t="inlineStr">
        <is>
          <t>Kuwait</t>
        </is>
      </c>
      <c r="F68" s="56" t="inlineStr">
        <is>
          <t>Kuwait City</t>
        </is>
      </c>
      <c r="G68" s="56" t="inlineStr">
        <is>
          <t>TikTok Ads</t>
        </is>
      </c>
      <c r="H68" s="56" t="inlineStr">
        <is>
          <t>Summer Sale</t>
        </is>
      </c>
      <c r="I68" s="56" t="inlineStr">
        <is>
          <t>P005</t>
        </is>
      </c>
      <c r="J68" s="56" t="inlineStr">
        <is>
          <t>Mini Printer</t>
        </is>
      </c>
      <c r="K68" s="56" t="inlineStr">
        <is>
          <t>Electronics</t>
        </is>
      </c>
      <c r="L68" s="56" t="inlineStr">
        <is>
          <t>Shenzhen Print Tech</t>
        </is>
      </c>
      <c r="M68" s="80" t="n">
        <v>59.3</v>
      </c>
      <c r="N68" s="80" t="n">
        <v>22.66</v>
      </c>
      <c r="O68" s="80" t="n">
        <v>7.67</v>
      </c>
      <c r="P68" s="80" t="n">
        <v>0.03</v>
      </c>
      <c r="Q68" s="80" t="n">
        <v>8.890000000000001</v>
      </c>
      <c r="R68" s="80" t="n">
        <v>1</v>
      </c>
      <c r="S68" s="80">
        <f>IF(AC68="Cancelled",0,M68*R68)</f>
        <v/>
      </c>
      <c r="T68" s="80">
        <f>IF(AC68="Cancelled",0,N68*R68)</f>
        <v/>
      </c>
      <c r="U68" s="80">
        <f>IF(AC68="Cancelled",0,O68*R68)</f>
        <v/>
      </c>
      <c r="V68" s="80">
        <f>IF(AC68="Cancelled",0,ROUND(P68*S68,2))</f>
        <v/>
      </c>
      <c r="W68" s="80" t="inlineStr">
        <is>
          <t>No</t>
        </is>
      </c>
      <c r="X68" s="80" t="n">
        <v>0</v>
      </c>
      <c r="Y68" s="80">
        <f>IF(AC68="Cancelled",0,T68+U68+V68+Q68+X68)</f>
        <v/>
      </c>
      <c r="Z68" s="80">
        <f>IF(AC68="Cancelled",-Q68,S68-Y68)</f>
        <v/>
      </c>
      <c r="AA68" s="81">
        <f>IF(OR(AC68="Cancelled",S68=0),0,Z68/S68)</f>
        <v/>
      </c>
      <c r="AB68" s="82">
        <f>IFERROR(S68/Q68,0)</f>
        <v/>
      </c>
      <c r="AC68" s="56" t="inlineStr">
        <is>
          <t>Delivered</t>
        </is>
      </c>
    </row>
    <row r="69" ht="14.25" customHeight="1" s="57">
      <c r="A69" s="56" t="inlineStr">
        <is>
          <t>ORD-00395</t>
        </is>
      </c>
      <c r="B69" s="79" t="n">
        <v>45720</v>
      </c>
      <c r="C69" s="56" t="n">
        <v>2025</v>
      </c>
      <c r="D69" s="56" t="n">
        <v>3</v>
      </c>
      <c r="E69" s="56" t="inlineStr">
        <is>
          <t>Saudi Arabia</t>
        </is>
      </c>
      <c r="F69" s="56" t="inlineStr">
        <is>
          <t>Jeddah</t>
        </is>
      </c>
      <c r="G69" s="56" t="inlineStr">
        <is>
          <t>Influencer</t>
        </is>
      </c>
      <c r="H69" s="56" t="inlineStr">
        <is>
          <t>New Creative A/B</t>
        </is>
      </c>
      <c r="I69" s="56" t="inlineStr">
        <is>
          <t>P003</t>
        </is>
      </c>
      <c r="J69" s="56" t="inlineStr">
        <is>
          <t>LED Strip Lights</t>
        </is>
      </c>
      <c r="K69" s="56" t="inlineStr">
        <is>
          <t>Home Decor</t>
        </is>
      </c>
      <c r="L69" s="56" t="inlineStr">
        <is>
          <t>Yiwu Lighting Factory</t>
        </is>
      </c>
      <c r="M69" s="80" t="n">
        <v>23.12</v>
      </c>
      <c r="N69" s="80" t="n">
        <v>6.07</v>
      </c>
      <c r="O69" s="80" t="n">
        <v>3.28</v>
      </c>
      <c r="P69" s="80" t="n">
        <v>0.03</v>
      </c>
      <c r="Q69" s="80" t="n">
        <v>12.53</v>
      </c>
      <c r="R69" s="80" t="n">
        <v>3</v>
      </c>
      <c r="S69" s="80">
        <f>IF(AC69="Cancelled",0,M69*R69)</f>
        <v/>
      </c>
      <c r="T69" s="80">
        <f>IF(AC69="Cancelled",0,N69*R69)</f>
        <v/>
      </c>
      <c r="U69" s="80">
        <f>IF(AC69="Cancelled",0,O69*R69)</f>
        <v/>
      </c>
      <c r="V69" s="80">
        <f>IF(AC69="Cancelled",0,ROUND(P69*S69,2))</f>
        <v/>
      </c>
      <c r="W69" s="80" t="inlineStr">
        <is>
          <t>Yes</t>
        </is>
      </c>
      <c r="X69" s="80" t="n">
        <v>52.19</v>
      </c>
      <c r="Y69" s="80">
        <f>IF(AC69="Cancelled",0,T69+U69+V69+Q69+X69)</f>
        <v/>
      </c>
      <c r="Z69" s="80">
        <f>IF(AC69="Cancelled",-Q69,S69-Y69)</f>
        <v/>
      </c>
      <c r="AA69" s="81">
        <f>IF(OR(AC69="Cancelled",S69=0),0,Z69/S69)</f>
        <v/>
      </c>
      <c r="AB69" s="82">
        <f>IFERROR(S69/Q69,0)</f>
        <v/>
      </c>
      <c r="AC69" s="56" t="inlineStr">
        <is>
          <t>Refunded</t>
        </is>
      </c>
    </row>
    <row r="70" ht="14.25" customHeight="1" s="57">
      <c r="A70" s="56" t="inlineStr">
        <is>
          <t>ORD-00336</t>
        </is>
      </c>
      <c r="B70" s="79" t="n">
        <v>45721</v>
      </c>
      <c r="C70" s="56" t="n">
        <v>2025</v>
      </c>
      <c r="D70" s="56" t="n">
        <v>3</v>
      </c>
      <c r="E70" s="56" t="inlineStr">
        <is>
          <t>Kuwait</t>
        </is>
      </c>
      <c r="F70" s="56" t="inlineStr">
        <is>
          <t>Kuwait City</t>
        </is>
      </c>
      <c r="G70" s="56" t="inlineStr">
        <is>
          <t>TikTok Ads</t>
        </is>
      </c>
      <c r="H70" s="56" t="inlineStr">
        <is>
          <t>Summer Sale</t>
        </is>
      </c>
      <c r="I70" s="56" t="inlineStr">
        <is>
          <t>P005</t>
        </is>
      </c>
      <c r="J70" s="56" t="inlineStr">
        <is>
          <t>Mini Printer</t>
        </is>
      </c>
      <c r="K70" s="56" t="inlineStr">
        <is>
          <t>Electronics</t>
        </is>
      </c>
      <c r="L70" s="56" t="inlineStr">
        <is>
          <t>Shenzhen Print Tech</t>
        </is>
      </c>
      <c r="M70" s="80" t="n">
        <v>62.22</v>
      </c>
      <c r="N70" s="80" t="n">
        <v>21.1</v>
      </c>
      <c r="O70" s="80" t="n">
        <v>7.38</v>
      </c>
      <c r="P70" s="80" t="n">
        <v>0.03</v>
      </c>
      <c r="Q70" s="80" t="n">
        <v>7.5</v>
      </c>
      <c r="R70" s="80" t="n">
        <v>2</v>
      </c>
      <c r="S70" s="80">
        <f>IF(AC70="Cancelled",0,M70*R70)</f>
        <v/>
      </c>
      <c r="T70" s="80">
        <f>IF(AC70="Cancelled",0,N70*R70)</f>
        <v/>
      </c>
      <c r="U70" s="80">
        <f>IF(AC70="Cancelled",0,O70*R70)</f>
        <v/>
      </c>
      <c r="V70" s="80">
        <f>IF(AC70="Cancelled",0,ROUND(P70*S70,2))</f>
        <v/>
      </c>
      <c r="W70" s="80" t="inlineStr">
        <is>
          <t>No</t>
        </is>
      </c>
      <c r="X70" s="80" t="n">
        <v>0</v>
      </c>
      <c r="Y70" s="80">
        <f>IF(AC70="Cancelled",0,T70+U70+V70+Q70+X70)</f>
        <v/>
      </c>
      <c r="Z70" s="80">
        <f>IF(AC70="Cancelled",-Q70,S70-Y70)</f>
        <v/>
      </c>
      <c r="AA70" s="81">
        <f>IF(OR(AC70="Cancelled",S70=0),0,Z70/S70)</f>
        <v/>
      </c>
      <c r="AB70" s="82">
        <f>IFERROR(S70/Q70,0)</f>
        <v/>
      </c>
      <c r="AC70" s="56" t="inlineStr">
        <is>
          <t>Delivered</t>
        </is>
      </c>
    </row>
    <row r="71" ht="14.25" customHeight="1" s="57">
      <c r="A71" s="56" t="inlineStr">
        <is>
          <t>ORD-00393</t>
        </is>
      </c>
      <c r="B71" s="79" t="n">
        <v>45721</v>
      </c>
      <c r="C71" s="56" t="n">
        <v>2025</v>
      </c>
      <c r="D71" s="56" t="n">
        <v>3</v>
      </c>
      <c r="E71" s="56" t="inlineStr">
        <is>
          <t>Qatar</t>
        </is>
      </c>
      <c r="F71" s="56" t="inlineStr">
        <is>
          <t>Doha</t>
        </is>
      </c>
      <c r="G71" s="56" t="inlineStr">
        <is>
          <t>Email</t>
        </is>
      </c>
      <c r="H71" s="56" t="inlineStr">
        <is>
          <t>Summer Sale</t>
        </is>
      </c>
      <c r="I71" s="56" t="inlineStr">
        <is>
          <t>P010</t>
        </is>
      </c>
      <c r="J71" s="56" t="inlineStr">
        <is>
          <t>Smart Water Bottle</t>
        </is>
      </c>
      <c r="K71" s="56" t="inlineStr">
        <is>
          <t>Lifestyle</t>
        </is>
      </c>
      <c r="L71" s="56" t="inlineStr">
        <is>
          <t>Shenzhen Smart Home</t>
        </is>
      </c>
      <c r="M71" s="80" t="n">
        <v>33.57</v>
      </c>
      <c r="N71" s="80" t="n">
        <v>9.57</v>
      </c>
      <c r="O71" s="80" t="n">
        <v>4.49</v>
      </c>
      <c r="P71" s="80" t="n">
        <v>0.03</v>
      </c>
      <c r="Q71" s="80" t="n">
        <v>3.97</v>
      </c>
      <c r="R71" s="80" t="n">
        <v>1</v>
      </c>
      <c r="S71" s="80">
        <f>IF(AC71="Cancelled",0,M71*R71)</f>
        <v/>
      </c>
      <c r="T71" s="80">
        <f>IF(AC71="Cancelled",0,N71*R71)</f>
        <v/>
      </c>
      <c r="U71" s="80">
        <f>IF(AC71="Cancelled",0,O71*R71)</f>
        <v/>
      </c>
      <c r="V71" s="80">
        <f>IF(AC71="Cancelled",0,ROUND(P71*S71,2))</f>
        <v/>
      </c>
      <c r="W71" s="80" t="inlineStr">
        <is>
          <t>No</t>
        </is>
      </c>
      <c r="X71" s="80" t="n">
        <v>0</v>
      </c>
      <c r="Y71" s="80">
        <f>IF(AC71="Cancelled",0,T71+U71+V71+Q71+X71)</f>
        <v/>
      </c>
      <c r="Z71" s="80">
        <f>IF(AC71="Cancelled",-Q71,S71-Y71)</f>
        <v/>
      </c>
      <c r="AA71" s="81">
        <f>IF(OR(AC71="Cancelled",S71=0),0,Z71/S71)</f>
        <v/>
      </c>
      <c r="AB71" s="82">
        <f>IFERROR(S71/Q71,0)</f>
        <v/>
      </c>
      <c r="AC71" s="56" t="inlineStr">
        <is>
          <t>Delivered</t>
        </is>
      </c>
    </row>
    <row r="72" ht="14.25" customHeight="1" s="57">
      <c r="A72" s="56" t="inlineStr">
        <is>
          <t>ORD-00150</t>
        </is>
      </c>
      <c r="B72" s="79" t="n">
        <v>45722</v>
      </c>
      <c r="C72" s="56" t="n">
        <v>2025</v>
      </c>
      <c r="D72" s="56" t="n">
        <v>3</v>
      </c>
      <c r="E72" s="56" t="inlineStr">
        <is>
          <t>UAE</t>
        </is>
      </c>
      <c r="F72" s="56" t="inlineStr">
        <is>
          <t>Abu Dhabi</t>
        </is>
      </c>
      <c r="G72" s="56" t="inlineStr">
        <is>
          <t>TikTok Ads</t>
        </is>
      </c>
      <c r="H72" s="56" t="inlineStr">
        <is>
          <t>Retargeting</t>
        </is>
      </c>
      <c r="I72" s="56" t="inlineStr">
        <is>
          <t>P009</t>
        </is>
      </c>
      <c r="J72" s="56" t="inlineStr">
        <is>
          <t>Car Vacuum Cleaner</t>
        </is>
      </c>
      <c r="K72" s="56" t="inlineStr">
        <is>
          <t>Automotive</t>
        </is>
      </c>
      <c r="L72" s="56" t="inlineStr">
        <is>
          <t>Dongguan Auto Tools</t>
        </is>
      </c>
      <c r="M72" s="80" t="n">
        <v>47.88</v>
      </c>
      <c r="N72" s="80" t="n">
        <v>15.04</v>
      </c>
      <c r="O72" s="80" t="n">
        <v>7.13</v>
      </c>
      <c r="P72" s="80" t="n">
        <v>0.03</v>
      </c>
      <c r="Q72" s="80" t="n">
        <v>5.94</v>
      </c>
      <c r="R72" s="80" t="n">
        <v>1</v>
      </c>
      <c r="S72" s="80">
        <f>IF(AC72="Cancelled",0,M72*R72)</f>
        <v/>
      </c>
      <c r="T72" s="80">
        <f>IF(AC72="Cancelled",0,N72*R72)</f>
        <v/>
      </c>
      <c r="U72" s="80">
        <f>IF(AC72="Cancelled",0,O72*R72)</f>
        <v/>
      </c>
      <c r="V72" s="80">
        <f>IF(AC72="Cancelled",0,ROUND(P72*S72,2))</f>
        <v/>
      </c>
      <c r="W72" s="80" t="inlineStr">
        <is>
          <t>No</t>
        </is>
      </c>
      <c r="X72" s="80" t="n">
        <v>0</v>
      </c>
      <c r="Y72" s="80">
        <f>IF(AC72="Cancelled",0,T72+U72+V72+Q72+X72)</f>
        <v/>
      </c>
      <c r="Z72" s="80">
        <f>IF(AC72="Cancelled",-Q72,S72-Y72)</f>
        <v/>
      </c>
      <c r="AA72" s="81">
        <f>IF(OR(AC72="Cancelled",S72=0),0,Z72/S72)</f>
        <v/>
      </c>
      <c r="AB72" s="82">
        <f>IFERROR(S72/Q72,0)</f>
        <v/>
      </c>
      <c r="AC72" s="56" t="inlineStr">
        <is>
          <t>Delivered</t>
        </is>
      </c>
    </row>
    <row r="73" ht="14.25" customHeight="1" s="57">
      <c r="A73" s="56" t="inlineStr">
        <is>
          <t>ORD-00211</t>
        </is>
      </c>
      <c r="B73" s="79" t="n">
        <v>45724</v>
      </c>
      <c r="C73" s="56" t="n">
        <v>2025</v>
      </c>
      <c r="D73" s="56" t="n">
        <v>3</v>
      </c>
      <c r="E73" s="56" t="inlineStr">
        <is>
          <t>Saudi Arabia</t>
        </is>
      </c>
      <c r="F73" s="56" t="inlineStr">
        <is>
          <t>Jeddah</t>
        </is>
      </c>
      <c r="G73" s="56" t="inlineStr">
        <is>
          <t>TikTok Ads</t>
        </is>
      </c>
      <c r="H73" s="56" t="inlineStr">
        <is>
          <t>Launch Test</t>
        </is>
      </c>
      <c r="I73" s="56" t="inlineStr">
        <is>
          <t>P006</t>
        </is>
      </c>
      <c r="J73" s="56" t="inlineStr">
        <is>
          <t>Posture Corrector</t>
        </is>
      </c>
      <c r="K73" s="56" t="inlineStr">
        <is>
          <t>Fitness</t>
        </is>
      </c>
      <c r="L73" s="56" t="inlineStr">
        <is>
          <t>Hangzhou Health Gear</t>
        </is>
      </c>
      <c r="M73" s="80" t="n">
        <v>34.97</v>
      </c>
      <c r="N73" s="80" t="n">
        <v>9.710000000000001</v>
      </c>
      <c r="O73" s="80" t="n">
        <v>4.17</v>
      </c>
      <c r="P73" s="80" t="n">
        <v>0.03</v>
      </c>
      <c r="Q73" s="80" t="n">
        <v>8.59</v>
      </c>
      <c r="R73" s="80" t="n">
        <v>1</v>
      </c>
      <c r="S73" s="80">
        <f>IF(AC73="Cancelled",0,M73*R73)</f>
        <v/>
      </c>
      <c r="T73" s="80">
        <f>IF(AC73="Cancelled",0,N73*R73)</f>
        <v/>
      </c>
      <c r="U73" s="80">
        <f>IF(AC73="Cancelled",0,O73*R73)</f>
        <v/>
      </c>
      <c r="V73" s="80">
        <f>IF(AC73="Cancelled",0,ROUND(P73*S73,2))</f>
        <v/>
      </c>
      <c r="W73" s="80" t="inlineStr">
        <is>
          <t>No</t>
        </is>
      </c>
      <c r="X73" s="80" t="n">
        <v>0</v>
      </c>
      <c r="Y73" s="80">
        <f>IF(AC73="Cancelled",0,T73+U73+V73+Q73+X73)</f>
        <v/>
      </c>
      <c r="Z73" s="80">
        <f>IF(AC73="Cancelled",-Q73,S73-Y73)</f>
        <v/>
      </c>
      <c r="AA73" s="81">
        <f>IF(OR(AC73="Cancelled",S73=0),0,Z73/S73)</f>
        <v/>
      </c>
      <c r="AB73" s="82">
        <f>IFERROR(S73/Q73,0)</f>
        <v/>
      </c>
      <c r="AC73" s="56" t="inlineStr">
        <is>
          <t>Delivered</t>
        </is>
      </c>
    </row>
    <row r="74" ht="14.25" customHeight="1" s="57">
      <c r="A74" s="56" t="inlineStr">
        <is>
          <t>ORD-00273</t>
        </is>
      </c>
      <c r="B74" s="79" t="n">
        <v>45725</v>
      </c>
      <c r="C74" s="56" t="n">
        <v>2025</v>
      </c>
      <c r="D74" s="56" t="n">
        <v>3</v>
      </c>
      <c r="E74" s="56" t="inlineStr">
        <is>
          <t>Kuwait</t>
        </is>
      </c>
      <c r="F74" s="56" t="inlineStr">
        <is>
          <t>Kuwait City</t>
        </is>
      </c>
      <c r="G74" s="56" t="inlineStr">
        <is>
          <t>Influencer</t>
        </is>
      </c>
      <c r="H74" s="56" t="inlineStr">
        <is>
          <t>Retargeting</t>
        </is>
      </c>
      <c r="I74" s="56" t="inlineStr">
        <is>
          <t>P001</t>
        </is>
      </c>
      <c r="J74" s="56" t="inlineStr">
        <is>
          <t>Wireless Earbuds</t>
        </is>
      </c>
      <c r="K74" s="56" t="inlineStr">
        <is>
          <t>Electronics</t>
        </is>
      </c>
      <c r="L74" s="56" t="inlineStr">
        <is>
          <t>Shenzhen Audio Co.</t>
        </is>
      </c>
      <c r="M74" s="80" t="n">
        <v>36.47</v>
      </c>
      <c r="N74" s="80" t="n">
        <v>8.109999999999999</v>
      </c>
      <c r="O74" s="80" t="n">
        <v>3.83</v>
      </c>
      <c r="P74" s="80" t="n">
        <v>0.03</v>
      </c>
      <c r="Q74" s="80" t="n">
        <v>6</v>
      </c>
      <c r="R74" s="80" t="n">
        <v>1</v>
      </c>
      <c r="S74" s="80">
        <f>IF(AC74="Cancelled",0,M74*R74)</f>
        <v/>
      </c>
      <c r="T74" s="80">
        <f>IF(AC74="Cancelled",0,N74*R74)</f>
        <v/>
      </c>
      <c r="U74" s="80">
        <f>IF(AC74="Cancelled",0,O74*R74)</f>
        <v/>
      </c>
      <c r="V74" s="80">
        <f>IF(AC74="Cancelled",0,ROUND(P74*S74,2))</f>
        <v/>
      </c>
      <c r="W74" s="80" t="inlineStr">
        <is>
          <t>No</t>
        </is>
      </c>
      <c r="X74" s="80" t="n">
        <v>0</v>
      </c>
      <c r="Y74" s="80">
        <f>IF(AC74="Cancelled",0,T74+U74+V74+Q74+X74)</f>
        <v/>
      </c>
      <c r="Z74" s="80">
        <f>IF(AC74="Cancelled",-Q74,S74-Y74)</f>
        <v/>
      </c>
      <c r="AA74" s="81">
        <f>IF(OR(AC74="Cancelled",S74=0),0,Z74/S74)</f>
        <v/>
      </c>
      <c r="AB74" s="82">
        <f>IFERROR(S74/Q74,0)</f>
        <v/>
      </c>
      <c r="AC74" s="56" t="inlineStr">
        <is>
          <t>Delivered</t>
        </is>
      </c>
    </row>
    <row r="75" ht="14.25" customHeight="1" s="57">
      <c r="A75" s="56" t="inlineStr">
        <is>
          <t>ORD-00495</t>
        </is>
      </c>
      <c r="B75" s="79" t="n">
        <v>45725</v>
      </c>
      <c r="C75" s="56" t="n">
        <v>2025</v>
      </c>
      <c r="D75" s="56" t="n">
        <v>3</v>
      </c>
      <c r="E75" s="56" t="inlineStr">
        <is>
          <t>UAE</t>
        </is>
      </c>
      <c r="F75" s="56" t="inlineStr">
        <is>
          <t>Dubai</t>
        </is>
      </c>
      <c r="G75" s="56" t="inlineStr">
        <is>
          <t>Influencer</t>
        </is>
      </c>
      <c r="H75" s="56" t="inlineStr">
        <is>
          <t>New Creative A/B</t>
        </is>
      </c>
      <c r="I75" s="56" t="inlineStr">
        <is>
          <t>P009</t>
        </is>
      </c>
      <c r="J75" s="56" t="inlineStr">
        <is>
          <t>Car Vacuum Cleaner</t>
        </is>
      </c>
      <c r="K75" s="56" t="inlineStr">
        <is>
          <t>Automotive</t>
        </is>
      </c>
      <c r="L75" s="56" t="inlineStr">
        <is>
          <t>Dongguan Auto Tools</t>
        </is>
      </c>
      <c r="M75" s="80" t="n">
        <v>40.83</v>
      </c>
      <c r="N75" s="80" t="n">
        <v>14.16</v>
      </c>
      <c r="O75" s="80" t="n">
        <v>6.29</v>
      </c>
      <c r="P75" s="80" t="n">
        <v>0.03</v>
      </c>
      <c r="Q75" s="80" t="n">
        <v>16.84</v>
      </c>
      <c r="R75" s="80" t="n">
        <v>2</v>
      </c>
      <c r="S75" s="80">
        <f>IF(AC75="Cancelled",0,M75*R75)</f>
        <v/>
      </c>
      <c r="T75" s="80">
        <f>IF(AC75="Cancelled",0,N75*R75)</f>
        <v/>
      </c>
      <c r="U75" s="80">
        <f>IF(AC75="Cancelled",0,O75*R75)</f>
        <v/>
      </c>
      <c r="V75" s="80">
        <f>IF(AC75="Cancelled",0,ROUND(P75*S75,2))</f>
        <v/>
      </c>
      <c r="W75" s="80" t="inlineStr">
        <is>
          <t>No</t>
        </is>
      </c>
      <c r="X75" s="80" t="n">
        <v>0</v>
      </c>
      <c r="Y75" s="80">
        <f>IF(AC75="Cancelled",0,T75+U75+V75+Q75+X75)</f>
        <v/>
      </c>
      <c r="Z75" s="80">
        <f>IF(AC75="Cancelled",-Q75,S75-Y75)</f>
        <v/>
      </c>
      <c r="AA75" s="81">
        <f>IF(OR(AC75="Cancelled",S75=0),0,Z75/S75)</f>
        <v/>
      </c>
      <c r="AB75" s="82">
        <f>IFERROR(S75/Q75,0)</f>
        <v/>
      </c>
      <c r="AC75" s="56" t="inlineStr">
        <is>
          <t>Delivered</t>
        </is>
      </c>
    </row>
    <row r="76" ht="14.25" customHeight="1" s="57">
      <c r="A76" s="56" t="inlineStr">
        <is>
          <t>ORD-00112</t>
        </is>
      </c>
      <c r="B76" s="79" t="n">
        <v>45726</v>
      </c>
      <c r="C76" s="56" t="n">
        <v>2025</v>
      </c>
      <c r="D76" s="56" t="n">
        <v>3</v>
      </c>
      <c r="E76" s="56" t="inlineStr">
        <is>
          <t>UAE</t>
        </is>
      </c>
      <c r="F76" s="56" t="inlineStr">
        <is>
          <t>Abu Dhabi</t>
        </is>
      </c>
      <c r="G76" s="56" t="inlineStr">
        <is>
          <t>Meta Ads</t>
        </is>
      </c>
      <c r="H76" s="56" t="inlineStr">
        <is>
          <t>Launch Test</t>
        </is>
      </c>
      <c r="I76" s="56" t="inlineStr">
        <is>
          <t>P010</t>
        </is>
      </c>
      <c r="J76" s="56" t="inlineStr">
        <is>
          <t>Smart Water Bottle</t>
        </is>
      </c>
      <c r="K76" s="56" t="inlineStr">
        <is>
          <t>Lifestyle</t>
        </is>
      </c>
      <c r="L76" s="56" t="inlineStr">
        <is>
          <t>Shenzhen Smart Home</t>
        </is>
      </c>
      <c r="M76" s="80" t="n">
        <v>36.91</v>
      </c>
      <c r="N76" s="80" t="n">
        <v>9.6</v>
      </c>
      <c r="O76" s="80" t="n">
        <v>4.3</v>
      </c>
      <c r="P76" s="80" t="n">
        <v>0.03</v>
      </c>
      <c r="Q76" s="80" t="n">
        <v>9.289999999999999</v>
      </c>
      <c r="R76" s="80" t="n">
        <v>1</v>
      </c>
      <c r="S76" s="80">
        <f>IF(AC76="Cancelled",0,M76*R76)</f>
        <v/>
      </c>
      <c r="T76" s="80">
        <f>IF(AC76="Cancelled",0,N76*R76)</f>
        <v/>
      </c>
      <c r="U76" s="80">
        <f>IF(AC76="Cancelled",0,O76*R76)</f>
        <v/>
      </c>
      <c r="V76" s="80">
        <f>IF(AC76="Cancelled",0,ROUND(P76*S76,2))</f>
        <v/>
      </c>
      <c r="W76" s="80" t="inlineStr">
        <is>
          <t>No</t>
        </is>
      </c>
      <c r="X76" s="80" t="n">
        <v>0</v>
      </c>
      <c r="Y76" s="80">
        <f>IF(AC76="Cancelled",0,T76+U76+V76+Q76+X76)</f>
        <v/>
      </c>
      <c r="Z76" s="80">
        <f>IF(AC76="Cancelled",-Q76,S76-Y76)</f>
        <v/>
      </c>
      <c r="AA76" s="81">
        <f>IF(OR(AC76="Cancelled",S76=0),0,Z76/S76)</f>
        <v/>
      </c>
      <c r="AB76" s="82">
        <f>IFERROR(S76/Q76,0)</f>
        <v/>
      </c>
      <c r="AC76" s="56" t="inlineStr">
        <is>
          <t>Delivered</t>
        </is>
      </c>
    </row>
    <row r="77" ht="14.25" customHeight="1" s="57">
      <c r="A77" s="56" t="inlineStr">
        <is>
          <t>ORD-00249</t>
        </is>
      </c>
      <c r="B77" s="79" t="n">
        <v>45726</v>
      </c>
      <c r="C77" s="56" t="n">
        <v>2025</v>
      </c>
      <c r="D77" s="56" t="n">
        <v>3</v>
      </c>
      <c r="E77" s="56" t="inlineStr">
        <is>
          <t>UAE</t>
        </is>
      </c>
      <c r="F77" s="56" t="inlineStr">
        <is>
          <t>Sharjah</t>
        </is>
      </c>
      <c r="G77" s="56" t="inlineStr">
        <is>
          <t>Meta Ads</t>
        </is>
      </c>
      <c r="H77" s="56" t="inlineStr">
        <is>
          <t>New Creative A/B</t>
        </is>
      </c>
      <c r="I77" s="56" t="inlineStr">
        <is>
          <t>P006</t>
        </is>
      </c>
      <c r="J77" s="56" t="inlineStr">
        <is>
          <t>Posture Corrector</t>
        </is>
      </c>
      <c r="K77" s="56" t="inlineStr">
        <is>
          <t>Fitness</t>
        </is>
      </c>
      <c r="L77" s="56" t="inlineStr">
        <is>
          <t>Hangzhou Health Gear</t>
        </is>
      </c>
      <c r="M77" s="80" t="n">
        <v>31.8</v>
      </c>
      <c r="N77" s="80" t="n">
        <v>9.52</v>
      </c>
      <c r="O77" s="80" t="n">
        <v>4.35</v>
      </c>
      <c r="P77" s="80" t="n">
        <v>0.03</v>
      </c>
      <c r="Q77" s="80" t="n">
        <v>8.880000000000001</v>
      </c>
      <c r="R77" s="80" t="n">
        <v>1</v>
      </c>
      <c r="S77" s="80">
        <f>IF(AC77="Cancelled",0,M77*R77)</f>
        <v/>
      </c>
      <c r="T77" s="80">
        <f>IF(AC77="Cancelled",0,N77*R77)</f>
        <v/>
      </c>
      <c r="U77" s="80">
        <f>IF(AC77="Cancelled",0,O77*R77)</f>
        <v/>
      </c>
      <c r="V77" s="80">
        <f>IF(AC77="Cancelled",0,ROUND(P77*S77,2))</f>
        <v/>
      </c>
      <c r="W77" s="80" t="inlineStr">
        <is>
          <t>Yes</t>
        </is>
      </c>
      <c r="X77" s="80" t="n">
        <v>24.16</v>
      </c>
      <c r="Y77" s="80">
        <f>IF(AC77="Cancelled",0,T77+U77+V77+Q77+X77)</f>
        <v/>
      </c>
      <c r="Z77" s="80">
        <f>IF(AC77="Cancelled",-Q77,S77-Y77)</f>
        <v/>
      </c>
      <c r="AA77" s="81">
        <f>IF(OR(AC77="Cancelled",S77=0),0,Z77/S77)</f>
        <v/>
      </c>
      <c r="AB77" s="82">
        <f>IFERROR(S77/Q77,0)</f>
        <v/>
      </c>
      <c r="AC77" s="56" t="inlineStr">
        <is>
          <t>Refunded</t>
        </is>
      </c>
    </row>
    <row r="78" ht="14.25" customHeight="1" s="57">
      <c r="A78" s="56" t="inlineStr">
        <is>
          <t>ORD-00013</t>
        </is>
      </c>
      <c r="B78" s="79" t="n">
        <v>45729</v>
      </c>
      <c r="C78" s="56" t="n">
        <v>2025</v>
      </c>
      <c r="D78" s="56" t="n">
        <v>3</v>
      </c>
      <c r="E78" s="56" t="inlineStr">
        <is>
          <t>Oman</t>
        </is>
      </c>
      <c r="F78" s="56" t="inlineStr">
        <is>
          <t>Muscat</t>
        </is>
      </c>
      <c r="G78" s="56" t="inlineStr">
        <is>
          <t>Meta Ads</t>
        </is>
      </c>
      <c r="H78" s="56" t="inlineStr">
        <is>
          <t>New Creative A/B</t>
        </is>
      </c>
      <c r="I78" s="56" t="inlineStr">
        <is>
          <t>P008</t>
        </is>
      </c>
      <c r="J78" s="56" t="inlineStr">
        <is>
          <t>Portable Blender</t>
        </is>
      </c>
      <c r="K78" s="56" t="inlineStr">
        <is>
          <t>Kitchen</t>
        </is>
      </c>
      <c r="L78" s="56" t="inlineStr">
        <is>
          <t>Foshan Appliances</t>
        </is>
      </c>
      <c r="M78" s="80" t="n">
        <v>53.67</v>
      </c>
      <c r="N78" s="80" t="n">
        <v>16.15</v>
      </c>
      <c r="O78" s="80" t="n">
        <v>5.89</v>
      </c>
      <c r="P78" s="80" t="n">
        <v>0.03</v>
      </c>
      <c r="Q78" s="80" t="n">
        <v>11.87</v>
      </c>
      <c r="R78" s="80" t="n">
        <v>2</v>
      </c>
      <c r="S78" s="80">
        <f>IF(AC78="Cancelled",0,M78*R78)</f>
        <v/>
      </c>
      <c r="T78" s="80">
        <f>IF(AC78="Cancelled",0,N78*R78)</f>
        <v/>
      </c>
      <c r="U78" s="80">
        <f>IF(AC78="Cancelled",0,O78*R78)</f>
        <v/>
      </c>
      <c r="V78" s="80">
        <f>IF(AC78="Cancelled",0,ROUND(P78*S78,2))</f>
        <v/>
      </c>
      <c r="W78" s="80" t="inlineStr">
        <is>
          <t>No</t>
        </is>
      </c>
      <c r="X78" s="80" t="n">
        <v>0</v>
      </c>
      <c r="Y78" s="80">
        <f>IF(AC78="Cancelled",0,T78+U78+V78+Q78+X78)</f>
        <v/>
      </c>
      <c r="Z78" s="80">
        <f>IF(AC78="Cancelled",-Q78,S78-Y78)</f>
        <v/>
      </c>
      <c r="AA78" s="81">
        <f>IF(OR(AC78="Cancelled",S78=0),0,Z78/S78)</f>
        <v/>
      </c>
      <c r="AB78" s="82">
        <f>IFERROR(S78/Q78,0)</f>
        <v/>
      </c>
      <c r="AC78" s="56" t="inlineStr">
        <is>
          <t>Delivered</t>
        </is>
      </c>
    </row>
    <row r="79" ht="14.25" customHeight="1" s="57">
      <c r="A79" s="56" t="inlineStr">
        <is>
          <t>ORD-00195</t>
        </is>
      </c>
      <c r="B79" s="79" t="n">
        <v>45729</v>
      </c>
      <c r="C79" s="56" t="n">
        <v>2025</v>
      </c>
      <c r="D79" s="56" t="n">
        <v>3</v>
      </c>
      <c r="E79" s="56" t="inlineStr">
        <is>
          <t>Qatar</t>
        </is>
      </c>
      <c r="F79" s="56" t="inlineStr">
        <is>
          <t>Doha</t>
        </is>
      </c>
      <c r="G79" s="56" t="inlineStr">
        <is>
          <t>Email</t>
        </is>
      </c>
      <c r="H79" s="56" t="inlineStr">
        <is>
          <t>Retargeting</t>
        </is>
      </c>
      <c r="I79" s="56" t="inlineStr">
        <is>
          <t>P008</t>
        </is>
      </c>
      <c r="J79" s="56" t="inlineStr">
        <is>
          <t>Portable Blender</t>
        </is>
      </c>
      <c r="K79" s="56" t="inlineStr">
        <is>
          <t>Kitchen</t>
        </is>
      </c>
      <c r="L79" s="56" t="inlineStr">
        <is>
          <t>Foshan Appliances</t>
        </is>
      </c>
      <c r="M79" s="80" t="n">
        <v>45.03</v>
      </c>
      <c r="N79" s="80" t="n">
        <v>16.46</v>
      </c>
      <c r="O79" s="80" t="n">
        <v>5.58</v>
      </c>
      <c r="P79" s="80" t="n">
        <v>0.03</v>
      </c>
      <c r="Q79" s="80" t="n">
        <v>6.3</v>
      </c>
      <c r="R79" s="80" t="n">
        <v>1</v>
      </c>
      <c r="S79" s="80">
        <f>IF(AC79="Cancelled",0,M79*R79)</f>
        <v/>
      </c>
      <c r="T79" s="80">
        <f>IF(AC79="Cancelled",0,N79*R79)</f>
        <v/>
      </c>
      <c r="U79" s="80">
        <f>IF(AC79="Cancelled",0,O79*R79)</f>
        <v/>
      </c>
      <c r="V79" s="80">
        <f>IF(AC79="Cancelled",0,ROUND(P79*S79,2))</f>
        <v/>
      </c>
      <c r="W79" s="80" t="inlineStr">
        <is>
          <t>No</t>
        </is>
      </c>
      <c r="X79" s="80" t="n">
        <v>0</v>
      </c>
      <c r="Y79" s="80">
        <f>IF(AC79="Cancelled",0,T79+U79+V79+Q79+X79)</f>
        <v/>
      </c>
      <c r="Z79" s="80">
        <f>IF(AC79="Cancelled",-Q79,S79-Y79)</f>
        <v/>
      </c>
      <c r="AA79" s="81">
        <f>IF(OR(AC79="Cancelled",S79=0),0,Z79/S79)</f>
        <v/>
      </c>
      <c r="AB79" s="82">
        <f>IFERROR(S79/Q79,0)</f>
        <v/>
      </c>
      <c r="AC79" s="56" t="inlineStr">
        <is>
          <t>Delivered</t>
        </is>
      </c>
    </row>
    <row r="80" ht="14.25" customHeight="1" s="57">
      <c r="A80" s="56" t="inlineStr">
        <is>
          <t>ORD-00384</t>
        </is>
      </c>
      <c r="B80" s="79" t="n">
        <v>45731</v>
      </c>
      <c r="C80" s="56" t="n">
        <v>2025</v>
      </c>
      <c r="D80" s="56" t="n">
        <v>3</v>
      </c>
      <c r="E80" s="56" t="inlineStr">
        <is>
          <t>Saudi Arabia</t>
        </is>
      </c>
      <c r="F80" s="56" t="inlineStr">
        <is>
          <t>Riyadh</t>
        </is>
      </c>
      <c r="G80" s="56" t="inlineStr">
        <is>
          <t>Influencer</t>
        </is>
      </c>
      <c r="H80" s="56" t="inlineStr">
        <is>
          <t>Launch Test</t>
        </is>
      </c>
      <c r="I80" s="56" t="inlineStr">
        <is>
          <t>P007</t>
        </is>
      </c>
      <c r="J80" s="56" t="inlineStr">
        <is>
          <t>Pet Grooming Glove</t>
        </is>
      </c>
      <c r="K80" s="56" t="inlineStr">
        <is>
          <t>Pets</t>
        </is>
      </c>
      <c r="L80" s="56" t="inlineStr">
        <is>
          <t>Yiwu Pet Products</t>
        </is>
      </c>
      <c r="M80" s="80" t="n">
        <v>19.53</v>
      </c>
      <c r="N80" s="80" t="n">
        <v>3.59</v>
      </c>
      <c r="O80" s="80" t="n">
        <v>2.63</v>
      </c>
      <c r="P80" s="80" t="n">
        <v>0.03</v>
      </c>
      <c r="Q80" s="80" t="n">
        <v>13.24</v>
      </c>
      <c r="R80" s="80" t="n">
        <v>2</v>
      </c>
      <c r="S80" s="80">
        <f>IF(AC80="Cancelled",0,M80*R80)</f>
        <v/>
      </c>
      <c r="T80" s="80">
        <f>IF(AC80="Cancelled",0,N80*R80)</f>
        <v/>
      </c>
      <c r="U80" s="80">
        <f>IF(AC80="Cancelled",0,O80*R80)</f>
        <v/>
      </c>
      <c r="V80" s="80">
        <f>IF(AC80="Cancelled",0,ROUND(P80*S80,2))</f>
        <v/>
      </c>
      <c r="W80" s="80" t="inlineStr">
        <is>
          <t>No</t>
        </is>
      </c>
      <c r="X80" s="80" t="n">
        <v>0</v>
      </c>
      <c r="Y80" s="80">
        <f>IF(AC80="Cancelled",0,T80+U80+V80+Q80+X80)</f>
        <v/>
      </c>
      <c r="Z80" s="80">
        <f>IF(AC80="Cancelled",-Q80,S80-Y80)</f>
        <v/>
      </c>
      <c r="AA80" s="81">
        <f>IF(OR(AC80="Cancelled",S80=0),0,Z80/S80)</f>
        <v/>
      </c>
      <c r="AB80" s="82">
        <f>IFERROR(S80/Q80,0)</f>
        <v/>
      </c>
      <c r="AC80" s="56" t="inlineStr">
        <is>
          <t>Delivered</t>
        </is>
      </c>
    </row>
    <row r="81" ht="14.25" customHeight="1" s="57">
      <c r="A81" s="56" t="inlineStr">
        <is>
          <t>ORD-00027</t>
        </is>
      </c>
      <c r="B81" s="79" t="n">
        <v>45732</v>
      </c>
      <c r="C81" s="56" t="n">
        <v>2025</v>
      </c>
      <c r="D81" s="56" t="n">
        <v>3</v>
      </c>
      <c r="E81" s="56" t="inlineStr">
        <is>
          <t>Oman</t>
        </is>
      </c>
      <c r="F81" s="56" t="inlineStr">
        <is>
          <t>Muscat</t>
        </is>
      </c>
      <c r="G81" s="56" t="inlineStr">
        <is>
          <t>Google Ads</t>
        </is>
      </c>
      <c r="H81" s="56" t="inlineStr">
        <is>
          <t>Summer Sale</t>
        </is>
      </c>
      <c r="I81" s="56" t="inlineStr">
        <is>
          <t>P008</t>
        </is>
      </c>
      <c r="J81" s="56" t="inlineStr">
        <is>
          <t>Portable Blender</t>
        </is>
      </c>
      <c r="K81" s="56" t="inlineStr">
        <is>
          <t>Kitchen</t>
        </is>
      </c>
      <c r="L81" s="56" t="inlineStr">
        <is>
          <t>Foshan Appliances</t>
        </is>
      </c>
      <c r="M81" s="80" t="n">
        <v>55.84</v>
      </c>
      <c r="N81" s="80" t="n">
        <v>15.56</v>
      </c>
      <c r="O81" s="80" t="n">
        <v>6.64</v>
      </c>
      <c r="P81" s="80" t="n">
        <v>0.03</v>
      </c>
      <c r="Q81" s="80" t="n">
        <v>26.44</v>
      </c>
      <c r="R81" s="80" t="n">
        <v>3</v>
      </c>
      <c r="S81" s="80">
        <f>IF(AC81="Cancelled",0,M81*R81)</f>
        <v/>
      </c>
      <c r="T81" s="80">
        <f>IF(AC81="Cancelled",0,N81*R81)</f>
        <v/>
      </c>
      <c r="U81" s="80">
        <f>IF(AC81="Cancelled",0,O81*R81)</f>
        <v/>
      </c>
      <c r="V81" s="80">
        <f>IF(AC81="Cancelled",0,ROUND(P81*S81,2))</f>
        <v/>
      </c>
      <c r="W81" s="80" t="inlineStr">
        <is>
          <t>No</t>
        </is>
      </c>
      <c r="X81" s="80" t="n">
        <v>0</v>
      </c>
      <c r="Y81" s="80">
        <f>IF(AC81="Cancelled",0,T81+U81+V81+Q81+X81)</f>
        <v/>
      </c>
      <c r="Z81" s="80">
        <f>IF(AC81="Cancelled",-Q81,S81-Y81)</f>
        <v/>
      </c>
      <c r="AA81" s="81">
        <f>IF(OR(AC81="Cancelled",S81=0),0,Z81/S81)</f>
        <v/>
      </c>
      <c r="AB81" s="82">
        <f>IFERROR(S81/Q81,0)</f>
        <v/>
      </c>
      <c r="AC81" s="56" t="inlineStr">
        <is>
          <t>Delivered</t>
        </is>
      </c>
    </row>
    <row r="82" ht="14.25" customHeight="1" s="57">
      <c r="A82" s="56" t="inlineStr">
        <is>
          <t>ORD-00467</t>
        </is>
      </c>
      <c r="B82" s="79" t="n">
        <v>45732</v>
      </c>
      <c r="C82" s="56" t="n">
        <v>2025</v>
      </c>
      <c r="D82" s="56" t="n">
        <v>3</v>
      </c>
      <c r="E82" s="56" t="inlineStr">
        <is>
          <t>Kuwait</t>
        </is>
      </c>
      <c r="F82" s="56" t="inlineStr">
        <is>
          <t>Kuwait City</t>
        </is>
      </c>
      <c r="G82" s="56" t="inlineStr">
        <is>
          <t>Meta Ads</t>
        </is>
      </c>
      <c r="H82" s="56" t="inlineStr">
        <is>
          <t>Summer Sale</t>
        </is>
      </c>
      <c r="I82" s="56" t="inlineStr">
        <is>
          <t>P008</t>
        </is>
      </c>
      <c r="J82" s="56" t="inlineStr">
        <is>
          <t>Portable Blender</t>
        </is>
      </c>
      <c r="K82" s="56" t="inlineStr">
        <is>
          <t>Kitchen</t>
        </is>
      </c>
      <c r="L82" s="56" t="inlineStr">
        <is>
          <t>Foshan Appliances</t>
        </is>
      </c>
      <c r="M82" s="80" t="n">
        <v>51.97</v>
      </c>
      <c r="N82" s="80" t="n">
        <v>16.64</v>
      </c>
      <c r="O82" s="80" t="n">
        <v>5.41</v>
      </c>
      <c r="P82" s="80" t="n">
        <v>0.03</v>
      </c>
      <c r="Q82" s="80" t="n">
        <v>16.76</v>
      </c>
      <c r="R82" s="80" t="n">
        <v>2</v>
      </c>
      <c r="S82" s="80">
        <f>IF(AC82="Cancelled",0,M82*R82)</f>
        <v/>
      </c>
      <c r="T82" s="80">
        <f>IF(AC82="Cancelled",0,N82*R82)</f>
        <v/>
      </c>
      <c r="U82" s="80">
        <f>IF(AC82="Cancelled",0,O82*R82)</f>
        <v/>
      </c>
      <c r="V82" s="80">
        <f>IF(AC82="Cancelled",0,ROUND(P82*S82,2))</f>
        <v/>
      </c>
      <c r="W82" s="80" t="inlineStr">
        <is>
          <t>No</t>
        </is>
      </c>
      <c r="X82" s="80" t="n">
        <v>0</v>
      </c>
      <c r="Y82" s="80">
        <f>IF(AC82="Cancelled",0,T82+U82+V82+Q82+X82)</f>
        <v/>
      </c>
      <c r="Z82" s="80">
        <f>IF(AC82="Cancelled",-Q82,S82-Y82)</f>
        <v/>
      </c>
      <c r="AA82" s="81">
        <f>IF(OR(AC82="Cancelled",S82=0),0,Z82/S82)</f>
        <v/>
      </c>
      <c r="AB82" s="82">
        <f>IFERROR(S82/Q82,0)</f>
        <v/>
      </c>
      <c r="AC82" s="56" t="inlineStr">
        <is>
          <t>Delivered</t>
        </is>
      </c>
    </row>
    <row r="83" ht="14.25" customHeight="1" s="57">
      <c r="A83" s="56" t="inlineStr">
        <is>
          <t>ORD-00356</t>
        </is>
      </c>
      <c r="B83" s="79" t="n">
        <v>45733</v>
      </c>
      <c r="C83" s="56" t="n">
        <v>2025</v>
      </c>
      <c r="D83" s="56" t="n">
        <v>3</v>
      </c>
      <c r="E83" s="56" t="inlineStr">
        <is>
          <t>UAE</t>
        </is>
      </c>
      <c r="F83" s="56" t="inlineStr">
        <is>
          <t>Abu Dhabi</t>
        </is>
      </c>
      <c r="G83" s="56" t="inlineStr">
        <is>
          <t>TikTok Ads</t>
        </is>
      </c>
      <c r="H83" s="56" t="inlineStr">
        <is>
          <t>Bundle Promo</t>
        </is>
      </c>
      <c r="I83" s="56" t="inlineStr">
        <is>
          <t>P003</t>
        </is>
      </c>
      <c r="J83" s="56" t="inlineStr">
        <is>
          <t>LED Strip Lights</t>
        </is>
      </c>
      <c r="K83" s="56" t="inlineStr">
        <is>
          <t>Home Decor</t>
        </is>
      </c>
      <c r="L83" s="56" t="inlineStr">
        <is>
          <t>Yiwu Lighting Factory</t>
        </is>
      </c>
      <c r="M83" s="80" t="n">
        <v>23.28</v>
      </c>
      <c r="N83" s="80" t="n">
        <v>5.9</v>
      </c>
      <c r="O83" s="80" t="n">
        <v>3.55</v>
      </c>
      <c r="P83" s="80" t="n">
        <v>0.03</v>
      </c>
      <c r="Q83" s="80" t="n">
        <v>15.55</v>
      </c>
      <c r="R83" s="80" t="n">
        <v>2</v>
      </c>
      <c r="S83" s="80">
        <f>IF(AC83="Cancelled",0,M83*R83)</f>
        <v/>
      </c>
      <c r="T83" s="80">
        <f>IF(AC83="Cancelled",0,N83*R83)</f>
        <v/>
      </c>
      <c r="U83" s="80">
        <f>IF(AC83="Cancelled",0,O83*R83)</f>
        <v/>
      </c>
      <c r="V83" s="80">
        <f>IF(AC83="Cancelled",0,ROUND(P83*S83,2))</f>
        <v/>
      </c>
      <c r="W83" s="80" t="inlineStr">
        <is>
          <t>No</t>
        </is>
      </c>
      <c r="X83" s="80" t="n">
        <v>0</v>
      </c>
      <c r="Y83" s="80">
        <f>IF(AC83="Cancelled",0,T83+U83+V83+Q83+X83)</f>
        <v/>
      </c>
      <c r="Z83" s="80">
        <f>IF(AC83="Cancelled",-Q83,S83-Y83)</f>
        <v/>
      </c>
      <c r="AA83" s="81">
        <f>IF(OR(AC83="Cancelled",S83=0),0,Z83/S83)</f>
        <v/>
      </c>
      <c r="AB83" s="82">
        <f>IFERROR(S83/Q83,0)</f>
        <v/>
      </c>
      <c r="AC83" s="56" t="inlineStr">
        <is>
          <t>Delivered</t>
        </is>
      </c>
    </row>
    <row r="84" ht="14.25" customHeight="1" s="57">
      <c r="A84" s="56" t="inlineStr">
        <is>
          <t>ORD-00326</t>
        </is>
      </c>
      <c r="B84" s="79" t="n">
        <v>45734</v>
      </c>
      <c r="C84" s="56" t="n">
        <v>2025</v>
      </c>
      <c r="D84" s="56" t="n">
        <v>3</v>
      </c>
      <c r="E84" s="56" t="inlineStr">
        <is>
          <t>Saudi Arabia</t>
        </is>
      </c>
      <c r="F84" s="56" t="inlineStr">
        <is>
          <t>Jeddah</t>
        </is>
      </c>
      <c r="G84" s="56" t="inlineStr">
        <is>
          <t>Google Ads</t>
        </is>
      </c>
      <c r="H84" s="56" t="inlineStr">
        <is>
          <t>Summer Sale</t>
        </is>
      </c>
      <c r="I84" s="56" t="inlineStr">
        <is>
          <t>P008</t>
        </is>
      </c>
      <c r="J84" s="56" t="inlineStr">
        <is>
          <t>Portable Blender</t>
        </is>
      </c>
      <c r="K84" s="56" t="inlineStr">
        <is>
          <t>Kitchen</t>
        </is>
      </c>
      <c r="L84" s="56" t="inlineStr">
        <is>
          <t>Foshan Appliances</t>
        </is>
      </c>
      <c r="M84" s="80" t="n">
        <v>55.63</v>
      </c>
      <c r="N84" s="80" t="n">
        <v>16.99</v>
      </c>
      <c r="O84" s="80" t="n">
        <v>5.84</v>
      </c>
      <c r="P84" s="80" t="n">
        <v>0.03</v>
      </c>
      <c r="Q84" s="80" t="n">
        <v>7.53</v>
      </c>
      <c r="R84" s="80" t="n">
        <v>1</v>
      </c>
      <c r="S84" s="80">
        <f>IF(AC84="Cancelled",0,M84*R84)</f>
        <v/>
      </c>
      <c r="T84" s="80">
        <f>IF(AC84="Cancelled",0,N84*R84)</f>
        <v/>
      </c>
      <c r="U84" s="80">
        <f>IF(AC84="Cancelled",0,O84*R84)</f>
        <v/>
      </c>
      <c r="V84" s="80">
        <f>IF(AC84="Cancelled",0,ROUND(P84*S84,2))</f>
        <v/>
      </c>
      <c r="W84" s="80" t="inlineStr">
        <is>
          <t>No</t>
        </is>
      </c>
      <c r="X84" s="80" t="n">
        <v>0</v>
      </c>
      <c r="Y84" s="80">
        <f>IF(AC84="Cancelled",0,T84+U84+V84+Q84+X84)</f>
        <v/>
      </c>
      <c r="Z84" s="80">
        <f>IF(AC84="Cancelled",-Q84,S84-Y84)</f>
        <v/>
      </c>
      <c r="AA84" s="81">
        <f>IF(OR(AC84="Cancelled",S84=0),0,Z84/S84)</f>
        <v/>
      </c>
      <c r="AB84" s="82">
        <f>IFERROR(S84/Q84,0)</f>
        <v/>
      </c>
      <c r="AC84" s="56" t="inlineStr">
        <is>
          <t>Delivered</t>
        </is>
      </c>
    </row>
    <row r="85" ht="14.25" customHeight="1" s="57">
      <c r="A85" s="56" t="inlineStr">
        <is>
          <t>ORD-00014</t>
        </is>
      </c>
      <c r="B85" s="79" t="n">
        <v>45736</v>
      </c>
      <c r="C85" s="56" t="n">
        <v>2025</v>
      </c>
      <c r="D85" s="56" t="n">
        <v>3</v>
      </c>
      <c r="E85" s="56" t="inlineStr">
        <is>
          <t>UAE</t>
        </is>
      </c>
      <c r="F85" s="56" t="inlineStr">
        <is>
          <t>Dubai</t>
        </is>
      </c>
      <c r="G85" s="56" t="inlineStr">
        <is>
          <t>Google Ads</t>
        </is>
      </c>
      <c r="H85" s="56" t="inlineStr">
        <is>
          <t>Summer Sale</t>
        </is>
      </c>
      <c r="I85" s="56" t="inlineStr">
        <is>
          <t>P004</t>
        </is>
      </c>
      <c r="J85" s="56" t="inlineStr">
        <is>
          <t>Beauty Tool</t>
        </is>
      </c>
      <c r="K85" s="56" t="inlineStr">
        <is>
          <t>Beauty</t>
        </is>
      </c>
      <c r="L85" s="56" t="inlineStr">
        <is>
          <t>Ningbo Beauty Supply</t>
        </is>
      </c>
      <c r="M85" s="80" t="n">
        <v>30.87</v>
      </c>
      <c r="N85" s="80" t="n">
        <v>7.4</v>
      </c>
      <c r="O85" s="80" t="n">
        <v>4.59</v>
      </c>
      <c r="P85" s="80" t="n">
        <v>0.03</v>
      </c>
      <c r="Q85" s="80" t="n">
        <v>8.67</v>
      </c>
      <c r="R85" s="80" t="n">
        <v>1</v>
      </c>
      <c r="S85" s="80">
        <f>IF(AC85="Cancelled",0,M85*R85)</f>
        <v/>
      </c>
      <c r="T85" s="80">
        <f>IF(AC85="Cancelled",0,N85*R85)</f>
        <v/>
      </c>
      <c r="U85" s="80">
        <f>IF(AC85="Cancelled",0,O85*R85)</f>
        <v/>
      </c>
      <c r="V85" s="80">
        <f>IF(AC85="Cancelled",0,ROUND(P85*S85,2))</f>
        <v/>
      </c>
      <c r="W85" s="80" t="inlineStr">
        <is>
          <t>No</t>
        </is>
      </c>
      <c r="X85" s="80" t="n">
        <v>0</v>
      </c>
      <c r="Y85" s="80">
        <f>IF(AC85="Cancelled",0,T85+U85+V85+Q85+X85)</f>
        <v/>
      </c>
      <c r="Z85" s="80">
        <f>IF(AC85="Cancelled",-Q85,S85-Y85)</f>
        <v/>
      </c>
      <c r="AA85" s="81">
        <f>IF(OR(AC85="Cancelled",S85=0),0,Z85/S85)</f>
        <v/>
      </c>
      <c r="AB85" s="82">
        <f>IFERROR(S85/Q85,0)</f>
        <v/>
      </c>
      <c r="AC85" s="56" t="inlineStr">
        <is>
          <t>Delivered</t>
        </is>
      </c>
    </row>
    <row r="86" ht="14.25" customHeight="1" s="57">
      <c r="A86" s="56" t="inlineStr">
        <is>
          <t>ORD-00481</t>
        </is>
      </c>
      <c r="B86" s="79" t="n">
        <v>45736</v>
      </c>
      <c r="C86" s="56" t="n">
        <v>2025</v>
      </c>
      <c r="D86" s="56" t="n">
        <v>3</v>
      </c>
      <c r="E86" s="56" t="inlineStr">
        <is>
          <t>Qatar</t>
        </is>
      </c>
      <c r="F86" s="56" t="inlineStr">
        <is>
          <t>Doha</t>
        </is>
      </c>
      <c r="G86" s="56" t="inlineStr">
        <is>
          <t>Email</t>
        </is>
      </c>
      <c r="H86" s="56" t="inlineStr">
        <is>
          <t>Summer Sale</t>
        </is>
      </c>
      <c r="I86" s="56" t="inlineStr">
        <is>
          <t>P007</t>
        </is>
      </c>
      <c r="J86" s="56" t="inlineStr">
        <is>
          <t>Pet Grooming Glove</t>
        </is>
      </c>
      <c r="K86" s="56" t="inlineStr">
        <is>
          <t>Pets</t>
        </is>
      </c>
      <c r="L86" s="56" t="inlineStr">
        <is>
          <t>Yiwu Pet Products</t>
        </is>
      </c>
      <c r="M86" s="80" t="n">
        <v>20.44</v>
      </c>
      <c r="N86" s="80" t="n">
        <v>3.58</v>
      </c>
      <c r="O86" s="80" t="n">
        <v>2.51</v>
      </c>
      <c r="P86" s="80" t="n">
        <v>0.03</v>
      </c>
      <c r="Q86" s="80" t="n">
        <v>4.16</v>
      </c>
      <c r="R86" s="80" t="n">
        <v>2</v>
      </c>
      <c r="S86" s="80">
        <f>IF(AC86="Cancelled",0,M86*R86)</f>
        <v/>
      </c>
      <c r="T86" s="80">
        <f>IF(AC86="Cancelled",0,N86*R86)</f>
        <v/>
      </c>
      <c r="U86" s="80">
        <f>IF(AC86="Cancelled",0,O86*R86)</f>
        <v/>
      </c>
      <c r="V86" s="80">
        <f>IF(AC86="Cancelled",0,ROUND(P86*S86,2))</f>
        <v/>
      </c>
      <c r="W86" s="80" t="inlineStr">
        <is>
          <t>No</t>
        </is>
      </c>
      <c r="X86" s="80" t="n">
        <v>0</v>
      </c>
      <c r="Y86" s="80">
        <f>IF(AC86="Cancelled",0,T86+U86+V86+Q86+X86)</f>
        <v/>
      </c>
      <c r="Z86" s="80">
        <f>IF(AC86="Cancelled",-Q86,S86-Y86)</f>
        <v/>
      </c>
      <c r="AA86" s="81">
        <f>IF(OR(AC86="Cancelled",S86=0),0,Z86/S86)</f>
        <v/>
      </c>
      <c r="AB86" s="82">
        <f>IFERROR(S86/Q86,0)</f>
        <v/>
      </c>
      <c r="AC86" s="56" t="inlineStr">
        <is>
          <t>Delivered</t>
        </is>
      </c>
    </row>
    <row r="87" ht="14.25" customHeight="1" s="57">
      <c r="A87" s="56" t="inlineStr">
        <is>
          <t>ORD-00144</t>
        </is>
      </c>
      <c r="B87" s="79" t="n">
        <v>45737</v>
      </c>
      <c r="C87" s="56" t="n">
        <v>2025</v>
      </c>
      <c r="D87" s="56" t="n">
        <v>3</v>
      </c>
      <c r="E87" s="56" t="inlineStr">
        <is>
          <t>Oman</t>
        </is>
      </c>
      <c r="F87" s="56" t="inlineStr">
        <is>
          <t>Muscat</t>
        </is>
      </c>
      <c r="G87" s="56" t="inlineStr">
        <is>
          <t>Meta Ads</t>
        </is>
      </c>
      <c r="H87" s="56" t="inlineStr">
        <is>
          <t>Launch Test</t>
        </is>
      </c>
      <c r="I87" s="56" t="inlineStr">
        <is>
          <t>P008</t>
        </is>
      </c>
      <c r="J87" s="56" t="inlineStr">
        <is>
          <t>Portable Blender</t>
        </is>
      </c>
      <c r="K87" s="56" t="inlineStr">
        <is>
          <t>Kitchen</t>
        </is>
      </c>
      <c r="L87" s="56" t="inlineStr">
        <is>
          <t>Foshan Appliances</t>
        </is>
      </c>
      <c r="M87" s="80" t="n">
        <v>45.52</v>
      </c>
      <c r="N87" s="80" t="n">
        <v>16.59</v>
      </c>
      <c r="O87" s="80" t="n">
        <v>5.97</v>
      </c>
      <c r="P87" s="80" t="n">
        <v>0.03</v>
      </c>
      <c r="Q87" s="80" t="n">
        <v>8.6</v>
      </c>
      <c r="R87" s="80" t="n">
        <v>1</v>
      </c>
      <c r="S87" s="80">
        <f>IF(AC87="Cancelled",0,M87*R87)</f>
        <v/>
      </c>
      <c r="T87" s="80">
        <f>IF(AC87="Cancelled",0,N87*R87)</f>
        <v/>
      </c>
      <c r="U87" s="80">
        <f>IF(AC87="Cancelled",0,O87*R87)</f>
        <v/>
      </c>
      <c r="V87" s="80">
        <f>IF(AC87="Cancelled",0,ROUND(P87*S87,2))</f>
        <v/>
      </c>
      <c r="W87" s="80" t="inlineStr">
        <is>
          <t>No</t>
        </is>
      </c>
      <c r="X87" s="80" t="n">
        <v>0</v>
      </c>
      <c r="Y87" s="80">
        <f>IF(AC87="Cancelled",0,T87+U87+V87+Q87+X87)</f>
        <v/>
      </c>
      <c r="Z87" s="80">
        <f>IF(AC87="Cancelled",-Q87,S87-Y87)</f>
        <v/>
      </c>
      <c r="AA87" s="81">
        <f>IF(OR(AC87="Cancelled",S87=0),0,Z87/S87)</f>
        <v/>
      </c>
      <c r="AB87" s="82">
        <f>IFERROR(S87/Q87,0)</f>
        <v/>
      </c>
      <c r="AC87" s="56" t="inlineStr">
        <is>
          <t>Delivered</t>
        </is>
      </c>
    </row>
    <row r="88" ht="14.25" customHeight="1" s="57">
      <c r="A88" s="56" t="inlineStr">
        <is>
          <t>ORD-00412</t>
        </is>
      </c>
      <c r="B88" s="79" t="n">
        <v>45738</v>
      </c>
      <c r="C88" s="56" t="n">
        <v>2025</v>
      </c>
      <c r="D88" s="56" t="n">
        <v>3</v>
      </c>
      <c r="E88" s="56" t="inlineStr">
        <is>
          <t>Kuwait</t>
        </is>
      </c>
      <c r="F88" s="56" t="inlineStr">
        <is>
          <t>Kuwait City</t>
        </is>
      </c>
      <c r="G88" s="56" t="inlineStr">
        <is>
          <t>Influencer</t>
        </is>
      </c>
      <c r="H88" s="56" t="inlineStr">
        <is>
          <t>Retargeting</t>
        </is>
      </c>
      <c r="I88" s="56" t="inlineStr">
        <is>
          <t>P002</t>
        </is>
      </c>
      <c r="J88" s="56" t="inlineStr">
        <is>
          <t>Phone Case</t>
        </is>
      </c>
      <c r="K88" s="56" t="inlineStr">
        <is>
          <t>Accessories</t>
        </is>
      </c>
      <c r="L88" s="56" t="inlineStr">
        <is>
          <t>Guangzhou Cases Ltd.</t>
        </is>
      </c>
      <c r="M88" s="80" t="n">
        <v>16.38</v>
      </c>
      <c r="N88" s="80" t="n">
        <v>2.05</v>
      </c>
      <c r="O88" s="80" t="n">
        <v>2.08</v>
      </c>
      <c r="P88" s="80" t="n">
        <v>0.03</v>
      </c>
      <c r="Q88" s="80" t="n">
        <v>6.69</v>
      </c>
      <c r="R88" s="80" t="n">
        <v>3</v>
      </c>
      <c r="S88" s="80">
        <f>IF(AC88="Cancelled",0,M88*R88)</f>
        <v/>
      </c>
      <c r="T88" s="80">
        <f>IF(AC88="Cancelled",0,N88*R88)</f>
        <v/>
      </c>
      <c r="U88" s="80">
        <f>IF(AC88="Cancelled",0,O88*R88)</f>
        <v/>
      </c>
      <c r="V88" s="80">
        <f>IF(AC88="Cancelled",0,ROUND(P88*S88,2))</f>
        <v/>
      </c>
      <c r="W88" s="80" t="inlineStr">
        <is>
          <t>No</t>
        </is>
      </c>
      <c r="X88" s="80" t="n">
        <v>0</v>
      </c>
      <c r="Y88" s="80">
        <f>IF(AC88="Cancelled",0,T88+U88+V88+Q88+X88)</f>
        <v/>
      </c>
      <c r="Z88" s="80">
        <f>IF(AC88="Cancelled",-Q88,S88-Y88)</f>
        <v/>
      </c>
      <c r="AA88" s="81">
        <f>IF(OR(AC88="Cancelled",S88=0),0,Z88/S88)</f>
        <v/>
      </c>
      <c r="AB88" s="82">
        <f>IFERROR(S88/Q88,0)</f>
        <v/>
      </c>
      <c r="AC88" s="56" t="inlineStr">
        <is>
          <t>Delivered</t>
        </is>
      </c>
    </row>
    <row r="89" ht="14.25" customHeight="1" s="57">
      <c r="A89" s="56" t="inlineStr">
        <is>
          <t>ORD-00390</t>
        </is>
      </c>
      <c r="B89" s="79" t="n">
        <v>45740</v>
      </c>
      <c r="C89" s="56" t="n">
        <v>2025</v>
      </c>
      <c r="D89" s="56" t="n">
        <v>3</v>
      </c>
      <c r="E89" s="56" t="inlineStr">
        <is>
          <t>UAE</t>
        </is>
      </c>
      <c r="F89" s="56" t="inlineStr">
        <is>
          <t>Dubai</t>
        </is>
      </c>
      <c r="G89" s="56" t="inlineStr">
        <is>
          <t>TikTok Ads</t>
        </is>
      </c>
      <c r="H89" s="56" t="inlineStr">
        <is>
          <t>Summer Sale</t>
        </is>
      </c>
      <c r="I89" s="56" t="inlineStr">
        <is>
          <t>P010</t>
        </is>
      </c>
      <c r="J89" s="56" t="inlineStr">
        <is>
          <t>Smart Water Bottle</t>
        </is>
      </c>
      <c r="K89" s="56" t="inlineStr">
        <is>
          <t>Lifestyle</t>
        </is>
      </c>
      <c r="L89" s="56" t="inlineStr">
        <is>
          <t>Shenzhen Smart Home</t>
        </is>
      </c>
      <c r="M89" s="80" t="n">
        <v>34.2</v>
      </c>
      <c r="N89" s="80" t="n">
        <v>10.31</v>
      </c>
      <c r="O89" s="80" t="n">
        <v>3.77</v>
      </c>
      <c r="P89" s="80" t="n">
        <v>0.03</v>
      </c>
      <c r="Q89" s="80" t="n">
        <v>20.49</v>
      </c>
      <c r="R89" s="80" t="n">
        <v>2</v>
      </c>
      <c r="S89" s="80">
        <f>IF(AC89="Cancelled",0,M89*R89)</f>
        <v/>
      </c>
      <c r="T89" s="80">
        <f>IF(AC89="Cancelled",0,N89*R89)</f>
        <v/>
      </c>
      <c r="U89" s="80">
        <f>IF(AC89="Cancelled",0,O89*R89)</f>
        <v/>
      </c>
      <c r="V89" s="80">
        <f>IF(AC89="Cancelled",0,ROUND(P89*S89,2))</f>
        <v/>
      </c>
      <c r="W89" s="80" t="inlineStr">
        <is>
          <t>No</t>
        </is>
      </c>
      <c r="X89" s="80" t="n">
        <v>0</v>
      </c>
      <c r="Y89" s="80">
        <f>IF(AC89="Cancelled",0,T89+U89+V89+Q89+X89)</f>
        <v/>
      </c>
      <c r="Z89" s="80">
        <f>IF(AC89="Cancelled",-Q89,S89-Y89)</f>
        <v/>
      </c>
      <c r="AA89" s="81">
        <f>IF(OR(AC89="Cancelled",S89=0),0,Z89/S89)</f>
        <v/>
      </c>
      <c r="AB89" s="82">
        <f>IFERROR(S89/Q89,0)</f>
        <v/>
      </c>
      <c r="AC89" s="56" t="inlineStr">
        <is>
          <t>Delivered</t>
        </is>
      </c>
    </row>
    <row r="90" ht="14.25" customHeight="1" s="57">
      <c r="A90" s="56" t="inlineStr">
        <is>
          <t>ORD-00016</t>
        </is>
      </c>
      <c r="B90" s="79" t="n">
        <v>45741</v>
      </c>
      <c r="C90" s="56" t="n">
        <v>2025</v>
      </c>
      <c r="D90" s="56" t="n">
        <v>3</v>
      </c>
      <c r="E90" s="56" t="inlineStr">
        <is>
          <t>Qatar</t>
        </is>
      </c>
      <c r="F90" s="56" t="inlineStr">
        <is>
          <t>Doha</t>
        </is>
      </c>
      <c r="G90" s="56" t="inlineStr">
        <is>
          <t>Google Ads</t>
        </is>
      </c>
      <c r="H90" s="56" t="inlineStr">
        <is>
          <t>Retargeting</t>
        </is>
      </c>
      <c r="I90" s="56" t="inlineStr">
        <is>
          <t>P008</t>
        </is>
      </c>
      <c r="J90" s="56" t="inlineStr">
        <is>
          <t>Portable Blender</t>
        </is>
      </c>
      <c r="K90" s="56" t="inlineStr">
        <is>
          <t>Kitchen</t>
        </is>
      </c>
      <c r="L90" s="56" t="inlineStr">
        <is>
          <t>Foshan Appliances</t>
        </is>
      </c>
      <c r="M90" s="80" t="n">
        <v>47.1</v>
      </c>
      <c r="N90" s="80" t="n">
        <v>15.93</v>
      </c>
      <c r="O90" s="80" t="n">
        <v>5.52</v>
      </c>
      <c r="P90" s="80" t="n">
        <v>0.03</v>
      </c>
      <c r="Q90" s="80" t="n">
        <v>2.85</v>
      </c>
      <c r="R90" s="80" t="n">
        <v>1</v>
      </c>
      <c r="S90" s="80">
        <f>IF(AC90="Cancelled",0,M90*R90)</f>
        <v/>
      </c>
      <c r="T90" s="80">
        <f>IF(AC90="Cancelled",0,N90*R90)</f>
        <v/>
      </c>
      <c r="U90" s="80">
        <f>IF(AC90="Cancelled",0,O90*R90)</f>
        <v/>
      </c>
      <c r="V90" s="80">
        <f>IF(AC90="Cancelled",0,ROUND(P90*S90,2))</f>
        <v/>
      </c>
      <c r="W90" s="80" t="inlineStr">
        <is>
          <t>No</t>
        </is>
      </c>
      <c r="X90" s="80" t="n">
        <v>0</v>
      </c>
      <c r="Y90" s="80">
        <f>IF(AC90="Cancelled",0,T90+U90+V90+Q90+X90)</f>
        <v/>
      </c>
      <c r="Z90" s="80">
        <f>IF(AC90="Cancelled",-Q90,S90-Y90)</f>
        <v/>
      </c>
      <c r="AA90" s="81">
        <f>IF(OR(AC90="Cancelled",S90=0),0,Z90/S90)</f>
        <v/>
      </c>
      <c r="AB90" s="82">
        <f>IFERROR(S90/Q90,0)</f>
        <v/>
      </c>
      <c r="AC90" s="56" t="inlineStr">
        <is>
          <t>Delivered</t>
        </is>
      </c>
    </row>
    <row r="91" ht="14.25" customHeight="1" s="57">
      <c r="A91" s="56" t="inlineStr">
        <is>
          <t>ORD-00031</t>
        </is>
      </c>
      <c r="B91" s="79" t="n">
        <v>45741</v>
      </c>
      <c r="C91" s="56" t="n">
        <v>2025</v>
      </c>
      <c r="D91" s="56" t="n">
        <v>3</v>
      </c>
      <c r="E91" s="56" t="inlineStr">
        <is>
          <t>Oman</t>
        </is>
      </c>
      <c r="F91" s="56" t="inlineStr">
        <is>
          <t>Muscat</t>
        </is>
      </c>
      <c r="G91" s="56" t="inlineStr">
        <is>
          <t>Email</t>
        </is>
      </c>
      <c r="H91" s="56" t="inlineStr">
        <is>
          <t>Retargeting</t>
        </is>
      </c>
      <c r="I91" s="56" t="inlineStr">
        <is>
          <t>P003</t>
        </is>
      </c>
      <c r="J91" s="56" t="inlineStr">
        <is>
          <t>LED Strip Lights</t>
        </is>
      </c>
      <c r="K91" s="56" t="inlineStr">
        <is>
          <t>Home Decor</t>
        </is>
      </c>
      <c r="L91" s="56" t="inlineStr">
        <is>
          <t>Yiwu Lighting Factory</t>
        </is>
      </c>
      <c r="M91" s="80" t="n">
        <v>22.7</v>
      </c>
      <c r="N91" s="80" t="n">
        <v>6.35</v>
      </c>
      <c r="O91" s="80" t="n">
        <v>3.3</v>
      </c>
      <c r="P91" s="80" t="n">
        <v>0.03</v>
      </c>
      <c r="Q91" s="80" t="n">
        <v>15.42</v>
      </c>
      <c r="R91" s="80" t="n">
        <v>2</v>
      </c>
      <c r="S91" s="80">
        <f>IF(AC91="Cancelled",0,M91*R91)</f>
        <v/>
      </c>
      <c r="T91" s="80">
        <f>IF(AC91="Cancelled",0,N91*R91)</f>
        <v/>
      </c>
      <c r="U91" s="80">
        <f>IF(AC91="Cancelled",0,O91*R91)</f>
        <v/>
      </c>
      <c r="V91" s="80">
        <f>IF(AC91="Cancelled",0,ROUND(P91*S91,2))</f>
        <v/>
      </c>
      <c r="W91" s="80" t="inlineStr">
        <is>
          <t>No</t>
        </is>
      </c>
      <c r="X91" s="80" t="n">
        <v>0</v>
      </c>
      <c r="Y91" s="80">
        <f>IF(AC91="Cancelled",0,T91+U91+V91+Q91+X91)</f>
        <v/>
      </c>
      <c r="Z91" s="80">
        <f>IF(AC91="Cancelled",-Q91,S91-Y91)</f>
        <v/>
      </c>
      <c r="AA91" s="81">
        <f>IF(OR(AC91="Cancelled",S91=0),0,Z91/S91)</f>
        <v/>
      </c>
      <c r="AB91" s="82">
        <f>IFERROR(S91/Q91,0)</f>
        <v/>
      </c>
      <c r="AC91" s="56" t="inlineStr">
        <is>
          <t>Delivered</t>
        </is>
      </c>
    </row>
    <row r="92" ht="14.25" customHeight="1" s="57">
      <c r="A92" s="56" t="inlineStr">
        <is>
          <t>ORD-00071</t>
        </is>
      </c>
      <c r="B92" s="79" t="n">
        <v>45741</v>
      </c>
      <c r="C92" s="56" t="n">
        <v>2025</v>
      </c>
      <c r="D92" s="56" t="n">
        <v>3</v>
      </c>
      <c r="E92" s="56" t="inlineStr">
        <is>
          <t>Kuwait</t>
        </is>
      </c>
      <c r="F92" s="56" t="inlineStr">
        <is>
          <t>Kuwait City</t>
        </is>
      </c>
      <c r="G92" s="56" t="inlineStr">
        <is>
          <t>TikTok Ads</t>
        </is>
      </c>
      <c r="H92" s="56" t="inlineStr">
        <is>
          <t>Launch Test</t>
        </is>
      </c>
      <c r="I92" s="56" t="inlineStr">
        <is>
          <t>P010</t>
        </is>
      </c>
      <c r="J92" s="56" t="inlineStr">
        <is>
          <t>Smart Water Bottle</t>
        </is>
      </c>
      <c r="K92" s="56" t="inlineStr">
        <is>
          <t>Lifestyle</t>
        </is>
      </c>
      <c r="L92" s="56" t="inlineStr">
        <is>
          <t>Shenzhen Smart Home</t>
        </is>
      </c>
      <c r="M92" s="80" t="n">
        <v>30.94</v>
      </c>
      <c r="N92" s="80" t="n">
        <v>9.949999999999999</v>
      </c>
      <c r="O92" s="80" t="n">
        <v>4.26</v>
      </c>
      <c r="P92" s="80" t="n">
        <v>0.03</v>
      </c>
      <c r="Q92" s="80" t="n">
        <v>8.289999999999999</v>
      </c>
      <c r="R92" s="80" t="n">
        <v>1</v>
      </c>
      <c r="S92" s="80">
        <f>IF(AC92="Cancelled",0,M92*R92)</f>
        <v/>
      </c>
      <c r="T92" s="80">
        <f>IF(AC92="Cancelled",0,N92*R92)</f>
        <v/>
      </c>
      <c r="U92" s="80">
        <f>IF(AC92="Cancelled",0,O92*R92)</f>
        <v/>
      </c>
      <c r="V92" s="80">
        <f>IF(AC92="Cancelled",0,ROUND(P92*S92,2))</f>
        <v/>
      </c>
      <c r="W92" s="80" t="inlineStr">
        <is>
          <t>No</t>
        </is>
      </c>
      <c r="X92" s="80" t="n">
        <v>0</v>
      </c>
      <c r="Y92" s="80">
        <f>IF(AC92="Cancelled",0,T92+U92+V92+Q92+X92)</f>
        <v/>
      </c>
      <c r="Z92" s="80">
        <f>IF(AC92="Cancelled",-Q92,S92-Y92)</f>
        <v/>
      </c>
      <c r="AA92" s="81">
        <f>IF(OR(AC92="Cancelled",S92=0),0,Z92/S92)</f>
        <v/>
      </c>
      <c r="AB92" s="82">
        <f>IFERROR(S92/Q92,0)</f>
        <v/>
      </c>
      <c r="AC92" s="56" t="inlineStr">
        <is>
          <t>Delivered</t>
        </is>
      </c>
    </row>
    <row r="93" ht="14.25" customHeight="1" s="57">
      <c r="A93" s="56" t="inlineStr">
        <is>
          <t>ORD-00430</t>
        </is>
      </c>
      <c r="B93" s="79" t="n">
        <v>45741</v>
      </c>
      <c r="C93" s="56" t="n">
        <v>2025</v>
      </c>
      <c r="D93" s="56" t="n">
        <v>3</v>
      </c>
      <c r="E93" s="56" t="inlineStr">
        <is>
          <t>Saudi Arabia</t>
        </is>
      </c>
      <c r="F93" s="56" t="inlineStr">
        <is>
          <t>Riyadh</t>
        </is>
      </c>
      <c r="G93" s="56" t="inlineStr">
        <is>
          <t>Google Ads</t>
        </is>
      </c>
      <c r="H93" s="56" t="inlineStr">
        <is>
          <t>Summer Sale</t>
        </is>
      </c>
      <c r="I93" s="56" t="inlineStr">
        <is>
          <t>P003</t>
        </is>
      </c>
      <c r="J93" s="56" t="inlineStr">
        <is>
          <t>LED Strip Lights</t>
        </is>
      </c>
      <c r="K93" s="56" t="inlineStr">
        <is>
          <t>Home Decor</t>
        </is>
      </c>
      <c r="L93" s="56" t="inlineStr">
        <is>
          <t>Yiwu Lighting Factory</t>
        </is>
      </c>
      <c r="M93" s="80" t="n">
        <v>24.1</v>
      </c>
      <c r="N93" s="80" t="n">
        <v>6.22</v>
      </c>
      <c r="O93" s="80" t="n">
        <v>3.82</v>
      </c>
      <c r="P93" s="80" t="n">
        <v>0.03</v>
      </c>
      <c r="Q93" s="80" t="n">
        <v>8.880000000000001</v>
      </c>
      <c r="R93" s="80" t="n">
        <v>1</v>
      </c>
      <c r="S93" s="80">
        <f>IF(AC93="Cancelled",0,M93*R93)</f>
        <v/>
      </c>
      <c r="T93" s="80">
        <f>IF(AC93="Cancelled",0,N93*R93)</f>
        <v/>
      </c>
      <c r="U93" s="80">
        <f>IF(AC93="Cancelled",0,O93*R93)</f>
        <v/>
      </c>
      <c r="V93" s="80">
        <f>IF(AC93="Cancelled",0,ROUND(P93*S93,2))</f>
        <v/>
      </c>
      <c r="W93" s="80" t="inlineStr">
        <is>
          <t>No</t>
        </is>
      </c>
      <c r="X93" s="80" t="n">
        <v>0</v>
      </c>
      <c r="Y93" s="80">
        <f>IF(AC93="Cancelled",0,T93+U93+V93+Q93+X93)</f>
        <v/>
      </c>
      <c r="Z93" s="80">
        <f>IF(AC93="Cancelled",-Q93,S93-Y93)</f>
        <v/>
      </c>
      <c r="AA93" s="81">
        <f>IF(OR(AC93="Cancelled",S93=0),0,Z93/S93)</f>
        <v/>
      </c>
      <c r="AB93" s="82">
        <f>IFERROR(S93/Q93,0)</f>
        <v/>
      </c>
      <c r="AC93" s="56" t="inlineStr">
        <is>
          <t>Delivered</t>
        </is>
      </c>
    </row>
    <row r="94" ht="14.25" customHeight="1" s="57">
      <c r="A94" s="56" t="inlineStr">
        <is>
          <t>ORD-00471</t>
        </is>
      </c>
      <c r="B94" s="79" t="n">
        <v>45741</v>
      </c>
      <c r="C94" s="56" t="n">
        <v>2025</v>
      </c>
      <c r="D94" s="56" t="n">
        <v>3</v>
      </c>
      <c r="E94" s="56" t="inlineStr">
        <is>
          <t>UAE</t>
        </is>
      </c>
      <c r="F94" s="56" t="inlineStr">
        <is>
          <t>Dubai</t>
        </is>
      </c>
      <c r="G94" s="56" t="inlineStr">
        <is>
          <t>TikTok Ads</t>
        </is>
      </c>
      <c r="H94" s="56" t="inlineStr">
        <is>
          <t>Launch Test</t>
        </is>
      </c>
      <c r="I94" s="56" t="inlineStr">
        <is>
          <t>P002</t>
        </is>
      </c>
      <c r="J94" s="56" t="inlineStr">
        <is>
          <t>Phone Case</t>
        </is>
      </c>
      <c r="K94" s="56" t="inlineStr">
        <is>
          <t>Accessories</t>
        </is>
      </c>
      <c r="L94" s="56" t="inlineStr">
        <is>
          <t>Guangzhou Cases Ltd.</t>
        </is>
      </c>
      <c r="M94" s="80" t="n">
        <v>16.71</v>
      </c>
      <c r="N94" s="80" t="n">
        <v>1.98</v>
      </c>
      <c r="O94" s="80" t="n">
        <v>1.9</v>
      </c>
      <c r="P94" s="80" t="n">
        <v>0.03</v>
      </c>
      <c r="Q94" s="80" t="n">
        <v>9.01</v>
      </c>
      <c r="R94" s="80" t="n">
        <v>2</v>
      </c>
      <c r="S94" s="80">
        <f>IF(AC94="Cancelled",0,M94*R94)</f>
        <v/>
      </c>
      <c r="T94" s="80">
        <f>IF(AC94="Cancelled",0,N94*R94)</f>
        <v/>
      </c>
      <c r="U94" s="80">
        <f>IF(AC94="Cancelled",0,O94*R94)</f>
        <v/>
      </c>
      <c r="V94" s="80">
        <f>IF(AC94="Cancelled",0,ROUND(P94*S94,2))</f>
        <v/>
      </c>
      <c r="W94" s="80" t="inlineStr">
        <is>
          <t>Yes</t>
        </is>
      </c>
      <c r="X94" s="80" t="n">
        <v>28.74</v>
      </c>
      <c r="Y94" s="80">
        <f>IF(AC94="Cancelled",0,T94+U94+V94+Q94+X94)</f>
        <v/>
      </c>
      <c r="Z94" s="80">
        <f>IF(AC94="Cancelled",-Q94,S94-Y94)</f>
        <v/>
      </c>
      <c r="AA94" s="81">
        <f>IF(OR(AC94="Cancelled",S94=0),0,Z94/S94)</f>
        <v/>
      </c>
      <c r="AB94" s="82">
        <f>IFERROR(S94/Q94,0)</f>
        <v/>
      </c>
      <c r="AC94" s="56" t="inlineStr">
        <is>
          <t>Refunded</t>
        </is>
      </c>
    </row>
    <row r="95" ht="14.25" customHeight="1" s="57">
      <c r="A95" s="56" t="inlineStr">
        <is>
          <t>ORD-00209</t>
        </is>
      </c>
      <c r="B95" s="79" t="n">
        <v>45742</v>
      </c>
      <c r="C95" s="56" t="n">
        <v>2025</v>
      </c>
      <c r="D95" s="56" t="n">
        <v>3</v>
      </c>
      <c r="E95" s="56" t="inlineStr">
        <is>
          <t>UAE</t>
        </is>
      </c>
      <c r="F95" s="56" t="inlineStr">
        <is>
          <t>Dubai</t>
        </is>
      </c>
      <c r="G95" s="56" t="inlineStr">
        <is>
          <t>Meta Ads</t>
        </is>
      </c>
      <c r="H95" s="56" t="inlineStr">
        <is>
          <t>Summer Sale</t>
        </is>
      </c>
      <c r="I95" s="56" t="inlineStr">
        <is>
          <t>P005</t>
        </is>
      </c>
      <c r="J95" s="56" t="inlineStr">
        <is>
          <t>Mini Printer</t>
        </is>
      </c>
      <c r="K95" s="56" t="inlineStr">
        <is>
          <t>Electronics</t>
        </is>
      </c>
      <c r="L95" s="56" t="inlineStr">
        <is>
          <t>Shenzhen Print Tech</t>
        </is>
      </c>
      <c r="M95" s="80" t="n">
        <v>55.35</v>
      </c>
      <c r="N95" s="80" t="n">
        <v>23.15</v>
      </c>
      <c r="O95" s="80" t="n">
        <v>6.64</v>
      </c>
      <c r="P95" s="80" t="n">
        <v>0.03</v>
      </c>
      <c r="Q95" s="80" t="n">
        <v>30.19</v>
      </c>
      <c r="R95" s="80" t="n">
        <v>3</v>
      </c>
      <c r="S95" s="80">
        <f>IF(AC95="Cancelled",0,M95*R95)</f>
        <v/>
      </c>
      <c r="T95" s="80">
        <f>IF(AC95="Cancelled",0,N95*R95)</f>
        <v/>
      </c>
      <c r="U95" s="80">
        <f>IF(AC95="Cancelled",0,O95*R95)</f>
        <v/>
      </c>
      <c r="V95" s="80">
        <f>IF(AC95="Cancelled",0,ROUND(P95*S95,2))</f>
        <v/>
      </c>
      <c r="W95" s="80" t="inlineStr">
        <is>
          <t>No</t>
        </is>
      </c>
      <c r="X95" s="80" t="n">
        <v>0</v>
      </c>
      <c r="Y95" s="80">
        <f>IF(AC95="Cancelled",0,T95+U95+V95+Q95+X95)</f>
        <v/>
      </c>
      <c r="Z95" s="80">
        <f>IF(AC95="Cancelled",-Q95,S95-Y95)</f>
        <v/>
      </c>
      <c r="AA95" s="81">
        <f>IF(OR(AC95="Cancelled",S95=0),0,Z95/S95)</f>
        <v/>
      </c>
      <c r="AB95" s="82">
        <f>IFERROR(S95/Q95,0)</f>
        <v/>
      </c>
      <c r="AC95" s="56" t="inlineStr">
        <is>
          <t>Delivered</t>
        </is>
      </c>
    </row>
    <row r="96" ht="14.25" customHeight="1" s="57">
      <c r="A96" s="56" t="inlineStr">
        <is>
          <t>ORD-00280</t>
        </is>
      </c>
      <c r="B96" s="79" t="n">
        <v>45743</v>
      </c>
      <c r="C96" s="56" t="n">
        <v>2025</v>
      </c>
      <c r="D96" s="56" t="n">
        <v>3</v>
      </c>
      <c r="E96" s="56" t="inlineStr">
        <is>
          <t>Saudi Arabia</t>
        </is>
      </c>
      <c r="F96" s="56" t="inlineStr">
        <is>
          <t>Jeddah</t>
        </is>
      </c>
      <c r="G96" s="56" t="inlineStr">
        <is>
          <t>Email</t>
        </is>
      </c>
      <c r="H96" s="56" t="inlineStr">
        <is>
          <t>Bundle Promo</t>
        </is>
      </c>
      <c r="I96" s="56" t="inlineStr">
        <is>
          <t>P005</t>
        </is>
      </c>
      <c r="J96" s="56" t="inlineStr">
        <is>
          <t>Mini Printer</t>
        </is>
      </c>
      <c r="K96" s="56" t="inlineStr">
        <is>
          <t>Electronics</t>
        </is>
      </c>
      <c r="L96" s="56" t="inlineStr">
        <is>
          <t>Shenzhen Print Tech</t>
        </is>
      </c>
      <c r="M96" s="80" t="n">
        <v>64.25</v>
      </c>
      <c r="N96" s="80" t="n">
        <v>21.97</v>
      </c>
      <c r="O96" s="80" t="n">
        <v>6.33</v>
      </c>
      <c r="P96" s="80" t="n">
        <v>0.03</v>
      </c>
      <c r="Q96" s="80" t="n">
        <v>6.01</v>
      </c>
      <c r="R96" s="80" t="n">
        <v>1</v>
      </c>
      <c r="S96" s="80">
        <f>IF(AC96="Cancelled",0,M96*R96)</f>
        <v/>
      </c>
      <c r="T96" s="80">
        <f>IF(AC96="Cancelled",0,N96*R96)</f>
        <v/>
      </c>
      <c r="U96" s="80">
        <f>IF(AC96="Cancelled",0,O96*R96)</f>
        <v/>
      </c>
      <c r="V96" s="80">
        <f>IF(AC96="Cancelled",0,ROUND(P96*S96,2))</f>
        <v/>
      </c>
      <c r="W96" s="80" t="inlineStr">
        <is>
          <t>No</t>
        </is>
      </c>
      <c r="X96" s="80" t="n">
        <v>0</v>
      </c>
      <c r="Y96" s="80">
        <f>IF(AC96="Cancelled",0,T96+U96+V96+Q96+X96)</f>
        <v/>
      </c>
      <c r="Z96" s="80">
        <f>IF(AC96="Cancelled",-Q96,S96-Y96)</f>
        <v/>
      </c>
      <c r="AA96" s="81">
        <f>IF(OR(AC96="Cancelled",S96=0),0,Z96/S96)</f>
        <v/>
      </c>
      <c r="AB96" s="82">
        <f>IFERROR(S96/Q96,0)</f>
        <v/>
      </c>
      <c r="AC96" s="56" t="inlineStr">
        <is>
          <t>Delivered</t>
        </is>
      </c>
    </row>
    <row r="97" ht="14.25" customHeight="1" s="57">
      <c r="A97" s="56" t="inlineStr">
        <is>
          <t>ORD-00276</t>
        </is>
      </c>
      <c r="B97" s="79" t="n">
        <v>45744</v>
      </c>
      <c r="C97" s="56" t="n">
        <v>2025</v>
      </c>
      <c r="D97" s="56" t="n">
        <v>3</v>
      </c>
      <c r="E97" s="56" t="inlineStr">
        <is>
          <t>Saudi Arabia</t>
        </is>
      </c>
      <c r="F97" s="56" t="inlineStr">
        <is>
          <t>Riyadh</t>
        </is>
      </c>
      <c r="G97" s="56" t="inlineStr">
        <is>
          <t>TikTok Ads</t>
        </is>
      </c>
      <c r="H97" s="56" t="inlineStr">
        <is>
          <t>Bundle Promo</t>
        </is>
      </c>
      <c r="I97" s="56" t="inlineStr">
        <is>
          <t>P003</t>
        </is>
      </c>
      <c r="J97" s="56" t="inlineStr">
        <is>
          <t>LED Strip Lights</t>
        </is>
      </c>
      <c r="K97" s="56" t="inlineStr">
        <is>
          <t>Home Decor</t>
        </is>
      </c>
      <c r="L97" s="56" t="inlineStr">
        <is>
          <t>Yiwu Lighting Factory</t>
        </is>
      </c>
      <c r="M97" s="80" t="n">
        <v>22.57</v>
      </c>
      <c r="N97" s="80" t="n">
        <v>6.23</v>
      </c>
      <c r="O97" s="80" t="n">
        <v>3.45</v>
      </c>
      <c r="P97" s="80" t="n">
        <v>0.03</v>
      </c>
      <c r="Q97" s="80" t="n">
        <v>8.34</v>
      </c>
      <c r="R97" s="80" t="n">
        <v>2</v>
      </c>
      <c r="S97" s="80">
        <f>IF(AC97="Cancelled",0,M97*R97)</f>
        <v/>
      </c>
      <c r="T97" s="80">
        <f>IF(AC97="Cancelled",0,N97*R97)</f>
        <v/>
      </c>
      <c r="U97" s="80">
        <f>IF(AC97="Cancelled",0,O97*R97)</f>
        <v/>
      </c>
      <c r="V97" s="80">
        <f>IF(AC97="Cancelled",0,ROUND(P97*S97,2))</f>
        <v/>
      </c>
      <c r="W97" s="80" t="inlineStr">
        <is>
          <t>Yes</t>
        </is>
      </c>
      <c r="X97" s="80" t="n">
        <v>26.08</v>
      </c>
      <c r="Y97" s="80">
        <f>IF(AC97="Cancelled",0,T97+U97+V97+Q97+X97)</f>
        <v/>
      </c>
      <c r="Z97" s="80">
        <f>IF(AC97="Cancelled",-Q97,S97-Y97)</f>
        <v/>
      </c>
      <c r="AA97" s="81">
        <f>IF(OR(AC97="Cancelled",S97=0),0,Z97/S97)</f>
        <v/>
      </c>
      <c r="AB97" s="82">
        <f>IFERROR(S97/Q97,0)</f>
        <v/>
      </c>
      <c r="AC97" s="56" t="inlineStr">
        <is>
          <t>Refunded</t>
        </is>
      </c>
    </row>
    <row r="98" ht="14.25" customHeight="1" s="57">
      <c r="A98" s="56" t="inlineStr">
        <is>
          <t>ORD-00499</t>
        </is>
      </c>
      <c r="B98" s="79" t="n">
        <v>45744</v>
      </c>
      <c r="C98" s="56" t="n">
        <v>2025</v>
      </c>
      <c r="D98" s="56" t="n">
        <v>3</v>
      </c>
      <c r="E98" s="56" t="inlineStr">
        <is>
          <t>UAE</t>
        </is>
      </c>
      <c r="F98" s="56" t="inlineStr">
        <is>
          <t>Abu Dhabi</t>
        </is>
      </c>
      <c r="G98" s="56" t="inlineStr">
        <is>
          <t>TikTok Ads</t>
        </is>
      </c>
      <c r="H98" s="56" t="inlineStr">
        <is>
          <t>Retargeting</t>
        </is>
      </c>
      <c r="I98" s="56" t="inlineStr">
        <is>
          <t>P007</t>
        </is>
      </c>
      <c r="J98" s="56" t="inlineStr">
        <is>
          <t>Pet Grooming Glove</t>
        </is>
      </c>
      <c r="K98" s="56" t="inlineStr">
        <is>
          <t>Pets</t>
        </is>
      </c>
      <c r="L98" s="56" t="inlineStr">
        <is>
          <t>Yiwu Pet Products</t>
        </is>
      </c>
      <c r="M98" s="80" t="n">
        <v>21.22</v>
      </c>
      <c r="N98" s="80" t="n">
        <v>3.57</v>
      </c>
      <c r="O98" s="80" t="n">
        <v>2.58</v>
      </c>
      <c r="P98" s="80" t="n">
        <v>0.03</v>
      </c>
      <c r="Q98" s="80" t="n">
        <v>5.63</v>
      </c>
      <c r="R98" s="80" t="n">
        <v>1</v>
      </c>
      <c r="S98" s="80">
        <f>IF(AC98="Cancelled",0,M98*R98)</f>
        <v/>
      </c>
      <c r="T98" s="80">
        <f>IF(AC98="Cancelled",0,N98*R98)</f>
        <v/>
      </c>
      <c r="U98" s="80">
        <f>IF(AC98="Cancelled",0,O98*R98)</f>
        <v/>
      </c>
      <c r="V98" s="80">
        <f>IF(AC98="Cancelled",0,ROUND(P98*S98,2))</f>
        <v/>
      </c>
      <c r="W98" s="80" t="inlineStr">
        <is>
          <t>Yes</t>
        </is>
      </c>
      <c r="X98" s="80" t="n">
        <v>11.72</v>
      </c>
      <c r="Y98" s="80">
        <f>IF(AC98="Cancelled",0,T98+U98+V98+Q98+X98)</f>
        <v/>
      </c>
      <c r="Z98" s="80">
        <f>IF(AC98="Cancelled",-Q98,S98-Y98)</f>
        <v/>
      </c>
      <c r="AA98" s="81">
        <f>IF(OR(AC98="Cancelled",S98=0),0,Z98/S98)</f>
        <v/>
      </c>
      <c r="AB98" s="82">
        <f>IFERROR(S98/Q98,0)</f>
        <v/>
      </c>
      <c r="AC98" s="56" t="inlineStr">
        <is>
          <t>Refunded</t>
        </is>
      </c>
    </row>
    <row r="99" ht="14.25" customHeight="1" s="57">
      <c r="A99" s="56" t="inlineStr">
        <is>
          <t>ORD-00154</t>
        </is>
      </c>
      <c r="B99" s="79" t="n">
        <v>45745</v>
      </c>
      <c r="C99" s="56" t="n">
        <v>2025</v>
      </c>
      <c r="D99" s="56" t="n">
        <v>3</v>
      </c>
      <c r="E99" s="56" t="inlineStr">
        <is>
          <t>UAE</t>
        </is>
      </c>
      <c r="F99" s="56" t="inlineStr">
        <is>
          <t>Sharjah</t>
        </is>
      </c>
      <c r="G99" s="56" t="inlineStr">
        <is>
          <t>Email</t>
        </is>
      </c>
      <c r="H99" s="56" t="inlineStr">
        <is>
          <t>New Creative A/B</t>
        </is>
      </c>
      <c r="I99" s="56" t="inlineStr">
        <is>
          <t>P003</t>
        </is>
      </c>
      <c r="J99" s="56" t="inlineStr">
        <is>
          <t>LED Strip Lights</t>
        </is>
      </c>
      <c r="K99" s="56" t="inlineStr">
        <is>
          <t>Home Decor</t>
        </is>
      </c>
      <c r="L99" s="56" t="inlineStr">
        <is>
          <t>Yiwu Lighting Factory</t>
        </is>
      </c>
      <c r="M99" s="80" t="n">
        <v>27.08</v>
      </c>
      <c r="N99" s="80" t="n">
        <v>6.08</v>
      </c>
      <c r="O99" s="80" t="n">
        <v>3.43</v>
      </c>
      <c r="P99" s="80" t="n">
        <v>0.03</v>
      </c>
      <c r="Q99" s="80" t="n">
        <v>3.76</v>
      </c>
      <c r="R99" s="80" t="n">
        <v>2</v>
      </c>
      <c r="S99" s="80">
        <f>IF(AC99="Cancelled",0,M99*R99)</f>
        <v/>
      </c>
      <c r="T99" s="80">
        <f>IF(AC99="Cancelled",0,N99*R99)</f>
        <v/>
      </c>
      <c r="U99" s="80">
        <f>IF(AC99="Cancelled",0,O99*R99)</f>
        <v/>
      </c>
      <c r="V99" s="80">
        <f>IF(AC99="Cancelled",0,ROUND(P99*S99,2))</f>
        <v/>
      </c>
      <c r="W99" s="80" t="inlineStr">
        <is>
          <t>No</t>
        </is>
      </c>
      <c r="X99" s="80" t="n">
        <v>0</v>
      </c>
      <c r="Y99" s="80">
        <f>IF(AC99="Cancelled",0,T99+U99+V99+Q99+X99)</f>
        <v/>
      </c>
      <c r="Z99" s="80">
        <f>IF(AC99="Cancelled",-Q99,S99-Y99)</f>
        <v/>
      </c>
      <c r="AA99" s="81">
        <f>IF(OR(AC99="Cancelled",S99=0),0,Z99/S99)</f>
        <v/>
      </c>
      <c r="AB99" s="82">
        <f>IFERROR(S99/Q99,0)</f>
        <v/>
      </c>
      <c r="AC99" s="56" t="inlineStr">
        <is>
          <t>Delivered</t>
        </is>
      </c>
    </row>
    <row r="100" ht="14.25" customHeight="1" s="57">
      <c r="A100" s="56" t="inlineStr">
        <is>
          <t>ORD-00169</t>
        </is>
      </c>
      <c r="B100" s="79" t="n">
        <v>45746</v>
      </c>
      <c r="C100" s="56" t="n">
        <v>2025</v>
      </c>
      <c r="D100" s="56" t="n">
        <v>3</v>
      </c>
      <c r="E100" s="56" t="inlineStr">
        <is>
          <t>Oman</t>
        </is>
      </c>
      <c r="F100" s="56" t="inlineStr">
        <is>
          <t>Muscat</t>
        </is>
      </c>
      <c r="G100" s="56" t="inlineStr">
        <is>
          <t>Meta Ads</t>
        </is>
      </c>
      <c r="H100" s="56" t="inlineStr">
        <is>
          <t>Summer Sale</t>
        </is>
      </c>
      <c r="I100" s="56" t="inlineStr">
        <is>
          <t>P008</t>
        </is>
      </c>
      <c r="J100" s="56" t="inlineStr">
        <is>
          <t>Portable Blender</t>
        </is>
      </c>
      <c r="K100" s="56" t="inlineStr">
        <is>
          <t>Kitchen</t>
        </is>
      </c>
      <c r="L100" s="56" t="inlineStr">
        <is>
          <t>Foshan Appliances</t>
        </is>
      </c>
      <c r="M100" s="80" t="n">
        <v>50.59</v>
      </c>
      <c r="N100" s="80" t="n">
        <v>17.08</v>
      </c>
      <c r="O100" s="80" t="n">
        <v>6.64</v>
      </c>
      <c r="P100" s="80" t="n">
        <v>0.03</v>
      </c>
      <c r="Q100" s="80" t="n">
        <v>7.8</v>
      </c>
      <c r="R100" s="80" t="n">
        <v>1</v>
      </c>
      <c r="S100" s="80">
        <f>IF(AC100="Cancelled",0,M100*R100)</f>
        <v/>
      </c>
      <c r="T100" s="80">
        <f>IF(AC100="Cancelled",0,N100*R100)</f>
        <v/>
      </c>
      <c r="U100" s="80">
        <f>IF(AC100="Cancelled",0,O100*R100)</f>
        <v/>
      </c>
      <c r="V100" s="80">
        <f>IF(AC100="Cancelled",0,ROUND(P100*S100,2))</f>
        <v/>
      </c>
      <c r="W100" s="80" t="inlineStr">
        <is>
          <t>No</t>
        </is>
      </c>
      <c r="X100" s="80" t="n">
        <v>0</v>
      </c>
      <c r="Y100" s="80">
        <f>IF(AC100="Cancelled",0,T100+U100+V100+Q100+X100)</f>
        <v/>
      </c>
      <c r="Z100" s="80">
        <f>IF(AC100="Cancelled",-Q100,S100-Y100)</f>
        <v/>
      </c>
      <c r="AA100" s="81">
        <f>IF(OR(AC100="Cancelled",S100=0),0,Z100/S100)</f>
        <v/>
      </c>
      <c r="AB100" s="82">
        <f>IFERROR(S100/Q100,0)</f>
        <v/>
      </c>
      <c r="AC100" s="56" t="inlineStr">
        <is>
          <t>Delivered</t>
        </is>
      </c>
    </row>
    <row r="101" ht="14.25" customHeight="1" s="57">
      <c r="A101" s="56" t="inlineStr">
        <is>
          <t>ORD-00183</t>
        </is>
      </c>
      <c r="B101" s="79" t="n">
        <v>45746</v>
      </c>
      <c r="C101" s="56" t="n">
        <v>2025</v>
      </c>
      <c r="D101" s="56" t="n">
        <v>3</v>
      </c>
      <c r="E101" s="56" t="inlineStr">
        <is>
          <t>UAE</t>
        </is>
      </c>
      <c r="F101" s="56" t="inlineStr">
        <is>
          <t>Sharjah</t>
        </is>
      </c>
      <c r="G101" s="56" t="inlineStr">
        <is>
          <t>TikTok Ads</t>
        </is>
      </c>
      <c r="H101" s="56" t="inlineStr">
        <is>
          <t>Summer Sale</t>
        </is>
      </c>
      <c r="I101" s="56" t="inlineStr">
        <is>
          <t>P009</t>
        </is>
      </c>
      <c r="J101" s="56" t="inlineStr">
        <is>
          <t>Car Vacuum Cleaner</t>
        </is>
      </c>
      <c r="K101" s="56" t="inlineStr">
        <is>
          <t>Automotive</t>
        </is>
      </c>
      <c r="L101" s="56" t="inlineStr">
        <is>
          <t>Dongguan Auto Tools</t>
        </is>
      </c>
      <c r="M101" s="80" t="n">
        <v>46.27</v>
      </c>
      <c r="N101" s="80" t="n">
        <v>14.57</v>
      </c>
      <c r="O101" s="80" t="n">
        <v>7.28</v>
      </c>
      <c r="P101" s="80" t="n">
        <v>0.03</v>
      </c>
      <c r="Q101" s="80" t="n">
        <v>4.85</v>
      </c>
      <c r="R101" s="80" t="n">
        <v>1</v>
      </c>
      <c r="S101" s="80">
        <f>IF(AC101="Cancelled",0,M101*R101)</f>
        <v/>
      </c>
      <c r="T101" s="80">
        <f>IF(AC101="Cancelled",0,N101*R101)</f>
        <v/>
      </c>
      <c r="U101" s="80">
        <f>IF(AC101="Cancelled",0,O101*R101)</f>
        <v/>
      </c>
      <c r="V101" s="80">
        <f>IF(AC101="Cancelled",0,ROUND(P101*S101,2))</f>
        <v/>
      </c>
      <c r="W101" s="80" t="inlineStr">
        <is>
          <t>No</t>
        </is>
      </c>
      <c r="X101" s="80" t="n">
        <v>0</v>
      </c>
      <c r="Y101" s="80">
        <f>IF(AC101="Cancelled",0,T101+U101+V101+Q101+X101)</f>
        <v/>
      </c>
      <c r="Z101" s="80">
        <f>IF(AC101="Cancelled",-Q101,S101-Y101)</f>
        <v/>
      </c>
      <c r="AA101" s="81">
        <f>IF(OR(AC101="Cancelled",S101=0),0,Z101/S101)</f>
        <v/>
      </c>
      <c r="AB101" s="82">
        <f>IFERROR(S101/Q101,0)</f>
        <v/>
      </c>
      <c r="AC101" s="56" t="inlineStr">
        <is>
          <t>Delivered</t>
        </is>
      </c>
    </row>
    <row r="102" ht="14.25" customHeight="1" s="57">
      <c r="A102" s="56" t="inlineStr">
        <is>
          <t>ORD-00434</t>
        </is>
      </c>
      <c r="B102" s="79" t="n">
        <v>45746</v>
      </c>
      <c r="C102" s="56" t="n">
        <v>2025</v>
      </c>
      <c r="D102" s="56" t="n">
        <v>3</v>
      </c>
      <c r="E102" s="56" t="inlineStr">
        <is>
          <t>UAE</t>
        </is>
      </c>
      <c r="F102" s="56" t="inlineStr">
        <is>
          <t>Dubai</t>
        </is>
      </c>
      <c r="G102" s="56" t="inlineStr">
        <is>
          <t>Meta Ads</t>
        </is>
      </c>
      <c r="H102" s="56" t="inlineStr">
        <is>
          <t>Launch Test</t>
        </is>
      </c>
      <c r="I102" s="56" t="inlineStr">
        <is>
          <t>P002</t>
        </is>
      </c>
      <c r="J102" s="56" t="inlineStr">
        <is>
          <t>Phone Case</t>
        </is>
      </c>
      <c r="K102" s="56" t="inlineStr">
        <is>
          <t>Accessories</t>
        </is>
      </c>
      <c r="L102" s="56" t="inlineStr">
        <is>
          <t>Guangzhou Cases Ltd.</t>
        </is>
      </c>
      <c r="M102" s="80" t="n">
        <v>15.55</v>
      </c>
      <c r="N102" s="80" t="n">
        <v>2.09</v>
      </c>
      <c r="O102" s="80" t="n">
        <v>2.26</v>
      </c>
      <c r="P102" s="80" t="n">
        <v>0.03</v>
      </c>
      <c r="Q102" s="80" t="n">
        <v>7.17</v>
      </c>
      <c r="R102" s="80" t="n">
        <v>2</v>
      </c>
      <c r="S102" s="80">
        <f>IF(AC102="Cancelled",0,M102*R102)</f>
        <v/>
      </c>
      <c r="T102" s="80">
        <f>IF(AC102="Cancelled",0,N102*R102)</f>
        <v/>
      </c>
      <c r="U102" s="80">
        <f>IF(AC102="Cancelled",0,O102*R102)</f>
        <v/>
      </c>
      <c r="V102" s="80">
        <f>IF(AC102="Cancelled",0,ROUND(P102*S102,2))</f>
        <v/>
      </c>
      <c r="W102" s="80" t="inlineStr">
        <is>
          <t>No</t>
        </is>
      </c>
      <c r="X102" s="80" t="n">
        <v>0</v>
      </c>
      <c r="Y102" s="80">
        <f>IF(AC102="Cancelled",0,T102+U102+V102+Q102+X102)</f>
        <v/>
      </c>
      <c r="Z102" s="80">
        <f>IF(AC102="Cancelled",-Q102,S102-Y102)</f>
        <v/>
      </c>
      <c r="AA102" s="81">
        <f>IF(OR(AC102="Cancelled",S102=0),0,Z102/S102)</f>
        <v/>
      </c>
      <c r="AB102" s="82">
        <f>IFERROR(S102/Q102,0)</f>
        <v/>
      </c>
      <c r="AC102" s="56" t="inlineStr">
        <is>
          <t>Delivered</t>
        </is>
      </c>
    </row>
    <row r="103" ht="14.25" customHeight="1" s="57">
      <c r="A103" s="56" t="inlineStr">
        <is>
          <t>ORD-00083</t>
        </is>
      </c>
      <c r="B103" s="79" t="n">
        <v>45749</v>
      </c>
      <c r="C103" s="56" t="n">
        <v>2025</v>
      </c>
      <c r="D103" s="56" t="n">
        <v>4</v>
      </c>
      <c r="E103" s="56" t="inlineStr">
        <is>
          <t>UAE</t>
        </is>
      </c>
      <c r="F103" s="56" t="inlineStr">
        <is>
          <t>Abu Dhabi</t>
        </is>
      </c>
      <c r="G103" s="56" t="inlineStr">
        <is>
          <t>TikTok Ads</t>
        </is>
      </c>
      <c r="H103" s="56" t="inlineStr">
        <is>
          <t>Launch Test</t>
        </is>
      </c>
      <c r="I103" s="56" t="inlineStr">
        <is>
          <t>P009</t>
        </is>
      </c>
      <c r="J103" s="56" t="inlineStr">
        <is>
          <t>Car Vacuum Cleaner</t>
        </is>
      </c>
      <c r="K103" s="56" t="inlineStr">
        <is>
          <t>Automotive</t>
        </is>
      </c>
      <c r="L103" s="56" t="inlineStr">
        <is>
          <t>Dongguan Auto Tools</t>
        </is>
      </c>
      <c r="M103" s="80" t="n">
        <v>48.41</v>
      </c>
      <c r="N103" s="80" t="n">
        <v>15.06</v>
      </c>
      <c r="O103" s="80" t="n">
        <v>6.36</v>
      </c>
      <c r="P103" s="80" t="n">
        <v>0.03</v>
      </c>
      <c r="Q103" s="80" t="n">
        <v>12.97</v>
      </c>
      <c r="R103" s="80" t="n">
        <v>2</v>
      </c>
      <c r="S103" s="80">
        <f>IF(AC103="Cancelled",0,M103*R103)</f>
        <v/>
      </c>
      <c r="T103" s="80">
        <f>IF(AC103="Cancelled",0,N103*R103)</f>
        <v/>
      </c>
      <c r="U103" s="80">
        <f>IF(AC103="Cancelled",0,O103*R103)</f>
        <v/>
      </c>
      <c r="V103" s="80">
        <f>IF(AC103="Cancelled",0,ROUND(P103*S103,2))</f>
        <v/>
      </c>
      <c r="W103" s="80" t="inlineStr">
        <is>
          <t>No</t>
        </is>
      </c>
      <c r="X103" s="80" t="n">
        <v>0</v>
      </c>
      <c r="Y103" s="80">
        <f>IF(AC103="Cancelled",0,T103+U103+V103+Q103+X103)</f>
        <v/>
      </c>
      <c r="Z103" s="80">
        <f>IF(AC103="Cancelled",-Q103,S103-Y103)</f>
        <v/>
      </c>
      <c r="AA103" s="81">
        <f>IF(OR(AC103="Cancelled",S103=0),0,Z103/S103)</f>
        <v/>
      </c>
      <c r="AB103" s="82">
        <f>IFERROR(S103/Q103,0)</f>
        <v/>
      </c>
      <c r="AC103" s="56" t="inlineStr">
        <is>
          <t>Delivered</t>
        </is>
      </c>
    </row>
    <row r="104" ht="14.25" customHeight="1" s="57">
      <c r="A104" s="56" t="inlineStr">
        <is>
          <t>ORD-00439</t>
        </is>
      </c>
      <c r="B104" s="79" t="n">
        <v>45750</v>
      </c>
      <c r="C104" s="56" t="n">
        <v>2025</v>
      </c>
      <c r="D104" s="56" t="n">
        <v>4</v>
      </c>
      <c r="E104" s="56" t="inlineStr">
        <is>
          <t>UAE</t>
        </is>
      </c>
      <c r="F104" s="56" t="inlineStr">
        <is>
          <t>Dubai</t>
        </is>
      </c>
      <c r="G104" s="56" t="inlineStr">
        <is>
          <t>Organic Search</t>
        </is>
      </c>
      <c r="H104" s="56" t="inlineStr">
        <is>
          <t>New Creative A/B</t>
        </is>
      </c>
      <c r="I104" s="56" t="inlineStr">
        <is>
          <t>P010</t>
        </is>
      </c>
      <c r="J104" s="56" t="inlineStr">
        <is>
          <t>Smart Water Bottle</t>
        </is>
      </c>
      <c r="K104" s="56" t="inlineStr">
        <is>
          <t>Lifestyle</t>
        </is>
      </c>
      <c r="L104" s="56" t="inlineStr">
        <is>
          <t>Shenzhen Smart Home</t>
        </is>
      </c>
      <c r="M104" s="80" t="n">
        <v>32.23</v>
      </c>
      <c r="N104" s="80" t="n">
        <v>9.9</v>
      </c>
      <c r="O104" s="80" t="n">
        <v>3.66</v>
      </c>
      <c r="P104" s="80" t="n">
        <v>0.03</v>
      </c>
      <c r="Q104" s="80" t="n">
        <v>0</v>
      </c>
      <c r="R104" s="80" t="n">
        <v>1</v>
      </c>
      <c r="S104" s="80">
        <f>IF(AC104="Cancelled",0,M104*R104)</f>
        <v/>
      </c>
      <c r="T104" s="80">
        <f>IF(AC104="Cancelled",0,N104*R104)</f>
        <v/>
      </c>
      <c r="U104" s="80">
        <f>IF(AC104="Cancelled",0,O104*R104)</f>
        <v/>
      </c>
      <c r="V104" s="80">
        <f>IF(AC104="Cancelled",0,ROUND(P104*S104,2))</f>
        <v/>
      </c>
      <c r="W104" s="80" t="inlineStr">
        <is>
          <t>No</t>
        </is>
      </c>
      <c r="X104" s="80" t="n">
        <v>0</v>
      </c>
      <c r="Y104" s="80">
        <f>IF(AC104="Cancelled",0,T104+U104+V104+Q104+X104)</f>
        <v/>
      </c>
      <c r="Z104" s="80">
        <f>IF(AC104="Cancelled",-Q104,S104-Y104)</f>
        <v/>
      </c>
      <c r="AA104" s="81">
        <f>IF(OR(AC104="Cancelled",S104=0),0,Z104/S104)</f>
        <v/>
      </c>
      <c r="AB104" s="82">
        <f>IFERROR(S104/Q104,0)</f>
        <v/>
      </c>
      <c r="AC104" s="56" t="inlineStr">
        <is>
          <t>Delivered</t>
        </is>
      </c>
    </row>
    <row r="105" ht="14.25" customHeight="1" s="57">
      <c r="A105" s="56" t="inlineStr">
        <is>
          <t>ORD-00369</t>
        </is>
      </c>
      <c r="B105" s="79" t="n">
        <v>45751</v>
      </c>
      <c r="C105" s="56" t="n">
        <v>2025</v>
      </c>
      <c r="D105" s="56" t="n">
        <v>4</v>
      </c>
      <c r="E105" s="56" t="inlineStr">
        <is>
          <t>Qatar</t>
        </is>
      </c>
      <c r="F105" s="56" t="inlineStr">
        <is>
          <t>Doha</t>
        </is>
      </c>
      <c r="G105" s="56" t="inlineStr">
        <is>
          <t>Google Ads</t>
        </is>
      </c>
      <c r="H105" s="56" t="inlineStr">
        <is>
          <t>Launch Test</t>
        </is>
      </c>
      <c r="I105" s="56" t="inlineStr">
        <is>
          <t>P001</t>
        </is>
      </c>
      <c r="J105" s="56" t="inlineStr">
        <is>
          <t>Wireless Earbuds</t>
        </is>
      </c>
      <c r="K105" s="56" t="inlineStr">
        <is>
          <t>Electronics</t>
        </is>
      </c>
      <c r="L105" s="56" t="inlineStr">
        <is>
          <t>Shenzhen Audio Co.</t>
        </is>
      </c>
      <c r="M105" s="80" t="n">
        <v>43.94</v>
      </c>
      <c r="N105" s="80" t="n">
        <v>8.82</v>
      </c>
      <c r="O105" s="80" t="n">
        <v>4.01</v>
      </c>
      <c r="P105" s="80" t="n">
        <v>0.03</v>
      </c>
      <c r="Q105" s="80" t="n">
        <v>3.96</v>
      </c>
      <c r="R105" s="80" t="n">
        <v>1</v>
      </c>
      <c r="S105" s="80">
        <f>IF(AC105="Cancelled",0,M105*R105)</f>
        <v/>
      </c>
      <c r="T105" s="80">
        <f>IF(AC105="Cancelled",0,N105*R105)</f>
        <v/>
      </c>
      <c r="U105" s="80">
        <f>IF(AC105="Cancelled",0,O105*R105)</f>
        <v/>
      </c>
      <c r="V105" s="80">
        <f>IF(AC105="Cancelled",0,ROUND(P105*S105,2))</f>
        <v/>
      </c>
      <c r="W105" s="80" t="inlineStr">
        <is>
          <t>No</t>
        </is>
      </c>
      <c r="X105" s="80" t="n">
        <v>0</v>
      </c>
      <c r="Y105" s="80">
        <f>IF(AC105="Cancelled",0,T105+U105+V105+Q105+X105)</f>
        <v/>
      </c>
      <c r="Z105" s="80">
        <f>IF(AC105="Cancelled",-Q105,S105-Y105)</f>
        <v/>
      </c>
      <c r="AA105" s="81">
        <f>IF(OR(AC105="Cancelled",S105=0),0,Z105/S105)</f>
        <v/>
      </c>
      <c r="AB105" s="82">
        <f>IFERROR(S105/Q105,0)</f>
        <v/>
      </c>
      <c r="AC105" s="56" t="inlineStr">
        <is>
          <t>Cancelled</t>
        </is>
      </c>
    </row>
    <row r="106" ht="14.25" customHeight="1" s="57">
      <c r="A106" s="56" t="inlineStr">
        <is>
          <t>ORD-00385</t>
        </is>
      </c>
      <c r="B106" s="79" t="n">
        <v>45752</v>
      </c>
      <c r="C106" s="56" t="n">
        <v>2025</v>
      </c>
      <c r="D106" s="56" t="n">
        <v>4</v>
      </c>
      <c r="E106" s="56" t="inlineStr">
        <is>
          <t>Qatar</t>
        </is>
      </c>
      <c r="F106" s="56" t="inlineStr">
        <is>
          <t>Doha</t>
        </is>
      </c>
      <c r="G106" s="56" t="inlineStr">
        <is>
          <t>Meta Ads</t>
        </is>
      </c>
      <c r="H106" s="56" t="inlineStr">
        <is>
          <t>Retargeting</t>
        </is>
      </c>
      <c r="I106" s="56" t="inlineStr">
        <is>
          <t>P001</t>
        </is>
      </c>
      <c r="J106" s="56" t="inlineStr">
        <is>
          <t>Wireless Earbuds</t>
        </is>
      </c>
      <c r="K106" s="56" t="inlineStr">
        <is>
          <t>Electronics</t>
        </is>
      </c>
      <c r="L106" s="56" t="inlineStr">
        <is>
          <t>Shenzhen Audio Co.</t>
        </is>
      </c>
      <c r="M106" s="80" t="n">
        <v>38.49</v>
      </c>
      <c r="N106" s="80" t="n">
        <v>8.65</v>
      </c>
      <c r="O106" s="80" t="n">
        <v>3.87</v>
      </c>
      <c r="P106" s="80" t="n">
        <v>0.03</v>
      </c>
      <c r="Q106" s="80" t="n">
        <v>2.22</v>
      </c>
      <c r="R106" s="80" t="n">
        <v>1</v>
      </c>
      <c r="S106" s="80">
        <f>IF(AC106="Cancelled",0,M106*R106)</f>
        <v/>
      </c>
      <c r="T106" s="80">
        <f>IF(AC106="Cancelled",0,N106*R106)</f>
        <v/>
      </c>
      <c r="U106" s="80">
        <f>IF(AC106="Cancelled",0,O106*R106)</f>
        <v/>
      </c>
      <c r="V106" s="80">
        <f>IF(AC106="Cancelled",0,ROUND(P106*S106,2))</f>
        <v/>
      </c>
      <c r="W106" s="80" t="inlineStr">
        <is>
          <t>No</t>
        </is>
      </c>
      <c r="X106" s="80" t="n">
        <v>0</v>
      </c>
      <c r="Y106" s="80">
        <f>IF(AC106="Cancelled",0,T106+U106+V106+Q106+X106)</f>
        <v/>
      </c>
      <c r="Z106" s="80">
        <f>IF(AC106="Cancelled",-Q106,S106-Y106)</f>
        <v/>
      </c>
      <c r="AA106" s="81">
        <f>IF(OR(AC106="Cancelled",S106=0),0,Z106/S106)</f>
        <v/>
      </c>
      <c r="AB106" s="82">
        <f>IFERROR(S106/Q106,0)</f>
        <v/>
      </c>
      <c r="AC106" s="56" t="inlineStr">
        <is>
          <t>Delivered</t>
        </is>
      </c>
    </row>
    <row r="107" ht="14.25" customHeight="1" s="57">
      <c r="A107" s="56" t="inlineStr">
        <is>
          <t>ORD-00039</t>
        </is>
      </c>
      <c r="B107" s="79" t="n">
        <v>45753</v>
      </c>
      <c r="C107" s="56" t="n">
        <v>2025</v>
      </c>
      <c r="D107" s="56" t="n">
        <v>4</v>
      </c>
      <c r="E107" s="56" t="inlineStr">
        <is>
          <t>Oman</t>
        </is>
      </c>
      <c r="F107" s="56" t="inlineStr">
        <is>
          <t>Muscat</t>
        </is>
      </c>
      <c r="G107" s="56" t="inlineStr">
        <is>
          <t>Meta Ads</t>
        </is>
      </c>
      <c r="H107" s="56" t="inlineStr">
        <is>
          <t>Bundle Promo</t>
        </is>
      </c>
      <c r="I107" s="56" t="inlineStr">
        <is>
          <t>P001</t>
        </is>
      </c>
      <c r="J107" s="56" t="inlineStr">
        <is>
          <t>Wireless Earbuds</t>
        </is>
      </c>
      <c r="K107" s="56" t="inlineStr">
        <is>
          <t>Electronics</t>
        </is>
      </c>
      <c r="L107" s="56" t="inlineStr">
        <is>
          <t>Shenzhen Audio Co.</t>
        </is>
      </c>
      <c r="M107" s="80" t="n">
        <v>39.2</v>
      </c>
      <c r="N107" s="80" t="n">
        <v>8.15</v>
      </c>
      <c r="O107" s="80" t="n">
        <v>3.87</v>
      </c>
      <c r="P107" s="80" t="n">
        <v>0.03</v>
      </c>
      <c r="Q107" s="80" t="n">
        <v>5.35</v>
      </c>
      <c r="R107" s="80" t="n">
        <v>2</v>
      </c>
      <c r="S107" s="80">
        <f>IF(AC107="Cancelled",0,M107*R107)</f>
        <v/>
      </c>
      <c r="T107" s="80">
        <f>IF(AC107="Cancelled",0,N107*R107)</f>
        <v/>
      </c>
      <c r="U107" s="80">
        <f>IF(AC107="Cancelled",0,O107*R107)</f>
        <v/>
      </c>
      <c r="V107" s="80">
        <f>IF(AC107="Cancelled",0,ROUND(P107*S107,2))</f>
        <v/>
      </c>
      <c r="W107" s="80" t="inlineStr">
        <is>
          <t>No</t>
        </is>
      </c>
      <c r="X107" s="80" t="n">
        <v>0</v>
      </c>
      <c r="Y107" s="80">
        <f>IF(AC107="Cancelled",0,T107+U107+V107+Q107+X107)</f>
        <v/>
      </c>
      <c r="Z107" s="80">
        <f>IF(AC107="Cancelled",-Q107,S107-Y107)</f>
        <v/>
      </c>
      <c r="AA107" s="81">
        <f>IF(OR(AC107="Cancelled",S107=0),0,Z107/S107)</f>
        <v/>
      </c>
      <c r="AB107" s="82">
        <f>IFERROR(S107/Q107,0)</f>
        <v/>
      </c>
      <c r="AC107" s="56" t="inlineStr">
        <is>
          <t>Delivered</t>
        </is>
      </c>
    </row>
    <row r="108" ht="14.25" customHeight="1" s="57">
      <c r="A108" s="56" t="inlineStr">
        <is>
          <t>ORD-00152</t>
        </is>
      </c>
      <c r="B108" s="79" t="n">
        <v>45753</v>
      </c>
      <c r="C108" s="56" t="n">
        <v>2025</v>
      </c>
      <c r="D108" s="56" t="n">
        <v>4</v>
      </c>
      <c r="E108" s="56" t="inlineStr">
        <is>
          <t>UAE</t>
        </is>
      </c>
      <c r="F108" s="56" t="inlineStr">
        <is>
          <t>Dubai</t>
        </is>
      </c>
      <c r="G108" s="56" t="inlineStr">
        <is>
          <t>TikTok Ads</t>
        </is>
      </c>
      <c r="H108" s="56" t="inlineStr">
        <is>
          <t>Summer Sale</t>
        </is>
      </c>
      <c r="I108" s="56" t="inlineStr">
        <is>
          <t>P006</t>
        </is>
      </c>
      <c r="J108" s="56" t="inlineStr">
        <is>
          <t>Posture Corrector</t>
        </is>
      </c>
      <c r="K108" s="56" t="inlineStr">
        <is>
          <t>Fitness</t>
        </is>
      </c>
      <c r="L108" s="56" t="inlineStr">
        <is>
          <t>Hangzhou Health Gear</t>
        </is>
      </c>
      <c r="M108" s="80" t="n">
        <v>34.54</v>
      </c>
      <c r="N108" s="80" t="n">
        <v>8.58</v>
      </c>
      <c r="O108" s="80" t="n">
        <v>4.57</v>
      </c>
      <c r="P108" s="80" t="n">
        <v>0.03</v>
      </c>
      <c r="Q108" s="80" t="n">
        <v>1.8</v>
      </c>
      <c r="R108" s="80" t="n">
        <v>1</v>
      </c>
      <c r="S108" s="80">
        <f>IF(AC108="Cancelled",0,M108*R108)</f>
        <v/>
      </c>
      <c r="T108" s="80">
        <f>IF(AC108="Cancelled",0,N108*R108)</f>
        <v/>
      </c>
      <c r="U108" s="80">
        <f>IF(AC108="Cancelled",0,O108*R108)</f>
        <v/>
      </c>
      <c r="V108" s="80">
        <f>IF(AC108="Cancelled",0,ROUND(P108*S108,2))</f>
        <v/>
      </c>
      <c r="W108" s="80" t="inlineStr">
        <is>
          <t>No</t>
        </is>
      </c>
      <c r="X108" s="80" t="n">
        <v>0</v>
      </c>
      <c r="Y108" s="80">
        <f>IF(AC108="Cancelled",0,T108+U108+V108+Q108+X108)</f>
        <v/>
      </c>
      <c r="Z108" s="80">
        <f>IF(AC108="Cancelled",-Q108,S108-Y108)</f>
        <v/>
      </c>
      <c r="AA108" s="81">
        <f>IF(OR(AC108="Cancelled",S108=0),0,Z108/S108)</f>
        <v/>
      </c>
      <c r="AB108" s="82">
        <f>IFERROR(S108/Q108,0)</f>
        <v/>
      </c>
      <c r="AC108" s="56" t="inlineStr">
        <is>
          <t>Delivered</t>
        </is>
      </c>
    </row>
    <row r="109" ht="14.25" customHeight="1" s="57">
      <c r="A109" s="56" t="inlineStr">
        <is>
          <t>ORD-00310</t>
        </is>
      </c>
      <c r="B109" s="79" t="n">
        <v>45754</v>
      </c>
      <c r="C109" s="56" t="n">
        <v>2025</v>
      </c>
      <c r="D109" s="56" t="n">
        <v>4</v>
      </c>
      <c r="E109" s="56" t="inlineStr">
        <is>
          <t>Saudi Arabia</t>
        </is>
      </c>
      <c r="F109" s="56" t="inlineStr">
        <is>
          <t>Riyadh</t>
        </is>
      </c>
      <c r="G109" s="56" t="inlineStr">
        <is>
          <t>TikTok Ads</t>
        </is>
      </c>
      <c r="H109" s="56" t="inlineStr">
        <is>
          <t>Retargeting</t>
        </is>
      </c>
      <c r="I109" s="56" t="inlineStr">
        <is>
          <t>P009</t>
        </is>
      </c>
      <c r="J109" s="56" t="inlineStr">
        <is>
          <t>Car Vacuum Cleaner</t>
        </is>
      </c>
      <c r="K109" s="56" t="inlineStr">
        <is>
          <t>Automotive</t>
        </is>
      </c>
      <c r="L109" s="56" t="inlineStr">
        <is>
          <t>Dongguan Auto Tools</t>
        </is>
      </c>
      <c r="M109" s="80" t="n">
        <v>45.71</v>
      </c>
      <c r="N109" s="80" t="n">
        <v>14.04</v>
      </c>
      <c r="O109" s="80" t="n">
        <v>6.73</v>
      </c>
      <c r="P109" s="80" t="n">
        <v>0.03</v>
      </c>
      <c r="Q109" s="80" t="n">
        <v>20.32</v>
      </c>
      <c r="R109" s="80" t="n">
        <v>2</v>
      </c>
      <c r="S109" s="80">
        <f>IF(AC109="Cancelled",0,M109*R109)</f>
        <v/>
      </c>
      <c r="T109" s="80">
        <f>IF(AC109="Cancelled",0,N109*R109)</f>
        <v/>
      </c>
      <c r="U109" s="80">
        <f>IF(AC109="Cancelled",0,O109*R109)</f>
        <v/>
      </c>
      <c r="V109" s="80">
        <f>IF(AC109="Cancelled",0,ROUND(P109*S109,2))</f>
        <v/>
      </c>
      <c r="W109" s="80" t="inlineStr">
        <is>
          <t>No</t>
        </is>
      </c>
      <c r="X109" s="80" t="n">
        <v>0</v>
      </c>
      <c r="Y109" s="80">
        <f>IF(AC109="Cancelled",0,T109+U109+V109+Q109+X109)</f>
        <v/>
      </c>
      <c r="Z109" s="80">
        <f>IF(AC109="Cancelled",-Q109,S109-Y109)</f>
        <v/>
      </c>
      <c r="AA109" s="81">
        <f>IF(OR(AC109="Cancelled",S109=0),0,Z109/S109)</f>
        <v/>
      </c>
      <c r="AB109" s="82">
        <f>IFERROR(S109/Q109,0)</f>
        <v/>
      </c>
      <c r="AC109" s="56" t="inlineStr">
        <is>
          <t>Delivered</t>
        </is>
      </c>
    </row>
    <row r="110" ht="14.25" customHeight="1" s="57">
      <c r="A110" s="56" t="inlineStr">
        <is>
          <t>ORD-00119</t>
        </is>
      </c>
      <c r="B110" s="79" t="n">
        <v>45755</v>
      </c>
      <c r="C110" s="56" t="n">
        <v>2025</v>
      </c>
      <c r="D110" s="56" t="n">
        <v>4</v>
      </c>
      <c r="E110" s="56" t="inlineStr">
        <is>
          <t>Saudi Arabia</t>
        </is>
      </c>
      <c r="F110" s="56" t="inlineStr">
        <is>
          <t>Jeddah</t>
        </is>
      </c>
      <c r="G110" s="56" t="inlineStr">
        <is>
          <t>TikTok Ads</t>
        </is>
      </c>
      <c r="H110" s="56" t="inlineStr">
        <is>
          <t>Launch Test</t>
        </is>
      </c>
      <c r="I110" s="56" t="inlineStr">
        <is>
          <t>P001</t>
        </is>
      </c>
      <c r="J110" s="56" t="inlineStr">
        <is>
          <t>Wireless Earbuds</t>
        </is>
      </c>
      <c r="K110" s="56" t="inlineStr">
        <is>
          <t>Electronics</t>
        </is>
      </c>
      <c r="L110" s="56" t="inlineStr">
        <is>
          <t>Shenzhen Audio Co.</t>
        </is>
      </c>
      <c r="M110" s="80" t="n">
        <v>44.43</v>
      </c>
      <c r="N110" s="80" t="n">
        <v>9.109999999999999</v>
      </c>
      <c r="O110" s="80" t="n">
        <v>4.41</v>
      </c>
      <c r="P110" s="80" t="n">
        <v>0.03</v>
      </c>
      <c r="Q110" s="80" t="n">
        <v>10.26</v>
      </c>
      <c r="R110" s="80" t="n">
        <v>1</v>
      </c>
      <c r="S110" s="80">
        <f>IF(AC110="Cancelled",0,M110*R110)</f>
        <v/>
      </c>
      <c r="T110" s="80">
        <f>IF(AC110="Cancelled",0,N110*R110)</f>
        <v/>
      </c>
      <c r="U110" s="80">
        <f>IF(AC110="Cancelled",0,O110*R110)</f>
        <v/>
      </c>
      <c r="V110" s="80">
        <f>IF(AC110="Cancelled",0,ROUND(P110*S110,2))</f>
        <v/>
      </c>
      <c r="W110" s="80" t="inlineStr">
        <is>
          <t>No</t>
        </is>
      </c>
      <c r="X110" s="80" t="n">
        <v>0</v>
      </c>
      <c r="Y110" s="80">
        <f>IF(AC110="Cancelled",0,T110+U110+V110+Q110+X110)</f>
        <v/>
      </c>
      <c r="Z110" s="80">
        <f>IF(AC110="Cancelled",-Q110,S110-Y110)</f>
        <v/>
      </c>
      <c r="AA110" s="81">
        <f>IF(OR(AC110="Cancelled",S110=0),0,Z110/S110)</f>
        <v/>
      </c>
      <c r="AB110" s="82">
        <f>IFERROR(S110/Q110,0)</f>
        <v/>
      </c>
      <c r="AC110" s="56" t="inlineStr">
        <is>
          <t>Delivered</t>
        </is>
      </c>
    </row>
    <row r="111" ht="14.25" customHeight="1" s="57">
      <c r="A111" s="56" t="inlineStr">
        <is>
          <t>ORD-00362</t>
        </is>
      </c>
      <c r="B111" s="79" t="n">
        <v>45757</v>
      </c>
      <c r="C111" s="56" t="n">
        <v>2025</v>
      </c>
      <c r="D111" s="56" t="n">
        <v>4</v>
      </c>
      <c r="E111" s="56" t="inlineStr">
        <is>
          <t>Qatar</t>
        </is>
      </c>
      <c r="F111" s="56" t="inlineStr">
        <is>
          <t>Doha</t>
        </is>
      </c>
      <c r="G111" s="56" t="inlineStr">
        <is>
          <t>Meta Ads</t>
        </is>
      </c>
      <c r="H111" s="56" t="inlineStr">
        <is>
          <t>Summer Sale</t>
        </is>
      </c>
      <c r="I111" s="56" t="inlineStr">
        <is>
          <t>P003</t>
        </is>
      </c>
      <c r="J111" s="56" t="inlineStr">
        <is>
          <t>LED Strip Lights</t>
        </is>
      </c>
      <c r="K111" s="56" t="inlineStr">
        <is>
          <t>Home Decor</t>
        </is>
      </c>
      <c r="L111" s="56" t="inlineStr">
        <is>
          <t>Yiwu Lighting Factory</t>
        </is>
      </c>
      <c r="M111" s="80" t="n">
        <v>23.14</v>
      </c>
      <c r="N111" s="80" t="n">
        <v>5.74</v>
      </c>
      <c r="O111" s="80" t="n">
        <v>3.26</v>
      </c>
      <c r="P111" s="80" t="n">
        <v>0.03</v>
      </c>
      <c r="Q111" s="80" t="n">
        <v>2.43</v>
      </c>
      <c r="R111" s="80" t="n">
        <v>1</v>
      </c>
      <c r="S111" s="80">
        <f>IF(AC111="Cancelled",0,M111*R111)</f>
        <v/>
      </c>
      <c r="T111" s="80">
        <f>IF(AC111="Cancelled",0,N111*R111)</f>
        <v/>
      </c>
      <c r="U111" s="80">
        <f>IF(AC111="Cancelled",0,O111*R111)</f>
        <v/>
      </c>
      <c r="V111" s="80">
        <f>IF(AC111="Cancelled",0,ROUND(P111*S111,2))</f>
        <v/>
      </c>
      <c r="W111" s="80" t="inlineStr">
        <is>
          <t>No</t>
        </is>
      </c>
      <c r="X111" s="80" t="n">
        <v>0</v>
      </c>
      <c r="Y111" s="80">
        <f>IF(AC111="Cancelled",0,T111+U111+V111+Q111+X111)</f>
        <v/>
      </c>
      <c r="Z111" s="80">
        <f>IF(AC111="Cancelled",-Q111,S111-Y111)</f>
        <v/>
      </c>
      <c r="AA111" s="81">
        <f>IF(OR(AC111="Cancelled",S111=0),0,Z111/S111)</f>
        <v/>
      </c>
      <c r="AB111" s="82">
        <f>IFERROR(S111/Q111,0)</f>
        <v/>
      </c>
      <c r="AC111" s="56" t="inlineStr">
        <is>
          <t>Delivered</t>
        </is>
      </c>
    </row>
    <row r="112" ht="14.25" customHeight="1" s="57">
      <c r="A112" s="56" t="inlineStr">
        <is>
          <t>ORD-00491</t>
        </is>
      </c>
      <c r="B112" s="79" t="n">
        <v>45757</v>
      </c>
      <c r="C112" s="56" t="n">
        <v>2025</v>
      </c>
      <c r="D112" s="56" t="n">
        <v>4</v>
      </c>
      <c r="E112" s="56" t="inlineStr">
        <is>
          <t>Kuwait</t>
        </is>
      </c>
      <c r="F112" s="56" t="inlineStr">
        <is>
          <t>Kuwait City</t>
        </is>
      </c>
      <c r="G112" s="56" t="inlineStr">
        <is>
          <t>Google Ads</t>
        </is>
      </c>
      <c r="H112" s="56" t="inlineStr">
        <is>
          <t>Summer Sale</t>
        </is>
      </c>
      <c r="I112" s="56" t="inlineStr">
        <is>
          <t>P010</t>
        </is>
      </c>
      <c r="J112" s="56" t="inlineStr">
        <is>
          <t>Smart Water Bottle</t>
        </is>
      </c>
      <c r="K112" s="56" t="inlineStr">
        <is>
          <t>Lifestyle</t>
        </is>
      </c>
      <c r="L112" s="56" t="inlineStr">
        <is>
          <t>Shenzhen Smart Home</t>
        </is>
      </c>
      <c r="M112" s="80" t="n">
        <v>33.64</v>
      </c>
      <c r="N112" s="80" t="n">
        <v>10.52</v>
      </c>
      <c r="O112" s="80" t="n">
        <v>4.44</v>
      </c>
      <c r="P112" s="80" t="n">
        <v>0.03</v>
      </c>
      <c r="Q112" s="80" t="n">
        <v>7.97</v>
      </c>
      <c r="R112" s="80" t="n">
        <v>1</v>
      </c>
      <c r="S112" s="80">
        <f>IF(AC112="Cancelled",0,M112*R112)</f>
        <v/>
      </c>
      <c r="T112" s="80">
        <f>IF(AC112="Cancelled",0,N112*R112)</f>
        <v/>
      </c>
      <c r="U112" s="80">
        <f>IF(AC112="Cancelled",0,O112*R112)</f>
        <v/>
      </c>
      <c r="V112" s="80">
        <f>IF(AC112="Cancelled",0,ROUND(P112*S112,2))</f>
        <v/>
      </c>
      <c r="W112" s="80" t="inlineStr">
        <is>
          <t>No</t>
        </is>
      </c>
      <c r="X112" s="80" t="n">
        <v>0</v>
      </c>
      <c r="Y112" s="80">
        <f>IF(AC112="Cancelled",0,T112+U112+V112+Q112+X112)</f>
        <v/>
      </c>
      <c r="Z112" s="80">
        <f>IF(AC112="Cancelled",-Q112,S112-Y112)</f>
        <v/>
      </c>
      <c r="AA112" s="81">
        <f>IF(OR(AC112="Cancelled",S112=0),0,Z112/S112)</f>
        <v/>
      </c>
      <c r="AB112" s="82">
        <f>IFERROR(S112/Q112,0)</f>
        <v/>
      </c>
      <c r="AC112" s="56" t="inlineStr">
        <is>
          <t>Delivered</t>
        </is>
      </c>
    </row>
    <row r="113" ht="14.25" customHeight="1" s="57">
      <c r="A113" s="56" t="inlineStr">
        <is>
          <t>ORD-00367</t>
        </is>
      </c>
      <c r="B113" s="79" t="n">
        <v>45758</v>
      </c>
      <c r="C113" s="56" t="n">
        <v>2025</v>
      </c>
      <c r="D113" s="56" t="n">
        <v>4</v>
      </c>
      <c r="E113" s="56" t="inlineStr">
        <is>
          <t>UAE</t>
        </is>
      </c>
      <c r="F113" s="56" t="inlineStr">
        <is>
          <t>Dubai</t>
        </is>
      </c>
      <c r="G113" s="56" t="inlineStr">
        <is>
          <t>Organic Search</t>
        </is>
      </c>
      <c r="H113" s="56" t="inlineStr">
        <is>
          <t>Retargeting</t>
        </is>
      </c>
      <c r="I113" s="56" t="inlineStr">
        <is>
          <t>P007</t>
        </is>
      </c>
      <c r="J113" s="56" t="inlineStr">
        <is>
          <t>Pet Grooming Glove</t>
        </is>
      </c>
      <c r="K113" s="56" t="inlineStr">
        <is>
          <t>Pets</t>
        </is>
      </c>
      <c r="L113" s="56" t="inlineStr">
        <is>
          <t>Yiwu Pet Products</t>
        </is>
      </c>
      <c r="M113" s="80" t="n">
        <v>19.04</v>
      </c>
      <c r="N113" s="80" t="n">
        <v>3.66</v>
      </c>
      <c r="O113" s="80" t="n">
        <v>2.49</v>
      </c>
      <c r="P113" s="80" t="n">
        <v>0.03</v>
      </c>
      <c r="Q113" s="80" t="n">
        <v>0</v>
      </c>
      <c r="R113" s="80" t="n">
        <v>2</v>
      </c>
      <c r="S113" s="80">
        <f>IF(AC113="Cancelled",0,M113*R113)</f>
        <v/>
      </c>
      <c r="T113" s="80">
        <f>IF(AC113="Cancelled",0,N113*R113)</f>
        <v/>
      </c>
      <c r="U113" s="80">
        <f>IF(AC113="Cancelled",0,O113*R113)</f>
        <v/>
      </c>
      <c r="V113" s="80">
        <f>IF(AC113="Cancelled",0,ROUND(P113*S113,2))</f>
        <v/>
      </c>
      <c r="W113" s="80" t="inlineStr">
        <is>
          <t>No</t>
        </is>
      </c>
      <c r="X113" s="80" t="n">
        <v>0</v>
      </c>
      <c r="Y113" s="80">
        <f>IF(AC113="Cancelled",0,T113+U113+V113+Q113+X113)</f>
        <v/>
      </c>
      <c r="Z113" s="80">
        <f>IF(AC113="Cancelled",-Q113,S113-Y113)</f>
        <v/>
      </c>
      <c r="AA113" s="81">
        <f>IF(OR(AC113="Cancelled",S113=0),0,Z113/S113)</f>
        <v/>
      </c>
      <c r="AB113" s="82">
        <f>IFERROR(S113/Q113,0)</f>
        <v/>
      </c>
      <c r="AC113" s="56" t="inlineStr">
        <is>
          <t>Delivered</t>
        </is>
      </c>
    </row>
    <row r="114" ht="14.25" customHeight="1" s="57">
      <c r="A114" s="56" t="inlineStr">
        <is>
          <t>ORD-00077</t>
        </is>
      </c>
      <c r="B114" s="79" t="n">
        <v>45759</v>
      </c>
      <c r="C114" s="56" t="n">
        <v>2025</v>
      </c>
      <c r="D114" s="56" t="n">
        <v>4</v>
      </c>
      <c r="E114" s="56" t="inlineStr">
        <is>
          <t>UAE</t>
        </is>
      </c>
      <c r="F114" s="56" t="inlineStr">
        <is>
          <t>Abu Dhabi</t>
        </is>
      </c>
      <c r="G114" s="56" t="inlineStr">
        <is>
          <t>Influencer</t>
        </is>
      </c>
      <c r="H114" s="56" t="inlineStr">
        <is>
          <t>Summer Sale</t>
        </is>
      </c>
      <c r="I114" s="56" t="inlineStr">
        <is>
          <t>P006</t>
        </is>
      </c>
      <c r="J114" s="56" t="inlineStr">
        <is>
          <t>Posture Corrector</t>
        </is>
      </c>
      <c r="K114" s="56" t="inlineStr">
        <is>
          <t>Fitness</t>
        </is>
      </c>
      <c r="L114" s="56" t="inlineStr">
        <is>
          <t>Hangzhou Health Gear</t>
        </is>
      </c>
      <c r="M114" s="80" t="n">
        <v>37.52</v>
      </c>
      <c r="N114" s="80" t="n">
        <v>9.35</v>
      </c>
      <c r="O114" s="80" t="n">
        <v>4.17</v>
      </c>
      <c r="P114" s="80" t="n">
        <v>0.03</v>
      </c>
      <c r="Q114" s="80" t="n">
        <v>3.54</v>
      </c>
      <c r="R114" s="80" t="n">
        <v>1</v>
      </c>
      <c r="S114" s="80">
        <f>IF(AC114="Cancelled",0,M114*R114)</f>
        <v/>
      </c>
      <c r="T114" s="80">
        <f>IF(AC114="Cancelled",0,N114*R114)</f>
        <v/>
      </c>
      <c r="U114" s="80">
        <f>IF(AC114="Cancelled",0,O114*R114)</f>
        <v/>
      </c>
      <c r="V114" s="80">
        <f>IF(AC114="Cancelled",0,ROUND(P114*S114,2))</f>
        <v/>
      </c>
      <c r="W114" s="80" t="inlineStr">
        <is>
          <t>No</t>
        </is>
      </c>
      <c r="X114" s="80" t="n">
        <v>0</v>
      </c>
      <c r="Y114" s="80">
        <f>IF(AC114="Cancelled",0,T114+U114+V114+Q114+X114)</f>
        <v/>
      </c>
      <c r="Z114" s="80">
        <f>IF(AC114="Cancelled",-Q114,S114-Y114)</f>
        <v/>
      </c>
      <c r="AA114" s="81">
        <f>IF(OR(AC114="Cancelled",S114=0),0,Z114/S114)</f>
        <v/>
      </c>
      <c r="AB114" s="82">
        <f>IFERROR(S114/Q114,0)</f>
        <v/>
      </c>
      <c r="AC114" s="56" t="inlineStr">
        <is>
          <t>Delivered</t>
        </is>
      </c>
    </row>
    <row r="115" ht="14.25" customHeight="1" s="57">
      <c r="A115" s="56" t="inlineStr">
        <is>
          <t>ORD-00266</t>
        </is>
      </c>
      <c r="B115" s="79" t="n">
        <v>45764</v>
      </c>
      <c r="C115" s="56" t="n">
        <v>2025</v>
      </c>
      <c r="D115" s="56" t="n">
        <v>4</v>
      </c>
      <c r="E115" s="56" t="inlineStr">
        <is>
          <t>Kuwait</t>
        </is>
      </c>
      <c r="F115" s="56" t="inlineStr">
        <is>
          <t>Kuwait City</t>
        </is>
      </c>
      <c r="G115" s="56" t="inlineStr">
        <is>
          <t>TikTok Ads</t>
        </is>
      </c>
      <c r="H115" s="56" t="inlineStr">
        <is>
          <t>Retargeting</t>
        </is>
      </c>
      <c r="I115" s="56" t="inlineStr">
        <is>
          <t>P006</t>
        </is>
      </c>
      <c r="J115" s="56" t="inlineStr">
        <is>
          <t>Posture Corrector</t>
        </is>
      </c>
      <c r="K115" s="56" t="inlineStr">
        <is>
          <t>Fitness</t>
        </is>
      </c>
      <c r="L115" s="56" t="inlineStr">
        <is>
          <t>Hangzhou Health Gear</t>
        </is>
      </c>
      <c r="M115" s="80" t="n">
        <v>32.24</v>
      </c>
      <c r="N115" s="80" t="n">
        <v>8.890000000000001</v>
      </c>
      <c r="O115" s="80" t="n">
        <v>4.59</v>
      </c>
      <c r="P115" s="80" t="n">
        <v>0.03</v>
      </c>
      <c r="Q115" s="80" t="n">
        <v>20.35</v>
      </c>
      <c r="R115" s="80" t="n">
        <v>2</v>
      </c>
      <c r="S115" s="80">
        <f>IF(AC115="Cancelled",0,M115*R115)</f>
        <v/>
      </c>
      <c r="T115" s="80">
        <f>IF(AC115="Cancelled",0,N115*R115)</f>
        <v/>
      </c>
      <c r="U115" s="80">
        <f>IF(AC115="Cancelled",0,O115*R115)</f>
        <v/>
      </c>
      <c r="V115" s="80">
        <f>IF(AC115="Cancelled",0,ROUND(P115*S115,2))</f>
        <v/>
      </c>
      <c r="W115" s="80" t="inlineStr">
        <is>
          <t>No</t>
        </is>
      </c>
      <c r="X115" s="80" t="n">
        <v>0</v>
      </c>
      <c r="Y115" s="80">
        <f>IF(AC115="Cancelled",0,T115+U115+V115+Q115+X115)</f>
        <v/>
      </c>
      <c r="Z115" s="80">
        <f>IF(AC115="Cancelled",-Q115,S115-Y115)</f>
        <v/>
      </c>
      <c r="AA115" s="81">
        <f>IF(OR(AC115="Cancelled",S115=0),0,Z115/S115)</f>
        <v/>
      </c>
      <c r="AB115" s="82">
        <f>IFERROR(S115/Q115,0)</f>
        <v/>
      </c>
      <c r="AC115" s="56" t="inlineStr">
        <is>
          <t>Delivered</t>
        </is>
      </c>
    </row>
    <row r="116" ht="14.25" customHeight="1" s="57">
      <c r="A116" s="56" t="inlineStr">
        <is>
          <t>ORD-00382</t>
        </is>
      </c>
      <c r="B116" s="79" t="n">
        <v>45764</v>
      </c>
      <c r="C116" s="56" t="n">
        <v>2025</v>
      </c>
      <c r="D116" s="56" t="n">
        <v>4</v>
      </c>
      <c r="E116" s="56" t="inlineStr">
        <is>
          <t>Oman</t>
        </is>
      </c>
      <c r="F116" s="56" t="inlineStr">
        <is>
          <t>Muscat</t>
        </is>
      </c>
      <c r="G116" s="56" t="inlineStr">
        <is>
          <t>Meta Ads</t>
        </is>
      </c>
      <c r="H116" s="56" t="inlineStr">
        <is>
          <t>New Creative A/B</t>
        </is>
      </c>
      <c r="I116" s="56" t="inlineStr">
        <is>
          <t>P004</t>
        </is>
      </c>
      <c r="J116" s="56" t="inlineStr">
        <is>
          <t>Beauty Tool</t>
        </is>
      </c>
      <c r="K116" s="56" t="inlineStr">
        <is>
          <t>Beauty</t>
        </is>
      </c>
      <c r="L116" s="56" t="inlineStr">
        <is>
          <t>Ningbo Beauty Supply</t>
        </is>
      </c>
      <c r="M116" s="80" t="n">
        <v>28.39</v>
      </c>
      <c r="N116" s="80" t="n">
        <v>7.21</v>
      </c>
      <c r="O116" s="80" t="n">
        <v>4.9</v>
      </c>
      <c r="P116" s="80" t="n">
        <v>0.03</v>
      </c>
      <c r="Q116" s="80" t="n">
        <v>9.029999999999999</v>
      </c>
      <c r="R116" s="80" t="n">
        <v>2</v>
      </c>
      <c r="S116" s="80">
        <f>IF(AC116="Cancelled",0,M116*R116)</f>
        <v/>
      </c>
      <c r="T116" s="80">
        <f>IF(AC116="Cancelled",0,N116*R116)</f>
        <v/>
      </c>
      <c r="U116" s="80">
        <f>IF(AC116="Cancelled",0,O116*R116)</f>
        <v/>
      </c>
      <c r="V116" s="80">
        <f>IF(AC116="Cancelled",0,ROUND(P116*S116,2))</f>
        <v/>
      </c>
      <c r="W116" s="80" t="inlineStr">
        <is>
          <t>No</t>
        </is>
      </c>
      <c r="X116" s="80" t="n">
        <v>0</v>
      </c>
      <c r="Y116" s="80">
        <f>IF(AC116="Cancelled",0,T116+U116+V116+Q116+X116)</f>
        <v/>
      </c>
      <c r="Z116" s="80">
        <f>IF(AC116="Cancelled",-Q116,S116-Y116)</f>
        <v/>
      </c>
      <c r="AA116" s="81">
        <f>IF(OR(AC116="Cancelled",S116=0),0,Z116/S116)</f>
        <v/>
      </c>
      <c r="AB116" s="82">
        <f>IFERROR(S116/Q116,0)</f>
        <v/>
      </c>
      <c r="AC116" s="56" t="inlineStr">
        <is>
          <t>Delivered</t>
        </is>
      </c>
    </row>
    <row r="117" ht="14.25" customHeight="1" s="57">
      <c r="A117" s="56" t="inlineStr">
        <is>
          <t>ORD-00018</t>
        </is>
      </c>
      <c r="B117" s="79" t="n">
        <v>45765</v>
      </c>
      <c r="C117" s="56" t="n">
        <v>2025</v>
      </c>
      <c r="D117" s="56" t="n">
        <v>4</v>
      </c>
      <c r="E117" s="56" t="inlineStr">
        <is>
          <t>Kuwait</t>
        </is>
      </c>
      <c r="F117" s="56" t="inlineStr">
        <is>
          <t>Kuwait City</t>
        </is>
      </c>
      <c r="G117" s="56" t="inlineStr">
        <is>
          <t>Organic Search</t>
        </is>
      </c>
      <c r="H117" s="56" t="inlineStr">
        <is>
          <t>Launch Test</t>
        </is>
      </c>
      <c r="I117" s="56" t="inlineStr">
        <is>
          <t>P007</t>
        </is>
      </c>
      <c r="J117" s="56" t="inlineStr">
        <is>
          <t>Pet Grooming Glove</t>
        </is>
      </c>
      <c r="K117" s="56" t="inlineStr">
        <is>
          <t>Pets</t>
        </is>
      </c>
      <c r="L117" s="56" t="inlineStr">
        <is>
          <t>Yiwu Pet Products</t>
        </is>
      </c>
      <c r="M117" s="80" t="n">
        <v>20.86</v>
      </c>
      <c r="N117" s="80" t="n">
        <v>3.36</v>
      </c>
      <c r="O117" s="80" t="n">
        <v>2.51</v>
      </c>
      <c r="P117" s="80" t="n">
        <v>0.03</v>
      </c>
      <c r="Q117" s="80" t="n">
        <v>0</v>
      </c>
      <c r="R117" s="80" t="n">
        <v>2</v>
      </c>
      <c r="S117" s="80">
        <f>IF(AC117="Cancelled",0,M117*R117)</f>
        <v/>
      </c>
      <c r="T117" s="80">
        <f>IF(AC117="Cancelled",0,N117*R117)</f>
        <v/>
      </c>
      <c r="U117" s="80">
        <f>IF(AC117="Cancelled",0,O117*R117)</f>
        <v/>
      </c>
      <c r="V117" s="80">
        <f>IF(AC117="Cancelled",0,ROUND(P117*S117,2))</f>
        <v/>
      </c>
      <c r="W117" s="80" t="inlineStr">
        <is>
          <t>No</t>
        </is>
      </c>
      <c r="X117" s="80" t="n">
        <v>0</v>
      </c>
      <c r="Y117" s="80">
        <f>IF(AC117="Cancelled",0,T117+U117+V117+Q117+X117)</f>
        <v/>
      </c>
      <c r="Z117" s="80">
        <f>IF(AC117="Cancelled",-Q117,S117-Y117)</f>
        <v/>
      </c>
      <c r="AA117" s="81">
        <f>IF(OR(AC117="Cancelled",S117=0),0,Z117/S117)</f>
        <v/>
      </c>
      <c r="AB117" s="82">
        <f>IFERROR(S117/Q117,0)</f>
        <v/>
      </c>
      <c r="AC117" s="56" t="inlineStr">
        <is>
          <t>Delivered</t>
        </is>
      </c>
    </row>
    <row r="118" ht="14.25" customHeight="1" s="57">
      <c r="A118" s="56" t="inlineStr">
        <is>
          <t>ORD-00255</t>
        </is>
      </c>
      <c r="B118" s="79" t="n">
        <v>45765</v>
      </c>
      <c r="C118" s="56" t="n">
        <v>2025</v>
      </c>
      <c r="D118" s="56" t="n">
        <v>4</v>
      </c>
      <c r="E118" s="56" t="inlineStr">
        <is>
          <t>Qatar</t>
        </is>
      </c>
      <c r="F118" s="56" t="inlineStr">
        <is>
          <t>Doha</t>
        </is>
      </c>
      <c r="G118" s="56" t="inlineStr">
        <is>
          <t>Organic Search</t>
        </is>
      </c>
      <c r="H118" s="56" t="inlineStr">
        <is>
          <t>Bundle Promo</t>
        </is>
      </c>
      <c r="I118" s="56" t="inlineStr">
        <is>
          <t>P007</t>
        </is>
      </c>
      <c r="J118" s="56" t="inlineStr">
        <is>
          <t>Pet Grooming Glove</t>
        </is>
      </c>
      <c r="K118" s="56" t="inlineStr">
        <is>
          <t>Pets</t>
        </is>
      </c>
      <c r="L118" s="56" t="inlineStr">
        <is>
          <t>Yiwu Pet Products</t>
        </is>
      </c>
      <c r="M118" s="80" t="n">
        <v>21.68</v>
      </c>
      <c r="N118" s="80" t="n">
        <v>3.69</v>
      </c>
      <c r="O118" s="80" t="n">
        <v>2.64</v>
      </c>
      <c r="P118" s="80" t="n">
        <v>0.03</v>
      </c>
      <c r="Q118" s="80" t="n">
        <v>0</v>
      </c>
      <c r="R118" s="80" t="n">
        <v>1</v>
      </c>
      <c r="S118" s="80">
        <f>IF(AC118="Cancelled",0,M118*R118)</f>
        <v/>
      </c>
      <c r="T118" s="80">
        <f>IF(AC118="Cancelled",0,N118*R118)</f>
        <v/>
      </c>
      <c r="U118" s="80">
        <f>IF(AC118="Cancelled",0,O118*R118)</f>
        <v/>
      </c>
      <c r="V118" s="80">
        <f>IF(AC118="Cancelled",0,ROUND(P118*S118,2))</f>
        <v/>
      </c>
      <c r="W118" s="80" t="inlineStr">
        <is>
          <t>No</t>
        </is>
      </c>
      <c r="X118" s="80" t="n">
        <v>0</v>
      </c>
      <c r="Y118" s="80">
        <f>IF(AC118="Cancelled",0,T118+U118+V118+Q118+X118)</f>
        <v/>
      </c>
      <c r="Z118" s="80">
        <f>IF(AC118="Cancelled",-Q118,S118-Y118)</f>
        <v/>
      </c>
      <c r="AA118" s="81">
        <f>IF(OR(AC118="Cancelled",S118=0),0,Z118/S118)</f>
        <v/>
      </c>
      <c r="AB118" s="82">
        <f>IFERROR(S118/Q118,0)</f>
        <v/>
      </c>
      <c r="AC118" s="56" t="inlineStr">
        <is>
          <t>Delivered</t>
        </is>
      </c>
    </row>
    <row r="119" ht="14.25" customHeight="1" s="57">
      <c r="A119" s="56" t="inlineStr">
        <is>
          <t>ORD-00286</t>
        </is>
      </c>
      <c r="B119" s="79" t="n">
        <v>45765</v>
      </c>
      <c r="C119" s="56" t="n">
        <v>2025</v>
      </c>
      <c r="D119" s="56" t="n">
        <v>4</v>
      </c>
      <c r="E119" s="56" t="inlineStr">
        <is>
          <t>UAE</t>
        </is>
      </c>
      <c r="F119" s="56" t="inlineStr">
        <is>
          <t>Sharjah</t>
        </is>
      </c>
      <c r="G119" s="56" t="inlineStr">
        <is>
          <t>TikTok Ads</t>
        </is>
      </c>
      <c r="H119" s="56" t="inlineStr">
        <is>
          <t>Summer Sale</t>
        </is>
      </c>
      <c r="I119" s="56" t="inlineStr">
        <is>
          <t>P005</t>
        </is>
      </c>
      <c r="J119" s="56" t="inlineStr">
        <is>
          <t>Mini Printer</t>
        </is>
      </c>
      <c r="K119" s="56" t="inlineStr">
        <is>
          <t>Electronics</t>
        </is>
      </c>
      <c r="L119" s="56" t="inlineStr">
        <is>
          <t>Shenzhen Print Tech</t>
        </is>
      </c>
      <c r="M119" s="80" t="n">
        <v>65.31999999999999</v>
      </c>
      <c r="N119" s="80" t="n">
        <v>22.49</v>
      </c>
      <c r="O119" s="80" t="n">
        <v>7.33</v>
      </c>
      <c r="P119" s="80" t="n">
        <v>0.03</v>
      </c>
      <c r="Q119" s="80" t="n">
        <v>3.43</v>
      </c>
      <c r="R119" s="80" t="n">
        <v>1</v>
      </c>
      <c r="S119" s="80">
        <f>IF(AC119="Cancelled",0,M119*R119)</f>
        <v/>
      </c>
      <c r="T119" s="80">
        <f>IF(AC119="Cancelled",0,N119*R119)</f>
        <v/>
      </c>
      <c r="U119" s="80">
        <f>IF(AC119="Cancelled",0,O119*R119)</f>
        <v/>
      </c>
      <c r="V119" s="80">
        <f>IF(AC119="Cancelled",0,ROUND(P119*S119,2))</f>
        <v/>
      </c>
      <c r="W119" s="80" t="inlineStr">
        <is>
          <t>No</t>
        </is>
      </c>
      <c r="X119" s="80" t="n">
        <v>0</v>
      </c>
      <c r="Y119" s="80">
        <f>IF(AC119="Cancelled",0,T119+U119+V119+Q119+X119)</f>
        <v/>
      </c>
      <c r="Z119" s="80">
        <f>IF(AC119="Cancelled",-Q119,S119-Y119)</f>
        <v/>
      </c>
      <c r="AA119" s="81">
        <f>IF(OR(AC119="Cancelled",S119=0),0,Z119/S119)</f>
        <v/>
      </c>
      <c r="AB119" s="82">
        <f>IFERROR(S119/Q119,0)</f>
        <v/>
      </c>
      <c r="AC119" s="56" t="inlineStr">
        <is>
          <t>Delivered</t>
        </is>
      </c>
    </row>
    <row r="120" ht="14.25" customHeight="1" s="57">
      <c r="A120" s="56" t="inlineStr">
        <is>
          <t>ORD-00335</t>
        </is>
      </c>
      <c r="B120" s="79" t="n">
        <v>45766</v>
      </c>
      <c r="C120" s="56" t="n">
        <v>2025</v>
      </c>
      <c r="D120" s="56" t="n">
        <v>4</v>
      </c>
      <c r="E120" s="56" t="inlineStr">
        <is>
          <t>Saudi Arabia</t>
        </is>
      </c>
      <c r="F120" s="56" t="inlineStr">
        <is>
          <t>Jeddah</t>
        </is>
      </c>
      <c r="G120" s="56" t="inlineStr">
        <is>
          <t>Influencer</t>
        </is>
      </c>
      <c r="H120" s="56" t="inlineStr">
        <is>
          <t>Bundle Promo</t>
        </is>
      </c>
      <c r="I120" s="56" t="inlineStr">
        <is>
          <t>P001</t>
        </is>
      </c>
      <c r="J120" s="56" t="inlineStr">
        <is>
          <t>Wireless Earbuds</t>
        </is>
      </c>
      <c r="K120" s="56" t="inlineStr">
        <is>
          <t>Electronics</t>
        </is>
      </c>
      <c r="L120" s="56" t="inlineStr">
        <is>
          <t>Shenzhen Audio Co.</t>
        </is>
      </c>
      <c r="M120" s="80" t="n">
        <v>37.9</v>
      </c>
      <c r="N120" s="80" t="n">
        <v>8.31</v>
      </c>
      <c r="O120" s="80" t="n">
        <v>4.26</v>
      </c>
      <c r="P120" s="80" t="n">
        <v>0.03</v>
      </c>
      <c r="Q120" s="80" t="n">
        <v>17.11</v>
      </c>
      <c r="R120" s="80" t="n">
        <v>2</v>
      </c>
      <c r="S120" s="80">
        <f>IF(AC120="Cancelled",0,M120*R120)</f>
        <v/>
      </c>
      <c r="T120" s="80">
        <f>IF(AC120="Cancelled",0,N120*R120)</f>
        <v/>
      </c>
      <c r="U120" s="80">
        <f>IF(AC120="Cancelled",0,O120*R120)</f>
        <v/>
      </c>
      <c r="V120" s="80">
        <f>IF(AC120="Cancelled",0,ROUND(P120*S120,2))</f>
        <v/>
      </c>
      <c r="W120" s="80" t="inlineStr">
        <is>
          <t>No</t>
        </is>
      </c>
      <c r="X120" s="80" t="n">
        <v>0</v>
      </c>
      <c r="Y120" s="80">
        <f>IF(AC120="Cancelled",0,T120+U120+V120+Q120+X120)</f>
        <v/>
      </c>
      <c r="Z120" s="80">
        <f>IF(AC120="Cancelled",-Q120,S120-Y120)</f>
        <v/>
      </c>
      <c r="AA120" s="81">
        <f>IF(OR(AC120="Cancelled",S120=0),0,Z120/S120)</f>
        <v/>
      </c>
      <c r="AB120" s="82">
        <f>IFERROR(S120/Q120,0)</f>
        <v/>
      </c>
      <c r="AC120" s="56" t="inlineStr">
        <is>
          <t>Delivered</t>
        </is>
      </c>
    </row>
    <row r="121" ht="14.25" customHeight="1" s="57">
      <c r="A121" s="56" t="inlineStr">
        <is>
          <t>ORD-00333</t>
        </is>
      </c>
      <c r="B121" s="79" t="n">
        <v>45768</v>
      </c>
      <c r="C121" s="56" t="n">
        <v>2025</v>
      </c>
      <c r="D121" s="56" t="n">
        <v>4</v>
      </c>
      <c r="E121" s="56" t="inlineStr">
        <is>
          <t>Saudi Arabia</t>
        </is>
      </c>
      <c r="F121" s="56" t="inlineStr">
        <is>
          <t>Jeddah</t>
        </is>
      </c>
      <c r="G121" s="56" t="inlineStr">
        <is>
          <t>Meta Ads</t>
        </is>
      </c>
      <c r="H121" s="56" t="inlineStr">
        <is>
          <t>Bundle Promo</t>
        </is>
      </c>
      <c r="I121" s="56" t="inlineStr">
        <is>
          <t>P005</t>
        </is>
      </c>
      <c r="J121" s="56" t="inlineStr">
        <is>
          <t>Mini Printer</t>
        </is>
      </c>
      <c r="K121" s="56" t="inlineStr">
        <is>
          <t>Electronics</t>
        </is>
      </c>
      <c r="L121" s="56" t="inlineStr">
        <is>
          <t>Shenzhen Print Tech</t>
        </is>
      </c>
      <c r="M121" s="80" t="n">
        <v>63.39</v>
      </c>
      <c r="N121" s="80" t="n">
        <v>23.22</v>
      </c>
      <c r="O121" s="80" t="n">
        <v>7.46</v>
      </c>
      <c r="P121" s="80" t="n">
        <v>0.03</v>
      </c>
      <c r="Q121" s="80" t="n">
        <v>13.41</v>
      </c>
      <c r="R121" s="80" t="n">
        <v>3</v>
      </c>
      <c r="S121" s="80">
        <f>IF(AC121="Cancelled",0,M121*R121)</f>
        <v/>
      </c>
      <c r="T121" s="80">
        <f>IF(AC121="Cancelled",0,N121*R121)</f>
        <v/>
      </c>
      <c r="U121" s="80">
        <f>IF(AC121="Cancelled",0,O121*R121)</f>
        <v/>
      </c>
      <c r="V121" s="80">
        <f>IF(AC121="Cancelled",0,ROUND(P121*S121,2))</f>
        <v/>
      </c>
      <c r="W121" s="80" t="inlineStr">
        <is>
          <t>No</t>
        </is>
      </c>
      <c r="X121" s="80" t="n">
        <v>0</v>
      </c>
      <c r="Y121" s="80">
        <f>IF(AC121="Cancelled",0,T121+U121+V121+Q121+X121)</f>
        <v/>
      </c>
      <c r="Z121" s="80">
        <f>IF(AC121="Cancelled",-Q121,S121-Y121)</f>
        <v/>
      </c>
      <c r="AA121" s="81">
        <f>IF(OR(AC121="Cancelled",S121=0),0,Z121/S121)</f>
        <v/>
      </c>
      <c r="AB121" s="82">
        <f>IFERROR(S121/Q121,0)</f>
        <v/>
      </c>
      <c r="AC121" s="56" t="inlineStr">
        <is>
          <t>Delivered</t>
        </is>
      </c>
    </row>
    <row r="122" ht="14.25" customHeight="1" s="57">
      <c r="A122" s="56" t="inlineStr">
        <is>
          <t>ORD-00345</t>
        </is>
      </c>
      <c r="B122" s="79" t="n">
        <v>45770</v>
      </c>
      <c r="C122" s="56" t="n">
        <v>2025</v>
      </c>
      <c r="D122" s="56" t="n">
        <v>4</v>
      </c>
      <c r="E122" s="56" t="inlineStr">
        <is>
          <t>Saudi Arabia</t>
        </is>
      </c>
      <c r="F122" s="56" t="inlineStr">
        <is>
          <t>Riyadh</t>
        </is>
      </c>
      <c r="G122" s="56" t="inlineStr">
        <is>
          <t>TikTok Ads</t>
        </is>
      </c>
      <c r="H122" s="56" t="inlineStr">
        <is>
          <t>New Creative A/B</t>
        </is>
      </c>
      <c r="I122" s="56" t="inlineStr">
        <is>
          <t>P007</t>
        </is>
      </c>
      <c r="J122" s="56" t="inlineStr">
        <is>
          <t>Pet Grooming Glove</t>
        </is>
      </c>
      <c r="K122" s="56" t="inlineStr">
        <is>
          <t>Pets</t>
        </is>
      </c>
      <c r="L122" s="56" t="inlineStr">
        <is>
          <t>Yiwu Pet Products</t>
        </is>
      </c>
      <c r="M122" s="80" t="n">
        <v>21.71</v>
      </c>
      <c r="N122" s="80" t="n">
        <v>3.61</v>
      </c>
      <c r="O122" s="80" t="n">
        <v>2.77</v>
      </c>
      <c r="P122" s="80" t="n">
        <v>0.03</v>
      </c>
      <c r="Q122" s="80" t="n">
        <v>17.42</v>
      </c>
      <c r="R122" s="80" t="n">
        <v>2</v>
      </c>
      <c r="S122" s="80">
        <f>IF(AC122="Cancelled",0,M122*R122)</f>
        <v/>
      </c>
      <c r="T122" s="80">
        <f>IF(AC122="Cancelled",0,N122*R122)</f>
        <v/>
      </c>
      <c r="U122" s="80">
        <f>IF(AC122="Cancelled",0,O122*R122)</f>
        <v/>
      </c>
      <c r="V122" s="80">
        <f>IF(AC122="Cancelled",0,ROUND(P122*S122,2))</f>
        <v/>
      </c>
      <c r="W122" s="80" t="inlineStr">
        <is>
          <t>No</t>
        </is>
      </c>
      <c r="X122" s="80" t="n">
        <v>0</v>
      </c>
      <c r="Y122" s="80">
        <f>IF(AC122="Cancelled",0,T122+U122+V122+Q122+X122)</f>
        <v/>
      </c>
      <c r="Z122" s="80">
        <f>IF(AC122="Cancelled",-Q122,S122-Y122)</f>
        <v/>
      </c>
      <c r="AA122" s="81">
        <f>IF(OR(AC122="Cancelled",S122=0),0,Z122/S122)</f>
        <v/>
      </c>
      <c r="AB122" s="82">
        <f>IFERROR(S122/Q122,0)</f>
        <v/>
      </c>
      <c r="AC122" s="56" t="inlineStr">
        <is>
          <t>Delivered</t>
        </is>
      </c>
    </row>
    <row r="123" ht="14.25" customHeight="1" s="57">
      <c r="A123" s="56" t="inlineStr">
        <is>
          <t>ORD-00425</t>
        </is>
      </c>
      <c r="B123" s="79" t="n">
        <v>45770</v>
      </c>
      <c r="C123" s="56" t="n">
        <v>2025</v>
      </c>
      <c r="D123" s="56" t="n">
        <v>4</v>
      </c>
      <c r="E123" s="56" t="inlineStr">
        <is>
          <t>Oman</t>
        </is>
      </c>
      <c r="F123" s="56" t="inlineStr">
        <is>
          <t>Muscat</t>
        </is>
      </c>
      <c r="G123" s="56" t="inlineStr">
        <is>
          <t>Meta Ads</t>
        </is>
      </c>
      <c r="H123" s="56" t="inlineStr">
        <is>
          <t>Retargeting</t>
        </is>
      </c>
      <c r="I123" s="56" t="inlineStr">
        <is>
          <t>P008</t>
        </is>
      </c>
      <c r="J123" s="56" t="inlineStr">
        <is>
          <t>Portable Blender</t>
        </is>
      </c>
      <c r="K123" s="56" t="inlineStr">
        <is>
          <t>Kitchen</t>
        </is>
      </c>
      <c r="L123" s="56" t="inlineStr">
        <is>
          <t>Foshan Appliances</t>
        </is>
      </c>
      <c r="M123" s="80" t="n">
        <v>47.47</v>
      </c>
      <c r="N123" s="80" t="n">
        <v>15.46</v>
      </c>
      <c r="O123" s="80" t="n">
        <v>6.81</v>
      </c>
      <c r="P123" s="80" t="n">
        <v>0.03</v>
      </c>
      <c r="Q123" s="80" t="n">
        <v>19.52</v>
      </c>
      <c r="R123" s="80" t="n">
        <v>3</v>
      </c>
      <c r="S123" s="80">
        <f>IF(AC123="Cancelled",0,M123*R123)</f>
        <v/>
      </c>
      <c r="T123" s="80">
        <f>IF(AC123="Cancelled",0,N123*R123)</f>
        <v/>
      </c>
      <c r="U123" s="80">
        <f>IF(AC123="Cancelled",0,O123*R123)</f>
        <v/>
      </c>
      <c r="V123" s="80">
        <f>IF(AC123="Cancelled",0,ROUND(P123*S123,2))</f>
        <v/>
      </c>
      <c r="W123" s="80" t="inlineStr">
        <is>
          <t>No</t>
        </is>
      </c>
      <c r="X123" s="80" t="n">
        <v>0</v>
      </c>
      <c r="Y123" s="80">
        <f>IF(AC123="Cancelled",0,T123+U123+V123+Q123+X123)</f>
        <v/>
      </c>
      <c r="Z123" s="80">
        <f>IF(AC123="Cancelled",-Q123,S123-Y123)</f>
        <v/>
      </c>
      <c r="AA123" s="81">
        <f>IF(OR(AC123="Cancelled",S123=0),0,Z123/S123)</f>
        <v/>
      </c>
      <c r="AB123" s="82">
        <f>IFERROR(S123/Q123,0)</f>
        <v/>
      </c>
      <c r="AC123" s="56" t="inlineStr">
        <is>
          <t>Delivered</t>
        </is>
      </c>
    </row>
    <row r="124" ht="14.25" customHeight="1" s="57">
      <c r="A124" s="56" t="inlineStr">
        <is>
          <t>ORD-00226</t>
        </is>
      </c>
      <c r="B124" s="79" t="n">
        <v>45771</v>
      </c>
      <c r="C124" s="56" t="n">
        <v>2025</v>
      </c>
      <c r="D124" s="56" t="n">
        <v>4</v>
      </c>
      <c r="E124" s="56" t="inlineStr">
        <is>
          <t>UAE</t>
        </is>
      </c>
      <c r="F124" s="56" t="inlineStr">
        <is>
          <t>Sharjah</t>
        </is>
      </c>
      <c r="G124" s="56" t="inlineStr">
        <is>
          <t>Google Ads</t>
        </is>
      </c>
      <c r="H124" s="56" t="inlineStr">
        <is>
          <t>Bundle Promo</t>
        </is>
      </c>
      <c r="I124" s="56" t="inlineStr">
        <is>
          <t>P002</t>
        </is>
      </c>
      <c r="J124" s="56" t="inlineStr">
        <is>
          <t>Phone Case</t>
        </is>
      </c>
      <c r="K124" s="56" t="inlineStr">
        <is>
          <t>Accessories</t>
        </is>
      </c>
      <c r="L124" s="56" t="inlineStr">
        <is>
          <t>Guangzhou Cases Ltd.</t>
        </is>
      </c>
      <c r="M124" s="80" t="n">
        <v>15.07</v>
      </c>
      <c r="N124" s="80" t="n">
        <v>2</v>
      </c>
      <c r="O124" s="80" t="n">
        <v>1.8</v>
      </c>
      <c r="P124" s="80" t="n">
        <v>0.03</v>
      </c>
      <c r="Q124" s="80" t="n">
        <v>9.710000000000001</v>
      </c>
      <c r="R124" s="80" t="n">
        <v>1</v>
      </c>
      <c r="S124" s="80">
        <f>IF(AC124="Cancelled",0,M124*R124)</f>
        <v/>
      </c>
      <c r="T124" s="80">
        <f>IF(AC124="Cancelled",0,N124*R124)</f>
        <v/>
      </c>
      <c r="U124" s="80">
        <f>IF(AC124="Cancelled",0,O124*R124)</f>
        <v/>
      </c>
      <c r="V124" s="80">
        <f>IF(AC124="Cancelled",0,ROUND(P124*S124,2))</f>
        <v/>
      </c>
      <c r="W124" s="80" t="inlineStr">
        <is>
          <t>No</t>
        </is>
      </c>
      <c r="X124" s="80" t="n">
        <v>0</v>
      </c>
      <c r="Y124" s="80">
        <f>IF(AC124="Cancelled",0,T124+U124+V124+Q124+X124)</f>
        <v/>
      </c>
      <c r="Z124" s="80">
        <f>IF(AC124="Cancelled",-Q124,S124-Y124)</f>
        <v/>
      </c>
      <c r="AA124" s="81">
        <f>IF(OR(AC124="Cancelled",S124=0),0,Z124/S124)</f>
        <v/>
      </c>
      <c r="AB124" s="82">
        <f>IFERROR(S124/Q124,0)</f>
        <v/>
      </c>
      <c r="AC124" s="56" t="inlineStr">
        <is>
          <t>Delivered</t>
        </is>
      </c>
    </row>
    <row r="125" ht="14.25" customHeight="1" s="57">
      <c r="A125" s="56" t="inlineStr">
        <is>
          <t>ORD-00254</t>
        </is>
      </c>
      <c r="B125" s="79" t="n">
        <v>45772</v>
      </c>
      <c r="C125" s="56" t="n">
        <v>2025</v>
      </c>
      <c r="D125" s="56" t="n">
        <v>4</v>
      </c>
      <c r="E125" s="56" t="inlineStr">
        <is>
          <t>Saudi Arabia</t>
        </is>
      </c>
      <c r="F125" s="56" t="inlineStr">
        <is>
          <t>Jeddah</t>
        </is>
      </c>
      <c r="G125" s="56" t="inlineStr">
        <is>
          <t>Email</t>
        </is>
      </c>
      <c r="H125" s="56" t="inlineStr">
        <is>
          <t>Bundle Promo</t>
        </is>
      </c>
      <c r="I125" s="56" t="inlineStr">
        <is>
          <t>P004</t>
        </is>
      </c>
      <c r="J125" s="56" t="inlineStr">
        <is>
          <t>Beauty Tool</t>
        </is>
      </c>
      <c r="K125" s="56" t="inlineStr">
        <is>
          <t>Beauty</t>
        </is>
      </c>
      <c r="L125" s="56" t="inlineStr">
        <is>
          <t>Ningbo Beauty Supply</t>
        </is>
      </c>
      <c r="M125" s="80" t="n">
        <v>32.83</v>
      </c>
      <c r="N125" s="80" t="n">
        <v>7.29</v>
      </c>
      <c r="O125" s="80" t="n">
        <v>4.4</v>
      </c>
      <c r="P125" s="80" t="n">
        <v>0.03</v>
      </c>
      <c r="Q125" s="80" t="n">
        <v>18.42</v>
      </c>
      <c r="R125" s="80" t="n">
        <v>2</v>
      </c>
      <c r="S125" s="80">
        <f>IF(AC125="Cancelled",0,M125*R125)</f>
        <v/>
      </c>
      <c r="T125" s="80">
        <f>IF(AC125="Cancelled",0,N125*R125)</f>
        <v/>
      </c>
      <c r="U125" s="80">
        <f>IF(AC125="Cancelled",0,O125*R125)</f>
        <v/>
      </c>
      <c r="V125" s="80">
        <f>IF(AC125="Cancelled",0,ROUND(P125*S125,2))</f>
        <v/>
      </c>
      <c r="W125" s="80" t="inlineStr">
        <is>
          <t>No</t>
        </is>
      </c>
      <c r="X125" s="80" t="n">
        <v>0</v>
      </c>
      <c r="Y125" s="80">
        <f>IF(AC125="Cancelled",0,T125+U125+V125+Q125+X125)</f>
        <v/>
      </c>
      <c r="Z125" s="80">
        <f>IF(AC125="Cancelled",-Q125,S125-Y125)</f>
        <v/>
      </c>
      <c r="AA125" s="81">
        <f>IF(OR(AC125="Cancelled",S125=0),0,Z125/S125)</f>
        <v/>
      </c>
      <c r="AB125" s="82">
        <f>IFERROR(S125/Q125,0)</f>
        <v/>
      </c>
      <c r="AC125" s="56" t="inlineStr">
        <is>
          <t>Delivered</t>
        </is>
      </c>
    </row>
    <row r="126" ht="14.25" customHeight="1" s="57">
      <c r="A126" s="56" t="inlineStr">
        <is>
          <t>ORD-00407</t>
        </is>
      </c>
      <c r="B126" s="79" t="n">
        <v>45772</v>
      </c>
      <c r="C126" s="56" t="n">
        <v>2025</v>
      </c>
      <c r="D126" s="56" t="n">
        <v>4</v>
      </c>
      <c r="E126" s="56" t="inlineStr">
        <is>
          <t>UAE</t>
        </is>
      </c>
      <c r="F126" s="56" t="inlineStr">
        <is>
          <t>Abu Dhabi</t>
        </is>
      </c>
      <c r="G126" s="56" t="inlineStr">
        <is>
          <t>Organic Search</t>
        </is>
      </c>
      <c r="H126" s="56" t="inlineStr">
        <is>
          <t>Summer Sale</t>
        </is>
      </c>
      <c r="I126" s="56" t="inlineStr">
        <is>
          <t>P008</t>
        </is>
      </c>
      <c r="J126" s="56" t="inlineStr">
        <is>
          <t>Portable Blender</t>
        </is>
      </c>
      <c r="K126" s="56" t="inlineStr">
        <is>
          <t>Kitchen</t>
        </is>
      </c>
      <c r="L126" s="56" t="inlineStr">
        <is>
          <t>Foshan Appliances</t>
        </is>
      </c>
      <c r="M126" s="80" t="n">
        <v>51.64</v>
      </c>
      <c r="N126" s="80" t="n">
        <v>16.29</v>
      </c>
      <c r="O126" s="80" t="n">
        <v>6.23</v>
      </c>
      <c r="P126" s="80" t="n">
        <v>0.03</v>
      </c>
      <c r="Q126" s="80" t="n">
        <v>0</v>
      </c>
      <c r="R126" s="80" t="n">
        <v>1</v>
      </c>
      <c r="S126" s="80">
        <f>IF(AC126="Cancelled",0,M126*R126)</f>
        <v/>
      </c>
      <c r="T126" s="80">
        <f>IF(AC126="Cancelled",0,N126*R126)</f>
        <v/>
      </c>
      <c r="U126" s="80">
        <f>IF(AC126="Cancelled",0,O126*R126)</f>
        <v/>
      </c>
      <c r="V126" s="80">
        <f>IF(AC126="Cancelled",0,ROUND(P126*S126,2))</f>
        <v/>
      </c>
      <c r="W126" s="80" t="inlineStr">
        <is>
          <t>No</t>
        </is>
      </c>
      <c r="X126" s="80" t="n">
        <v>0</v>
      </c>
      <c r="Y126" s="80">
        <f>IF(AC126="Cancelled",0,T126+U126+V126+Q126+X126)</f>
        <v/>
      </c>
      <c r="Z126" s="80">
        <f>IF(AC126="Cancelled",-Q126,S126-Y126)</f>
        <v/>
      </c>
      <c r="AA126" s="81">
        <f>IF(OR(AC126="Cancelled",S126=0),0,Z126/S126)</f>
        <v/>
      </c>
      <c r="AB126" s="82">
        <f>IFERROR(S126/Q126,0)</f>
        <v/>
      </c>
      <c r="AC126" s="56" t="inlineStr">
        <is>
          <t>Delivered</t>
        </is>
      </c>
    </row>
    <row r="127" ht="14.25" customHeight="1" s="57">
      <c r="A127" s="56" t="inlineStr">
        <is>
          <t>ORD-00173</t>
        </is>
      </c>
      <c r="B127" s="79" t="n">
        <v>45775</v>
      </c>
      <c r="C127" s="56" t="n">
        <v>2025</v>
      </c>
      <c r="D127" s="56" t="n">
        <v>4</v>
      </c>
      <c r="E127" s="56" t="inlineStr">
        <is>
          <t>Saudi Arabia</t>
        </is>
      </c>
      <c r="F127" s="56" t="inlineStr">
        <is>
          <t>Jeddah</t>
        </is>
      </c>
      <c r="G127" s="56" t="inlineStr">
        <is>
          <t>Influencer</t>
        </is>
      </c>
      <c r="H127" s="56" t="inlineStr">
        <is>
          <t>New Creative A/B</t>
        </is>
      </c>
      <c r="I127" s="56" t="inlineStr">
        <is>
          <t>P010</t>
        </is>
      </c>
      <c r="J127" s="56" t="inlineStr">
        <is>
          <t>Smart Water Bottle</t>
        </is>
      </c>
      <c r="K127" s="56" t="inlineStr">
        <is>
          <t>Lifestyle</t>
        </is>
      </c>
      <c r="L127" s="56" t="inlineStr">
        <is>
          <t>Shenzhen Smart Home</t>
        </is>
      </c>
      <c r="M127" s="80" t="n">
        <v>30.38</v>
      </c>
      <c r="N127" s="80" t="n">
        <v>10.49</v>
      </c>
      <c r="O127" s="80" t="n">
        <v>4.21</v>
      </c>
      <c r="P127" s="80" t="n">
        <v>0.03</v>
      </c>
      <c r="Q127" s="80" t="n">
        <v>5.29</v>
      </c>
      <c r="R127" s="80" t="n">
        <v>2</v>
      </c>
      <c r="S127" s="80">
        <f>IF(AC127="Cancelled",0,M127*R127)</f>
        <v/>
      </c>
      <c r="T127" s="80">
        <f>IF(AC127="Cancelled",0,N127*R127)</f>
        <v/>
      </c>
      <c r="U127" s="80">
        <f>IF(AC127="Cancelled",0,O127*R127)</f>
        <v/>
      </c>
      <c r="V127" s="80">
        <f>IF(AC127="Cancelled",0,ROUND(P127*S127,2))</f>
        <v/>
      </c>
      <c r="W127" s="80" t="inlineStr">
        <is>
          <t>No</t>
        </is>
      </c>
      <c r="X127" s="80" t="n">
        <v>0</v>
      </c>
      <c r="Y127" s="80">
        <f>IF(AC127="Cancelled",0,T127+U127+V127+Q127+X127)</f>
        <v/>
      </c>
      <c r="Z127" s="80">
        <f>IF(AC127="Cancelled",-Q127,S127-Y127)</f>
        <v/>
      </c>
      <c r="AA127" s="81">
        <f>IF(OR(AC127="Cancelled",S127=0),0,Z127/S127)</f>
        <v/>
      </c>
      <c r="AB127" s="82">
        <f>IFERROR(S127/Q127,0)</f>
        <v/>
      </c>
      <c r="AC127" s="56" t="inlineStr">
        <is>
          <t>Delivered</t>
        </is>
      </c>
    </row>
    <row r="128" ht="14.25" customHeight="1" s="57">
      <c r="A128" s="56" t="inlineStr">
        <is>
          <t>ORD-00346</t>
        </is>
      </c>
      <c r="B128" s="79" t="n">
        <v>45777</v>
      </c>
      <c r="C128" s="56" t="n">
        <v>2025</v>
      </c>
      <c r="D128" s="56" t="n">
        <v>4</v>
      </c>
      <c r="E128" s="56" t="inlineStr">
        <is>
          <t>Qatar</t>
        </is>
      </c>
      <c r="F128" s="56" t="inlineStr">
        <is>
          <t>Doha</t>
        </is>
      </c>
      <c r="G128" s="56" t="inlineStr">
        <is>
          <t>TikTok Ads</t>
        </is>
      </c>
      <c r="H128" s="56" t="inlineStr">
        <is>
          <t>Summer Sale</t>
        </is>
      </c>
      <c r="I128" s="56" t="inlineStr">
        <is>
          <t>P010</t>
        </is>
      </c>
      <c r="J128" s="56" t="inlineStr">
        <is>
          <t>Smart Water Bottle</t>
        </is>
      </c>
      <c r="K128" s="56" t="inlineStr">
        <is>
          <t>Lifestyle</t>
        </is>
      </c>
      <c r="L128" s="56" t="inlineStr">
        <is>
          <t>Shenzhen Smart Home</t>
        </is>
      </c>
      <c r="M128" s="80" t="n">
        <v>32.39</v>
      </c>
      <c r="N128" s="80" t="n">
        <v>10.39</v>
      </c>
      <c r="O128" s="80" t="n">
        <v>3.74</v>
      </c>
      <c r="P128" s="80" t="n">
        <v>0.03</v>
      </c>
      <c r="Q128" s="80" t="n">
        <v>9.52</v>
      </c>
      <c r="R128" s="80" t="n">
        <v>1</v>
      </c>
      <c r="S128" s="80">
        <f>IF(AC128="Cancelled",0,M128*R128)</f>
        <v/>
      </c>
      <c r="T128" s="80">
        <f>IF(AC128="Cancelled",0,N128*R128)</f>
        <v/>
      </c>
      <c r="U128" s="80">
        <f>IF(AC128="Cancelled",0,O128*R128)</f>
        <v/>
      </c>
      <c r="V128" s="80">
        <f>IF(AC128="Cancelled",0,ROUND(P128*S128,2))</f>
        <v/>
      </c>
      <c r="W128" s="80" t="inlineStr">
        <is>
          <t>No</t>
        </is>
      </c>
      <c r="X128" s="80" t="n">
        <v>0</v>
      </c>
      <c r="Y128" s="80">
        <f>IF(AC128="Cancelled",0,T128+U128+V128+Q128+X128)</f>
        <v/>
      </c>
      <c r="Z128" s="80">
        <f>IF(AC128="Cancelled",-Q128,S128-Y128)</f>
        <v/>
      </c>
      <c r="AA128" s="81">
        <f>IF(OR(AC128="Cancelled",S128=0),0,Z128/S128)</f>
        <v/>
      </c>
      <c r="AB128" s="82">
        <f>IFERROR(S128/Q128,0)</f>
        <v/>
      </c>
      <c r="AC128" s="56" t="inlineStr">
        <is>
          <t>Delivered</t>
        </is>
      </c>
    </row>
    <row r="129" ht="14.25" customHeight="1" s="57">
      <c r="A129" s="56" t="inlineStr">
        <is>
          <t>ORD-00404</t>
        </is>
      </c>
      <c r="B129" s="79" t="n">
        <v>45777</v>
      </c>
      <c r="C129" s="56" t="n">
        <v>2025</v>
      </c>
      <c r="D129" s="56" t="n">
        <v>4</v>
      </c>
      <c r="E129" s="56" t="inlineStr">
        <is>
          <t>UAE</t>
        </is>
      </c>
      <c r="F129" s="56" t="inlineStr">
        <is>
          <t>Dubai</t>
        </is>
      </c>
      <c r="G129" s="56" t="inlineStr">
        <is>
          <t>Meta Ads</t>
        </is>
      </c>
      <c r="H129" s="56" t="inlineStr">
        <is>
          <t>Summer Sale</t>
        </is>
      </c>
      <c r="I129" s="56" t="inlineStr">
        <is>
          <t>P005</t>
        </is>
      </c>
      <c r="J129" s="56" t="inlineStr">
        <is>
          <t>Mini Printer</t>
        </is>
      </c>
      <c r="K129" s="56" t="inlineStr">
        <is>
          <t>Electronics</t>
        </is>
      </c>
      <c r="L129" s="56" t="inlineStr">
        <is>
          <t>Shenzhen Print Tech</t>
        </is>
      </c>
      <c r="M129" s="80" t="n">
        <v>61.31</v>
      </c>
      <c r="N129" s="80" t="n">
        <v>21.33</v>
      </c>
      <c r="O129" s="80" t="n">
        <v>6.99</v>
      </c>
      <c r="P129" s="80" t="n">
        <v>0.03</v>
      </c>
      <c r="Q129" s="80" t="n">
        <v>17.59</v>
      </c>
      <c r="R129" s="80" t="n">
        <v>2</v>
      </c>
      <c r="S129" s="80">
        <f>IF(AC129="Cancelled",0,M129*R129)</f>
        <v/>
      </c>
      <c r="T129" s="80">
        <f>IF(AC129="Cancelled",0,N129*R129)</f>
        <v/>
      </c>
      <c r="U129" s="80">
        <f>IF(AC129="Cancelled",0,O129*R129)</f>
        <v/>
      </c>
      <c r="V129" s="80">
        <f>IF(AC129="Cancelled",0,ROUND(P129*S129,2))</f>
        <v/>
      </c>
      <c r="W129" s="80" t="inlineStr">
        <is>
          <t>No</t>
        </is>
      </c>
      <c r="X129" s="80" t="n">
        <v>0</v>
      </c>
      <c r="Y129" s="80">
        <f>IF(AC129="Cancelled",0,T129+U129+V129+Q129+X129)</f>
        <v/>
      </c>
      <c r="Z129" s="80">
        <f>IF(AC129="Cancelled",-Q129,S129-Y129)</f>
        <v/>
      </c>
      <c r="AA129" s="81">
        <f>IF(OR(AC129="Cancelled",S129=0),0,Z129/S129)</f>
        <v/>
      </c>
      <c r="AB129" s="82">
        <f>IFERROR(S129/Q129,0)</f>
        <v/>
      </c>
      <c r="AC129" s="56" t="inlineStr">
        <is>
          <t>Delivered</t>
        </is>
      </c>
    </row>
    <row r="130" ht="14.25" customHeight="1" s="57">
      <c r="A130" s="56" t="inlineStr">
        <is>
          <t>ORD-00210</t>
        </is>
      </c>
      <c r="B130" s="79" t="n">
        <v>45779</v>
      </c>
      <c r="C130" s="56" t="n">
        <v>2025</v>
      </c>
      <c r="D130" s="56" t="n">
        <v>5</v>
      </c>
      <c r="E130" s="56" t="inlineStr">
        <is>
          <t>Saudi Arabia</t>
        </is>
      </c>
      <c r="F130" s="56" t="inlineStr">
        <is>
          <t>Riyadh</t>
        </is>
      </c>
      <c r="G130" s="56" t="inlineStr">
        <is>
          <t>Influencer</t>
        </is>
      </c>
      <c r="H130" s="56" t="inlineStr">
        <is>
          <t>Bundle Promo</t>
        </is>
      </c>
      <c r="I130" s="56" t="inlineStr">
        <is>
          <t>P009</t>
        </is>
      </c>
      <c r="J130" s="56" t="inlineStr">
        <is>
          <t>Car Vacuum Cleaner</t>
        </is>
      </c>
      <c r="K130" s="56" t="inlineStr">
        <is>
          <t>Automotive</t>
        </is>
      </c>
      <c r="L130" s="56" t="inlineStr">
        <is>
          <t>Dongguan Auto Tools</t>
        </is>
      </c>
      <c r="M130" s="80" t="n">
        <v>43.76</v>
      </c>
      <c r="N130" s="80" t="n">
        <v>14.95</v>
      </c>
      <c r="O130" s="80" t="n">
        <v>7.4</v>
      </c>
      <c r="P130" s="80" t="n">
        <v>0.03</v>
      </c>
      <c r="Q130" s="80" t="n">
        <v>16.24</v>
      </c>
      <c r="R130" s="80" t="n">
        <v>2</v>
      </c>
      <c r="S130" s="80">
        <f>IF(AC130="Cancelled",0,M130*R130)</f>
        <v/>
      </c>
      <c r="T130" s="80">
        <f>IF(AC130="Cancelled",0,N130*R130)</f>
        <v/>
      </c>
      <c r="U130" s="80">
        <f>IF(AC130="Cancelled",0,O130*R130)</f>
        <v/>
      </c>
      <c r="V130" s="80">
        <f>IF(AC130="Cancelled",0,ROUND(P130*S130,2))</f>
        <v/>
      </c>
      <c r="W130" s="80" t="inlineStr">
        <is>
          <t>No</t>
        </is>
      </c>
      <c r="X130" s="80" t="n">
        <v>0</v>
      </c>
      <c r="Y130" s="80">
        <f>IF(AC130="Cancelled",0,T130+U130+V130+Q130+X130)</f>
        <v/>
      </c>
      <c r="Z130" s="80">
        <f>IF(AC130="Cancelled",-Q130,S130-Y130)</f>
        <v/>
      </c>
      <c r="AA130" s="81">
        <f>IF(OR(AC130="Cancelled",S130=0),0,Z130/S130)</f>
        <v/>
      </c>
      <c r="AB130" s="82">
        <f>IFERROR(S130/Q130,0)</f>
        <v/>
      </c>
      <c r="AC130" s="56" t="inlineStr">
        <is>
          <t>Delivered</t>
        </is>
      </c>
    </row>
    <row r="131" ht="14.25" customHeight="1" s="57">
      <c r="A131" s="56" t="inlineStr">
        <is>
          <t>ORD-00408</t>
        </is>
      </c>
      <c r="B131" s="79" t="n">
        <v>45780</v>
      </c>
      <c r="C131" s="56" t="n">
        <v>2025</v>
      </c>
      <c r="D131" s="56" t="n">
        <v>5</v>
      </c>
      <c r="E131" s="56" t="inlineStr">
        <is>
          <t>Oman</t>
        </is>
      </c>
      <c r="F131" s="56" t="inlineStr">
        <is>
          <t>Muscat</t>
        </is>
      </c>
      <c r="G131" s="56" t="inlineStr">
        <is>
          <t>Google Ads</t>
        </is>
      </c>
      <c r="H131" s="56" t="inlineStr">
        <is>
          <t>New Creative A/B</t>
        </is>
      </c>
      <c r="I131" s="56" t="inlineStr">
        <is>
          <t>P007</t>
        </is>
      </c>
      <c r="J131" s="56" t="inlineStr">
        <is>
          <t>Pet Grooming Glove</t>
        </is>
      </c>
      <c r="K131" s="56" t="inlineStr">
        <is>
          <t>Pets</t>
        </is>
      </c>
      <c r="L131" s="56" t="inlineStr">
        <is>
          <t>Yiwu Pet Products</t>
        </is>
      </c>
      <c r="M131" s="80" t="n">
        <v>21.59</v>
      </c>
      <c r="N131" s="80" t="n">
        <v>3.36</v>
      </c>
      <c r="O131" s="80" t="n">
        <v>2.37</v>
      </c>
      <c r="P131" s="80" t="n">
        <v>0.03</v>
      </c>
      <c r="Q131" s="80" t="n">
        <v>8.220000000000001</v>
      </c>
      <c r="R131" s="80" t="n">
        <v>1</v>
      </c>
      <c r="S131" s="80">
        <f>IF(AC131="Cancelled",0,M131*R131)</f>
        <v/>
      </c>
      <c r="T131" s="80">
        <f>IF(AC131="Cancelled",0,N131*R131)</f>
        <v/>
      </c>
      <c r="U131" s="80">
        <f>IF(AC131="Cancelled",0,O131*R131)</f>
        <v/>
      </c>
      <c r="V131" s="80">
        <f>IF(AC131="Cancelled",0,ROUND(P131*S131,2))</f>
        <v/>
      </c>
      <c r="W131" s="80" t="inlineStr">
        <is>
          <t>No</t>
        </is>
      </c>
      <c r="X131" s="80" t="n">
        <v>0</v>
      </c>
      <c r="Y131" s="80">
        <f>IF(AC131="Cancelled",0,T131+U131+V131+Q131+X131)</f>
        <v/>
      </c>
      <c r="Z131" s="80">
        <f>IF(AC131="Cancelled",-Q131,S131-Y131)</f>
        <v/>
      </c>
      <c r="AA131" s="81">
        <f>IF(OR(AC131="Cancelled",S131=0),0,Z131/S131)</f>
        <v/>
      </c>
      <c r="AB131" s="82">
        <f>IFERROR(S131/Q131,0)</f>
        <v/>
      </c>
      <c r="AC131" s="56" t="inlineStr">
        <is>
          <t>Delivered</t>
        </is>
      </c>
    </row>
    <row r="132" ht="14.25" customHeight="1" s="57">
      <c r="A132" s="56" t="inlineStr">
        <is>
          <t>ORD-00023</t>
        </is>
      </c>
      <c r="B132" s="79" t="n">
        <v>45781</v>
      </c>
      <c r="C132" s="56" t="n">
        <v>2025</v>
      </c>
      <c r="D132" s="56" t="n">
        <v>5</v>
      </c>
      <c r="E132" s="56" t="inlineStr">
        <is>
          <t>UAE</t>
        </is>
      </c>
      <c r="F132" s="56" t="inlineStr">
        <is>
          <t>Abu Dhabi</t>
        </is>
      </c>
      <c r="G132" s="56" t="inlineStr">
        <is>
          <t>Google Ads</t>
        </is>
      </c>
      <c r="H132" s="56" t="inlineStr">
        <is>
          <t>New Creative A/B</t>
        </is>
      </c>
      <c r="I132" s="56" t="inlineStr">
        <is>
          <t>P003</t>
        </is>
      </c>
      <c r="J132" s="56" t="inlineStr">
        <is>
          <t>LED Strip Lights</t>
        </is>
      </c>
      <c r="K132" s="56" t="inlineStr">
        <is>
          <t>Home Decor</t>
        </is>
      </c>
      <c r="L132" s="56" t="inlineStr">
        <is>
          <t>Yiwu Lighting Factory</t>
        </is>
      </c>
      <c r="M132" s="80" t="n">
        <v>22.78</v>
      </c>
      <c r="N132" s="80" t="n">
        <v>6.14</v>
      </c>
      <c r="O132" s="80" t="n">
        <v>3.21</v>
      </c>
      <c r="P132" s="80" t="n">
        <v>0.03</v>
      </c>
      <c r="Q132" s="80" t="n">
        <v>5.01</v>
      </c>
      <c r="R132" s="80" t="n">
        <v>1</v>
      </c>
      <c r="S132" s="80">
        <f>IF(AC132="Cancelled",0,M132*R132)</f>
        <v/>
      </c>
      <c r="T132" s="80">
        <f>IF(AC132="Cancelled",0,N132*R132)</f>
        <v/>
      </c>
      <c r="U132" s="80">
        <f>IF(AC132="Cancelled",0,O132*R132)</f>
        <v/>
      </c>
      <c r="V132" s="80">
        <f>IF(AC132="Cancelled",0,ROUND(P132*S132,2))</f>
        <v/>
      </c>
      <c r="W132" s="80" t="inlineStr">
        <is>
          <t>No</t>
        </is>
      </c>
      <c r="X132" s="80" t="n">
        <v>0</v>
      </c>
      <c r="Y132" s="80">
        <f>IF(AC132="Cancelled",0,T132+U132+V132+Q132+X132)</f>
        <v/>
      </c>
      <c r="Z132" s="80">
        <f>IF(AC132="Cancelled",-Q132,S132-Y132)</f>
        <v/>
      </c>
      <c r="AA132" s="81">
        <f>IF(OR(AC132="Cancelled",S132=0),0,Z132/S132)</f>
        <v/>
      </c>
      <c r="AB132" s="82">
        <f>IFERROR(S132/Q132,0)</f>
        <v/>
      </c>
      <c r="AC132" s="56" t="inlineStr">
        <is>
          <t>Delivered</t>
        </is>
      </c>
    </row>
    <row r="133" ht="14.25" customHeight="1" s="57">
      <c r="A133" s="56" t="inlineStr">
        <is>
          <t>ORD-00110</t>
        </is>
      </c>
      <c r="B133" s="79" t="n">
        <v>45781</v>
      </c>
      <c r="C133" s="56" t="n">
        <v>2025</v>
      </c>
      <c r="D133" s="56" t="n">
        <v>5</v>
      </c>
      <c r="E133" s="56" t="inlineStr">
        <is>
          <t>UAE</t>
        </is>
      </c>
      <c r="F133" s="56" t="inlineStr">
        <is>
          <t>Sharjah</t>
        </is>
      </c>
      <c r="G133" s="56" t="inlineStr">
        <is>
          <t>Google Ads</t>
        </is>
      </c>
      <c r="H133" s="56" t="inlineStr">
        <is>
          <t>New Creative A/B</t>
        </is>
      </c>
      <c r="I133" s="56" t="inlineStr">
        <is>
          <t>P002</t>
        </is>
      </c>
      <c r="J133" s="56" t="inlineStr">
        <is>
          <t>Phone Case</t>
        </is>
      </c>
      <c r="K133" s="56" t="inlineStr">
        <is>
          <t>Accessories</t>
        </is>
      </c>
      <c r="L133" s="56" t="inlineStr">
        <is>
          <t>Guangzhou Cases Ltd.</t>
        </is>
      </c>
      <c r="M133" s="80" t="n">
        <v>15.5</v>
      </c>
      <c r="N133" s="80" t="n">
        <v>2.1</v>
      </c>
      <c r="O133" s="80" t="n">
        <v>2.16</v>
      </c>
      <c r="P133" s="80" t="n">
        <v>0.03</v>
      </c>
      <c r="Q133" s="80" t="n">
        <v>16.92</v>
      </c>
      <c r="R133" s="80" t="n">
        <v>2</v>
      </c>
      <c r="S133" s="80">
        <f>IF(AC133="Cancelled",0,M133*R133)</f>
        <v/>
      </c>
      <c r="T133" s="80">
        <f>IF(AC133="Cancelled",0,N133*R133)</f>
        <v/>
      </c>
      <c r="U133" s="80">
        <f>IF(AC133="Cancelled",0,O133*R133)</f>
        <v/>
      </c>
      <c r="V133" s="80">
        <f>IF(AC133="Cancelled",0,ROUND(P133*S133,2))</f>
        <v/>
      </c>
      <c r="W133" s="80" t="inlineStr">
        <is>
          <t>No</t>
        </is>
      </c>
      <c r="X133" s="80" t="n">
        <v>0</v>
      </c>
      <c r="Y133" s="80">
        <f>IF(AC133="Cancelled",0,T133+U133+V133+Q133+X133)</f>
        <v/>
      </c>
      <c r="Z133" s="80">
        <f>IF(AC133="Cancelled",-Q133,S133-Y133)</f>
        <v/>
      </c>
      <c r="AA133" s="81">
        <f>IF(OR(AC133="Cancelled",S133=0),0,Z133/S133)</f>
        <v/>
      </c>
      <c r="AB133" s="82">
        <f>IFERROR(S133/Q133,0)</f>
        <v/>
      </c>
      <c r="AC133" s="56" t="inlineStr">
        <is>
          <t>Delivered</t>
        </is>
      </c>
    </row>
    <row r="134" ht="14.25" customHeight="1" s="57">
      <c r="A134" s="56" t="inlineStr">
        <is>
          <t>ORD-00117</t>
        </is>
      </c>
      <c r="B134" s="79" t="n">
        <v>45781</v>
      </c>
      <c r="C134" s="56" t="n">
        <v>2025</v>
      </c>
      <c r="D134" s="56" t="n">
        <v>5</v>
      </c>
      <c r="E134" s="56" t="inlineStr">
        <is>
          <t>Saudi Arabia</t>
        </is>
      </c>
      <c r="F134" s="56" t="inlineStr">
        <is>
          <t>Jeddah</t>
        </is>
      </c>
      <c r="G134" s="56" t="inlineStr">
        <is>
          <t>Influencer</t>
        </is>
      </c>
      <c r="H134" s="56" t="inlineStr">
        <is>
          <t>Summer Sale</t>
        </is>
      </c>
      <c r="I134" s="56" t="inlineStr">
        <is>
          <t>P001</t>
        </is>
      </c>
      <c r="J134" s="56" t="inlineStr">
        <is>
          <t>Wireless Earbuds</t>
        </is>
      </c>
      <c r="K134" s="56" t="inlineStr">
        <is>
          <t>Electronics</t>
        </is>
      </c>
      <c r="L134" s="56" t="inlineStr">
        <is>
          <t>Shenzhen Audio Co.</t>
        </is>
      </c>
      <c r="M134" s="80" t="n">
        <v>36.56</v>
      </c>
      <c r="N134" s="80" t="n">
        <v>8.859999999999999</v>
      </c>
      <c r="O134" s="80" t="n">
        <v>4.33</v>
      </c>
      <c r="P134" s="80" t="n">
        <v>0.03</v>
      </c>
      <c r="Q134" s="80" t="n">
        <v>8.52</v>
      </c>
      <c r="R134" s="80" t="n">
        <v>1</v>
      </c>
      <c r="S134" s="80">
        <f>IF(AC134="Cancelled",0,M134*R134)</f>
        <v/>
      </c>
      <c r="T134" s="80">
        <f>IF(AC134="Cancelled",0,N134*R134)</f>
        <v/>
      </c>
      <c r="U134" s="80">
        <f>IF(AC134="Cancelled",0,O134*R134)</f>
        <v/>
      </c>
      <c r="V134" s="80">
        <f>IF(AC134="Cancelled",0,ROUND(P134*S134,2))</f>
        <v/>
      </c>
      <c r="W134" s="80" t="inlineStr">
        <is>
          <t>No</t>
        </is>
      </c>
      <c r="X134" s="80" t="n">
        <v>0</v>
      </c>
      <c r="Y134" s="80">
        <f>IF(AC134="Cancelled",0,T134+U134+V134+Q134+X134)</f>
        <v/>
      </c>
      <c r="Z134" s="80">
        <f>IF(AC134="Cancelled",-Q134,S134-Y134)</f>
        <v/>
      </c>
      <c r="AA134" s="81">
        <f>IF(OR(AC134="Cancelled",S134=0),0,Z134/S134)</f>
        <v/>
      </c>
      <c r="AB134" s="82">
        <f>IFERROR(S134/Q134,0)</f>
        <v/>
      </c>
      <c r="AC134" s="56" t="inlineStr">
        <is>
          <t>Delivered</t>
        </is>
      </c>
    </row>
    <row r="135" ht="14.25" customHeight="1" s="57">
      <c r="A135" s="56" t="inlineStr">
        <is>
          <t>ORD-00157</t>
        </is>
      </c>
      <c r="B135" s="79" t="n">
        <v>45781</v>
      </c>
      <c r="C135" s="56" t="n">
        <v>2025</v>
      </c>
      <c r="D135" s="56" t="n">
        <v>5</v>
      </c>
      <c r="E135" s="56" t="inlineStr">
        <is>
          <t>Qatar</t>
        </is>
      </c>
      <c r="F135" s="56" t="inlineStr">
        <is>
          <t>Doha</t>
        </is>
      </c>
      <c r="G135" s="56" t="inlineStr">
        <is>
          <t>TikTok Ads</t>
        </is>
      </c>
      <c r="H135" s="56" t="inlineStr">
        <is>
          <t>New Creative A/B</t>
        </is>
      </c>
      <c r="I135" s="56" t="inlineStr">
        <is>
          <t>P007</t>
        </is>
      </c>
      <c r="J135" s="56" t="inlineStr">
        <is>
          <t>Pet Grooming Glove</t>
        </is>
      </c>
      <c r="K135" s="56" t="inlineStr">
        <is>
          <t>Pets</t>
        </is>
      </c>
      <c r="L135" s="56" t="inlineStr">
        <is>
          <t>Yiwu Pet Products</t>
        </is>
      </c>
      <c r="M135" s="80" t="n">
        <v>20.24</v>
      </c>
      <c r="N135" s="80" t="n">
        <v>3.65</v>
      </c>
      <c r="O135" s="80" t="n">
        <v>2.49</v>
      </c>
      <c r="P135" s="80" t="n">
        <v>0.03</v>
      </c>
      <c r="Q135" s="80" t="n">
        <v>19.16</v>
      </c>
      <c r="R135" s="80" t="n">
        <v>2</v>
      </c>
      <c r="S135" s="80">
        <f>IF(AC135="Cancelled",0,M135*R135)</f>
        <v/>
      </c>
      <c r="T135" s="80">
        <f>IF(AC135="Cancelled",0,N135*R135)</f>
        <v/>
      </c>
      <c r="U135" s="80">
        <f>IF(AC135="Cancelled",0,O135*R135)</f>
        <v/>
      </c>
      <c r="V135" s="80">
        <f>IF(AC135="Cancelled",0,ROUND(P135*S135,2))</f>
        <v/>
      </c>
      <c r="W135" s="80" t="inlineStr">
        <is>
          <t>No</t>
        </is>
      </c>
      <c r="X135" s="80" t="n">
        <v>0</v>
      </c>
      <c r="Y135" s="80">
        <f>IF(AC135="Cancelled",0,T135+U135+V135+Q135+X135)</f>
        <v/>
      </c>
      <c r="Z135" s="80">
        <f>IF(AC135="Cancelled",-Q135,S135-Y135)</f>
        <v/>
      </c>
      <c r="AA135" s="81">
        <f>IF(OR(AC135="Cancelled",S135=0),0,Z135/S135)</f>
        <v/>
      </c>
      <c r="AB135" s="82">
        <f>IFERROR(S135/Q135,0)</f>
        <v/>
      </c>
      <c r="AC135" s="56" t="inlineStr">
        <is>
          <t>Delivered</t>
        </is>
      </c>
    </row>
    <row r="136" ht="14.25" customHeight="1" s="57">
      <c r="A136" s="56" t="inlineStr">
        <is>
          <t>ORD-00229</t>
        </is>
      </c>
      <c r="B136" s="79" t="n">
        <v>45782</v>
      </c>
      <c r="C136" s="56" t="n">
        <v>2025</v>
      </c>
      <c r="D136" s="56" t="n">
        <v>5</v>
      </c>
      <c r="E136" s="56" t="inlineStr">
        <is>
          <t>UAE</t>
        </is>
      </c>
      <c r="F136" s="56" t="inlineStr">
        <is>
          <t>Sharjah</t>
        </is>
      </c>
      <c r="G136" s="56" t="inlineStr">
        <is>
          <t>TikTok Ads</t>
        </is>
      </c>
      <c r="H136" s="56" t="inlineStr">
        <is>
          <t>New Creative A/B</t>
        </is>
      </c>
      <c r="I136" s="56" t="inlineStr">
        <is>
          <t>P006</t>
        </is>
      </c>
      <c r="J136" s="56" t="inlineStr">
        <is>
          <t>Posture Corrector</t>
        </is>
      </c>
      <c r="K136" s="56" t="inlineStr">
        <is>
          <t>Fitness</t>
        </is>
      </c>
      <c r="L136" s="56" t="inlineStr">
        <is>
          <t>Hangzhou Health Gear</t>
        </is>
      </c>
      <c r="M136" s="80" t="n">
        <v>34.53</v>
      </c>
      <c r="N136" s="80" t="n">
        <v>9.24</v>
      </c>
      <c r="O136" s="80" t="n">
        <v>3.62</v>
      </c>
      <c r="P136" s="80" t="n">
        <v>0.03</v>
      </c>
      <c r="Q136" s="80" t="n">
        <v>7.47</v>
      </c>
      <c r="R136" s="80" t="n">
        <v>1</v>
      </c>
      <c r="S136" s="80">
        <f>IF(AC136="Cancelled",0,M136*R136)</f>
        <v/>
      </c>
      <c r="T136" s="80">
        <f>IF(AC136="Cancelled",0,N136*R136)</f>
        <v/>
      </c>
      <c r="U136" s="80">
        <f>IF(AC136="Cancelled",0,O136*R136)</f>
        <v/>
      </c>
      <c r="V136" s="80">
        <f>IF(AC136="Cancelled",0,ROUND(P136*S136,2))</f>
        <v/>
      </c>
      <c r="W136" s="80" t="inlineStr">
        <is>
          <t>No</t>
        </is>
      </c>
      <c r="X136" s="80" t="n">
        <v>0</v>
      </c>
      <c r="Y136" s="80">
        <f>IF(AC136="Cancelled",0,T136+U136+V136+Q136+X136)</f>
        <v/>
      </c>
      <c r="Z136" s="80">
        <f>IF(AC136="Cancelled",-Q136,S136-Y136)</f>
        <v/>
      </c>
      <c r="AA136" s="81">
        <f>IF(OR(AC136="Cancelled",S136=0),0,Z136/S136)</f>
        <v/>
      </c>
      <c r="AB136" s="82">
        <f>IFERROR(S136/Q136,0)</f>
        <v/>
      </c>
      <c r="AC136" s="56" t="inlineStr">
        <is>
          <t>Delivered</t>
        </is>
      </c>
    </row>
    <row r="137" ht="14.25" customHeight="1" s="57">
      <c r="A137" s="56" t="inlineStr">
        <is>
          <t>ORD-00438</t>
        </is>
      </c>
      <c r="B137" s="79" t="n">
        <v>45782</v>
      </c>
      <c r="C137" s="56" t="n">
        <v>2025</v>
      </c>
      <c r="D137" s="56" t="n">
        <v>5</v>
      </c>
      <c r="E137" s="56" t="inlineStr">
        <is>
          <t>Saudi Arabia</t>
        </is>
      </c>
      <c r="F137" s="56" t="inlineStr">
        <is>
          <t>Jeddah</t>
        </is>
      </c>
      <c r="G137" s="56" t="inlineStr">
        <is>
          <t>Organic Search</t>
        </is>
      </c>
      <c r="H137" s="56" t="inlineStr">
        <is>
          <t>New Creative A/B</t>
        </is>
      </c>
      <c r="I137" s="56" t="inlineStr">
        <is>
          <t>P006</t>
        </is>
      </c>
      <c r="J137" s="56" t="inlineStr">
        <is>
          <t>Posture Corrector</t>
        </is>
      </c>
      <c r="K137" s="56" t="inlineStr">
        <is>
          <t>Fitness</t>
        </is>
      </c>
      <c r="L137" s="56" t="inlineStr">
        <is>
          <t>Hangzhou Health Gear</t>
        </is>
      </c>
      <c r="M137" s="80" t="n">
        <v>38.32</v>
      </c>
      <c r="N137" s="80" t="n">
        <v>8.619999999999999</v>
      </c>
      <c r="O137" s="80" t="n">
        <v>4.04</v>
      </c>
      <c r="P137" s="80" t="n">
        <v>0.03</v>
      </c>
      <c r="Q137" s="80" t="n">
        <v>0</v>
      </c>
      <c r="R137" s="80" t="n">
        <v>1</v>
      </c>
      <c r="S137" s="80">
        <f>IF(AC137="Cancelled",0,M137*R137)</f>
        <v/>
      </c>
      <c r="T137" s="80">
        <f>IF(AC137="Cancelled",0,N137*R137)</f>
        <v/>
      </c>
      <c r="U137" s="80">
        <f>IF(AC137="Cancelled",0,O137*R137)</f>
        <v/>
      </c>
      <c r="V137" s="80">
        <f>IF(AC137="Cancelled",0,ROUND(P137*S137,2))</f>
        <v/>
      </c>
      <c r="W137" s="80" t="inlineStr">
        <is>
          <t>No</t>
        </is>
      </c>
      <c r="X137" s="80" t="n">
        <v>0</v>
      </c>
      <c r="Y137" s="80">
        <f>IF(AC137="Cancelled",0,T137+U137+V137+Q137+X137)</f>
        <v/>
      </c>
      <c r="Z137" s="80">
        <f>IF(AC137="Cancelled",-Q137,S137-Y137)</f>
        <v/>
      </c>
      <c r="AA137" s="81">
        <f>IF(OR(AC137="Cancelled",S137=0),0,Z137/S137)</f>
        <v/>
      </c>
      <c r="AB137" s="82">
        <f>IFERROR(S137/Q137,0)</f>
        <v/>
      </c>
      <c r="AC137" s="56" t="inlineStr">
        <is>
          <t>Delivered</t>
        </is>
      </c>
    </row>
    <row r="138" ht="14.25" customHeight="1" s="57">
      <c r="A138" s="56" t="inlineStr">
        <is>
          <t>ORD-00147</t>
        </is>
      </c>
      <c r="B138" s="79" t="n">
        <v>45784</v>
      </c>
      <c r="C138" s="56" t="n">
        <v>2025</v>
      </c>
      <c r="D138" s="56" t="n">
        <v>5</v>
      </c>
      <c r="E138" s="56" t="inlineStr">
        <is>
          <t>Oman</t>
        </is>
      </c>
      <c r="F138" s="56" t="inlineStr">
        <is>
          <t>Muscat</t>
        </is>
      </c>
      <c r="G138" s="56" t="inlineStr">
        <is>
          <t>Influencer</t>
        </is>
      </c>
      <c r="H138" s="56" t="inlineStr">
        <is>
          <t>Summer Sale</t>
        </is>
      </c>
      <c r="I138" s="56" t="inlineStr">
        <is>
          <t>P009</t>
        </is>
      </c>
      <c r="J138" s="56" t="inlineStr">
        <is>
          <t>Car Vacuum Cleaner</t>
        </is>
      </c>
      <c r="K138" s="56" t="inlineStr">
        <is>
          <t>Automotive</t>
        </is>
      </c>
      <c r="L138" s="56" t="inlineStr">
        <is>
          <t>Dongguan Auto Tools</t>
        </is>
      </c>
      <c r="M138" s="80" t="n">
        <v>45.14</v>
      </c>
      <c r="N138" s="80" t="n">
        <v>14.11</v>
      </c>
      <c r="O138" s="80" t="n">
        <v>7.25</v>
      </c>
      <c r="P138" s="80" t="n">
        <v>0.03</v>
      </c>
      <c r="Q138" s="80" t="n">
        <v>3.93</v>
      </c>
      <c r="R138" s="80" t="n">
        <v>1</v>
      </c>
      <c r="S138" s="80">
        <f>IF(AC138="Cancelled",0,M138*R138)</f>
        <v/>
      </c>
      <c r="T138" s="80">
        <f>IF(AC138="Cancelled",0,N138*R138)</f>
        <v/>
      </c>
      <c r="U138" s="80">
        <f>IF(AC138="Cancelled",0,O138*R138)</f>
        <v/>
      </c>
      <c r="V138" s="80">
        <f>IF(AC138="Cancelled",0,ROUND(P138*S138,2))</f>
        <v/>
      </c>
      <c r="W138" s="80" t="inlineStr">
        <is>
          <t>No</t>
        </is>
      </c>
      <c r="X138" s="80" t="n">
        <v>0</v>
      </c>
      <c r="Y138" s="80">
        <f>IF(AC138="Cancelled",0,T138+U138+V138+Q138+X138)</f>
        <v/>
      </c>
      <c r="Z138" s="80">
        <f>IF(AC138="Cancelled",-Q138,S138-Y138)</f>
        <v/>
      </c>
      <c r="AA138" s="81">
        <f>IF(OR(AC138="Cancelled",S138=0),0,Z138/S138)</f>
        <v/>
      </c>
      <c r="AB138" s="82">
        <f>IFERROR(S138/Q138,0)</f>
        <v/>
      </c>
      <c r="AC138" s="56" t="inlineStr">
        <is>
          <t>Delivered</t>
        </is>
      </c>
    </row>
    <row r="139" ht="14.25" customHeight="1" s="57">
      <c r="A139" s="56" t="inlineStr">
        <is>
          <t>ORD-00295</t>
        </is>
      </c>
      <c r="B139" s="79" t="n">
        <v>45784</v>
      </c>
      <c r="C139" s="56" t="n">
        <v>2025</v>
      </c>
      <c r="D139" s="56" t="n">
        <v>5</v>
      </c>
      <c r="E139" s="56" t="inlineStr">
        <is>
          <t>Qatar</t>
        </is>
      </c>
      <c r="F139" s="56" t="inlineStr">
        <is>
          <t>Doha</t>
        </is>
      </c>
      <c r="G139" s="56" t="inlineStr">
        <is>
          <t>Organic Search</t>
        </is>
      </c>
      <c r="H139" s="56" t="inlineStr">
        <is>
          <t>Summer Sale</t>
        </is>
      </c>
      <c r="I139" s="56" t="inlineStr">
        <is>
          <t>P006</t>
        </is>
      </c>
      <c r="J139" s="56" t="inlineStr">
        <is>
          <t>Posture Corrector</t>
        </is>
      </c>
      <c r="K139" s="56" t="inlineStr">
        <is>
          <t>Fitness</t>
        </is>
      </c>
      <c r="L139" s="56" t="inlineStr">
        <is>
          <t>Hangzhou Health Gear</t>
        </is>
      </c>
      <c r="M139" s="80" t="n">
        <v>36.54</v>
      </c>
      <c r="N139" s="80" t="n">
        <v>9.390000000000001</v>
      </c>
      <c r="O139" s="80" t="n">
        <v>3.91</v>
      </c>
      <c r="P139" s="80" t="n">
        <v>0.03</v>
      </c>
      <c r="Q139" s="80" t="n">
        <v>0</v>
      </c>
      <c r="R139" s="80" t="n">
        <v>1</v>
      </c>
      <c r="S139" s="80">
        <f>IF(AC139="Cancelled",0,M139*R139)</f>
        <v/>
      </c>
      <c r="T139" s="80">
        <f>IF(AC139="Cancelled",0,N139*R139)</f>
        <v/>
      </c>
      <c r="U139" s="80">
        <f>IF(AC139="Cancelled",0,O139*R139)</f>
        <v/>
      </c>
      <c r="V139" s="80">
        <f>IF(AC139="Cancelled",0,ROUND(P139*S139,2))</f>
        <v/>
      </c>
      <c r="W139" s="80" t="inlineStr">
        <is>
          <t>No</t>
        </is>
      </c>
      <c r="X139" s="80" t="n">
        <v>0</v>
      </c>
      <c r="Y139" s="80">
        <f>IF(AC139="Cancelled",0,T139+U139+V139+Q139+X139)</f>
        <v/>
      </c>
      <c r="Z139" s="80">
        <f>IF(AC139="Cancelled",-Q139,S139-Y139)</f>
        <v/>
      </c>
      <c r="AA139" s="81">
        <f>IF(OR(AC139="Cancelled",S139=0),0,Z139/S139)</f>
        <v/>
      </c>
      <c r="AB139" s="82">
        <f>IFERROR(S139/Q139,0)</f>
        <v/>
      </c>
      <c r="AC139" s="56" t="inlineStr">
        <is>
          <t>Delivered</t>
        </is>
      </c>
    </row>
    <row r="140" ht="14.25" customHeight="1" s="57">
      <c r="A140" s="56" t="inlineStr">
        <is>
          <t>ORD-00421</t>
        </is>
      </c>
      <c r="B140" s="79" t="n">
        <v>45786</v>
      </c>
      <c r="C140" s="56" t="n">
        <v>2025</v>
      </c>
      <c r="D140" s="56" t="n">
        <v>5</v>
      </c>
      <c r="E140" s="56" t="inlineStr">
        <is>
          <t>Saudi Arabia</t>
        </is>
      </c>
      <c r="F140" s="56" t="inlineStr">
        <is>
          <t>Jeddah</t>
        </is>
      </c>
      <c r="G140" s="56" t="inlineStr">
        <is>
          <t>Influencer</t>
        </is>
      </c>
      <c r="H140" s="56" t="inlineStr">
        <is>
          <t>Launch Test</t>
        </is>
      </c>
      <c r="I140" s="56" t="inlineStr">
        <is>
          <t>P001</t>
        </is>
      </c>
      <c r="J140" s="56" t="inlineStr">
        <is>
          <t>Wireless Earbuds</t>
        </is>
      </c>
      <c r="K140" s="56" t="inlineStr">
        <is>
          <t>Electronics</t>
        </is>
      </c>
      <c r="L140" s="56" t="inlineStr">
        <is>
          <t>Shenzhen Audio Co.</t>
        </is>
      </c>
      <c r="M140" s="80" t="n">
        <v>40.87</v>
      </c>
      <c r="N140" s="80" t="n">
        <v>9.02</v>
      </c>
      <c r="O140" s="80" t="n">
        <v>4.05</v>
      </c>
      <c r="P140" s="80" t="n">
        <v>0.03</v>
      </c>
      <c r="Q140" s="80" t="n">
        <v>27.99</v>
      </c>
      <c r="R140" s="80" t="n">
        <v>3</v>
      </c>
      <c r="S140" s="80">
        <f>IF(AC140="Cancelled",0,M140*R140)</f>
        <v/>
      </c>
      <c r="T140" s="80">
        <f>IF(AC140="Cancelled",0,N140*R140)</f>
        <v/>
      </c>
      <c r="U140" s="80">
        <f>IF(AC140="Cancelled",0,O140*R140)</f>
        <v/>
      </c>
      <c r="V140" s="80">
        <f>IF(AC140="Cancelled",0,ROUND(P140*S140,2))</f>
        <v/>
      </c>
      <c r="W140" s="80" t="inlineStr">
        <is>
          <t>No</t>
        </is>
      </c>
      <c r="X140" s="80" t="n">
        <v>0</v>
      </c>
      <c r="Y140" s="80">
        <f>IF(AC140="Cancelled",0,T140+U140+V140+Q140+X140)</f>
        <v/>
      </c>
      <c r="Z140" s="80">
        <f>IF(AC140="Cancelled",-Q140,S140-Y140)</f>
        <v/>
      </c>
      <c r="AA140" s="81">
        <f>IF(OR(AC140="Cancelled",S140=0),0,Z140/S140)</f>
        <v/>
      </c>
      <c r="AB140" s="82">
        <f>IFERROR(S140/Q140,0)</f>
        <v/>
      </c>
      <c r="AC140" s="56" t="inlineStr">
        <is>
          <t>Delivered</t>
        </is>
      </c>
    </row>
    <row r="141" ht="14.25" customHeight="1" s="57">
      <c r="A141" s="56" t="inlineStr">
        <is>
          <t>ORD-00449</t>
        </is>
      </c>
      <c r="B141" s="79" t="n">
        <v>45787</v>
      </c>
      <c r="C141" s="56" t="n">
        <v>2025</v>
      </c>
      <c r="D141" s="56" t="n">
        <v>5</v>
      </c>
      <c r="E141" s="56" t="inlineStr">
        <is>
          <t>UAE</t>
        </is>
      </c>
      <c r="F141" s="56" t="inlineStr">
        <is>
          <t>Sharjah</t>
        </is>
      </c>
      <c r="G141" s="56" t="inlineStr">
        <is>
          <t>Google Ads</t>
        </is>
      </c>
      <c r="H141" s="56" t="inlineStr">
        <is>
          <t>New Creative A/B</t>
        </is>
      </c>
      <c r="I141" s="56" t="inlineStr">
        <is>
          <t>P007</t>
        </is>
      </c>
      <c r="J141" s="56" t="inlineStr">
        <is>
          <t>Pet Grooming Glove</t>
        </is>
      </c>
      <c r="K141" s="56" t="inlineStr">
        <is>
          <t>Pets</t>
        </is>
      </c>
      <c r="L141" s="56" t="inlineStr">
        <is>
          <t>Yiwu Pet Products</t>
        </is>
      </c>
      <c r="M141" s="80" t="n">
        <v>18.84</v>
      </c>
      <c r="N141" s="80" t="n">
        <v>3.55</v>
      </c>
      <c r="O141" s="80" t="n">
        <v>2.41</v>
      </c>
      <c r="P141" s="80" t="n">
        <v>0.03</v>
      </c>
      <c r="Q141" s="80" t="n">
        <v>7.06</v>
      </c>
      <c r="R141" s="80" t="n">
        <v>1</v>
      </c>
      <c r="S141" s="80">
        <f>IF(AC141="Cancelled",0,M141*R141)</f>
        <v/>
      </c>
      <c r="T141" s="80">
        <f>IF(AC141="Cancelled",0,N141*R141)</f>
        <v/>
      </c>
      <c r="U141" s="80">
        <f>IF(AC141="Cancelled",0,O141*R141)</f>
        <v/>
      </c>
      <c r="V141" s="80">
        <f>IF(AC141="Cancelled",0,ROUND(P141*S141,2))</f>
        <v/>
      </c>
      <c r="W141" s="80" t="inlineStr">
        <is>
          <t>No</t>
        </is>
      </c>
      <c r="X141" s="80" t="n">
        <v>0</v>
      </c>
      <c r="Y141" s="80">
        <f>IF(AC141="Cancelled",0,T141+U141+V141+Q141+X141)</f>
        <v/>
      </c>
      <c r="Z141" s="80">
        <f>IF(AC141="Cancelled",-Q141,S141-Y141)</f>
        <v/>
      </c>
      <c r="AA141" s="81">
        <f>IF(OR(AC141="Cancelled",S141=0),0,Z141/S141)</f>
        <v/>
      </c>
      <c r="AB141" s="82">
        <f>IFERROR(S141/Q141,0)</f>
        <v/>
      </c>
      <c r="AC141" s="56" t="inlineStr">
        <is>
          <t>Delivered</t>
        </is>
      </c>
    </row>
    <row r="142" ht="14.25" customHeight="1" s="57">
      <c r="A142" s="56" t="inlineStr">
        <is>
          <t>ORD-00380</t>
        </is>
      </c>
      <c r="B142" s="79" t="n">
        <v>45788</v>
      </c>
      <c r="C142" s="56" t="n">
        <v>2025</v>
      </c>
      <c r="D142" s="56" t="n">
        <v>5</v>
      </c>
      <c r="E142" s="56" t="inlineStr">
        <is>
          <t>Qatar</t>
        </is>
      </c>
      <c r="F142" s="56" t="inlineStr">
        <is>
          <t>Doha</t>
        </is>
      </c>
      <c r="G142" s="56" t="inlineStr">
        <is>
          <t>Meta Ads</t>
        </is>
      </c>
      <c r="H142" s="56" t="inlineStr">
        <is>
          <t>Summer Sale</t>
        </is>
      </c>
      <c r="I142" s="56" t="inlineStr">
        <is>
          <t>P009</t>
        </is>
      </c>
      <c r="J142" s="56" t="inlineStr">
        <is>
          <t>Car Vacuum Cleaner</t>
        </is>
      </c>
      <c r="K142" s="56" t="inlineStr">
        <is>
          <t>Automotive</t>
        </is>
      </c>
      <c r="L142" s="56" t="inlineStr">
        <is>
          <t>Dongguan Auto Tools</t>
        </is>
      </c>
      <c r="M142" s="80" t="n">
        <v>44.32</v>
      </c>
      <c r="N142" s="80" t="n">
        <v>13.91</v>
      </c>
      <c r="O142" s="80" t="n">
        <v>6.97</v>
      </c>
      <c r="P142" s="80" t="n">
        <v>0.03</v>
      </c>
      <c r="Q142" s="80" t="n">
        <v>15.93</v>
      </c>
      <c r="R142" s="80" t="n">
        <v>2</v>
      </c>
      <c r="S142" s="80">
        <f>IF(AC142="Cancelled",0,M142*R142)</f>
        <v/>
      </c>
      <c r="T142" s="80">
        <f>IF(AC142="Cancelled",0,N142*R142)</f>
        <v/>
      </c>
      <c r="U142" s="80">
        <f>IF(AC142="Cancelled",0,O142*R142)</f>
        <v/>
      </c>
      <c r="V142" s="80">
        <f>IF(AC142="Cancelled",0,ROUND(P142*S142,2))</f>
        <v/>
      </c>
      <c r="W142" s="80" t="inlineStr">
        <is>
          <t>No</t>
        </is>
      </c>
      <c r="X142" s="80" t="n">
        <v>0</v>
      </c>
      <c r="Y142" s="80">
        <f>IF(AC142="Cancelled",0,T142+U142+V142+Q142+X142)</f>
        <v/>
      </c>
      <c r="Z142" s="80">
        <f>IF(AC142="Cancelled",-Q142,S142-Y142)</f>
        <v/>
      </c>
      <c r="AA142" s="81">
        <f>IF(OR(AC142="Cancelled",S142=0),0,Z142/S142)</f>
        <v/>
      </c>
      <c r="AB142" s="82">
        <f>IFERROR(S142/Q142,0)</f>
        <v/>
      </c>
      <c r="AC142" s="56" t="inlineStr">
        <is>
          <t>Delivered</t>
        </is>
      </c>
    </row>
    <row r="143" ht="14.25" customHeight="1" s="57">
      <c r="A143" s="56" t="inlineStr">
        <is>
          <t>ORD-00422</t>
        </is>
      </c>
      <c r="B143" s="79" t="n">
        <v>45788</v>
      </c>
      <c r="C143" s="56" t="n">
        <v>2025</v>
      </c>
      <c r="D143" s="56" t="n">
        <v>5</v>
      </c>
      <c r="E143" s="56" t="inlineStr">
        <is>
          <t>UAE</t>
        </is>
      </c>
      <c r="F143" s="56" t="inlineStr">
        <is>
          <t>Abu Dhabi</t>
        </is>
      </c>
      <c r="G143" s="56" t="inlineStr">
        <is>
          <t>Influencer</t>
        </is>
      </c>
      <c r="H143" s="56" t="inlineStr">
        <is>
          <t>Summer Sale</t>
        </is>
      </c>
      <c r="I143" s="56" t="inlineStr">
        <is>
          <t>P010</t>
        </is>
      </c>
      <c r="J143" s="56" t="inlineStr">
        <is>
          <t>Smart Water Bottle</t>
        </is>
      </c>
      <c r="K143" s="56" t="inlineStr">
        <is>
          <t>Lifestyle</t>
        </is>
      </c>
      <c r="L143" s="56" t="inlineStr">
        <is>
          <t>Shenzhen Smart Home</t>
        </is>
      </c>
      <c r="M143" s="80" t="n">
        <v>33.51</v>
      </c>
      <c r="N143" s="80" t="n">
        <v>9.68</v>
      </c>
      <c r="O143" s="80" t="n">
        <v>4.58</v>
      </c>
      <c r="P143" s="80" t="n">
        <v>0.03</v>
      </c>
      <c r="Q143" s="80" t="n">
        <v>5.31</v>
      </c>
      <c r="R143" s="80" t="n">
        <v>1</v>
      </c>
      <c r="S143" s="80">
        <f>IF(AC143="Cancelled",0,M143*R143)</f>
        <v/>
      </c>
      <c r="T143" s="80">
        <f>IF(AC143="Cancelled",0,N143*R143)</f>
        <v/>
      </c>
      <c r="U143" s="80">
        <f>IF(AC143="Cancelled",0,O143*R143)</f>
        <v/>
      </c>
      <c r="V143" s="80">
        <f>IF(AC143="Cancelled",0,ROUND(P143*S143,2))</f>
        <v/>
      </c>
      <c r="W143" s="80" t="inlineStr">
        <is>
          <t>No</t>
        </is>
      </c>
      <c r="X143" s="80" t="n">
        <v>0</v>
      </c>
      <c r="Y143" s="80">
        <f>IF(AC143="Cancelled",0,T143+U143+V143+Q143+X143)</f>
        <v/>
      </c>
      <c r="Z143" s="80">
        <f>IF(AC143="Cancelled",-Q143,S143-Y143)</f>
        <v/>
      </c>
      <c r="AA143" s="81">
        <f>IF(OR(AC143="Cancelled",S143=0),0,Z143/S143)</f>
        <v/>
      </c>
      <c r="AB143" s="82">
        <f>IFERROR(S143/Q143,0)</f>
        <v/>
      </c>
      <c r="AC143" s="56" t="inlineStr">
        <is>
          <t>Delivered</t>
        </is>
      </c>
    </row>
    <row r="144" ht="14.25" customHeight="1" s="57">
      <c r="A144" s="56" t="inlineStr">
        <is>
          <t>ORD-00301</t>
        </is>
      </c>
      <c r="B144" s="79" t="n">
        <v>45789</v>
      </c>
      <c r="C144" s="56" t="n">
        <v>2025</v>
      </c>
      <c r="D144" s="56" t="n">
        <v>5</v>
      </c>
      <c r="E144" s="56" t="inlineStr">
        <is>
          <t>UAE</t>
        </is>
      </c>
      <c r="F144" s="56" t="inlineStr">
        <is>
          <t>Dubai</t>
        </is>
      </c>
      <c r="G144" s="56" t="inlineStr">
        <is>
          <t>Meta Ads</t>
        </is>
      </c>
      <c r="H144" s="56" t="inlineStr">
        <is>
          <t>New Creative A/B</t>
        </is>
      </c>
      <c r="I144" s="56" t="inlineStr">
        <is>
          <t>P008</t>
        </is>
      </c>
      <c r="J144" s="56" t="inlineStr">
        <is>
          <t>Portable Blender</t>
        </is>
      </c>
      <c r="K144" s="56" t="inlineStr">
        <is>
          <t>Kitchen</t>
        </is>
      </c>
      <c r="L144" s="56" t="inlineStr">
        <is>
          <t>Foshan Appliances</t>
        </is>
      </c>
      <c r="M144" s="80" t="n">
        <v>51.01</v>
      </c>
      <c r="N144" s="80" t="n">
        <v>17.11</v>
      </c>
      <c r="O144" s="80" t="n">
        <v>6.62</v>
      </c>
      <c r="P144" s="80" t="n">
        <v>0.03</v>
      </c>
      <c r="Q144" s="80" t="n">
        <v>5.49</v>
      </c>
      <c r="R144" s="80" t="n">
        <v>1</v>
      </c>
      <c r="S144" s="80">
        <f>IF(AC144="Cancelled",0,M144*R144)</f>
        <v/>
      </c>
      <c r="T144" s="80">
        <f>IF(AC144="Cancelled",0,N144*R144)</f>
        <v/>
      </c>
      <c r="U144" s="80">
        <f>IF(AC144="Cancelled",0,O144*R144)</f>
        <v/>
      </c>
      <c r="V144" s="80">
        <f>IF(AC144="Cancelled",0,ROUND(P144*S144,2))</f>
        <v/>
      </c>
      <c r="W144" s="80" t="inlineStr">
        <is>
          <t>No</t>
        </is>
      </c>
      <c r="X144" s="80" t="n">
        <v>0</v>
      </c>
      <c r="Y144" s="80">
        <f>IF(AC144="Cancelled",0,T144+U144+V144+Q144+X144)</f>
        <v/>
      </c>
      <c r="Z144" s="80">
        <f>IF(AC144="Cancelled",-Q144,S144-Y144)</f>
        <v/>
      </c>
      <c r="AA144" s="81">
        <f>IF(OR(AC144="Cancelled",S144=0),0,Z144/S144)</f>
        <v/>
      </c>
      <c r="AB144" s="82">
        <f>IFERROR(S144/Q144,0)</f>
        <v/>
      </c>
      <c r="AC144" s="56" t="inlineStr">
        <is>
          <t>Delivered</t>
        </is>
      </c>
    </row>
    <row r="145" ht="14.25" customHeight="1" s="57">
      <c r="A145" s="56" t="inlineStr">
        <is>
          <t>ORD-00337</t>
        </is>
      </c>
      <c r="B145" s="79" t="n">
        <v>45789</v>
      </c>
      <c r="C145" s="56" t="n">
        <v>2025</v>
      </c>
      <c r="D145" s="56" t="n">
        <v>5</v>
      </c>
      <c r="E145" s="56" t="inlineStr">
        <is>
          <t>UAE</t>
        </is>
      </c>
      <c r="F145" s="56" t="inlineStr">
        <is>
          <t>Abu Dhabi</t>
        </is>
      </c>
      <c r="G145" s="56" t="inlineStr">
        <is>
          <t>TikTok Ads</t>
        </is>
      </c>
      <c r="H145" s="56" t="inlineStr">
        <is>
          <t>New Creative A/B</t>
        </is>
      </c>
      <c r="I145" s="56" t="inlineStr">
        <is>
          <t>P008</t>
        </is>
      </c>
      <c r="J145" s="56" t="inlineStr">
        <is>
          <t>Portable Blender</t>
        </is>
      </c>
      <c r="K145" s="56" t="inlineStr">
        <is>
          <t>Kitchen</t>
        </is>
      </c>
      <c r="L145" s="56" t="inlineStr">
        <is>
          <t>Foshan Appliances</t>
        </is>
      </c>
      <c r="M145" s="80" t="n">
        <v>54.77</v>
      </c>
      <c r="N145" s="80" t="n">
        <v>15.53</v>
      </c>
      <c r="O145" s="80" t="n">
        <v>6.82</v>
      </c>
      <c r="P145" s="80" t="n">
        <v>0.03</v>
      </c>
      <c r="Q145" s="80" t="n">
        <v>7.66</v>
      </c>
      <c r="R145" s="80" t="n">
        <v>2</v>
      </c>
      <c r="S145" s="80">
        <f>IF(AC145="Cancelled",0,M145*R145)</f>
        <v/>
      </c>
      <c r="T145" s="80">
        <f>IF(AC145="Cancelled",0,N145*R145)</f>
        <v/>
      </c>
      <c r="U145" s="80">
        <f>IF(AC145="Cancelled",0,O145*R145)</f>
        <v/>
      </c>
      <c r="V145" s="80">
        <f>IF(AC145="Cancelled",0,ROUND(P145*S145,2))</f>
        <v/>
      </c>
      <c r="W145" s="80" t="inlineStr">
        <is>
          <t>No</t>
        </is>
      </c>
      <c r="X145" s="80" t="n">
        <v>0</v>
      </c>
      <c r="Y145" s="80">
        <f>IF(AC145="Cancelled",0,T145+U145+V145+Q145+X145)</f>
        <v/>
      </c>
      <c r="Z145" s="80">
        <f>IF(AC145="Cancelled",-Q145,S145-Y145)</f>
        <v/>
      </c>
      <c r="AA145" s="81">
        <f>IF(OR(AC145="Cancelled",S145=0),0,Z145/S145)</f>
        <v/>
      </c>
      <c r="AB145" s="82">
        <f>IFERROR(S145/Q145,0)</f>
        <v/>
      </c>
      <c r="AC145" s="56" t="inlineStr">
        <is>
          <t>Delivered</t>
        </is>
      </c>
    </row>
    <row r="146" ht="14.25" customHeight="1" s="57">
      <c r="A146" s="56" t="inlineStr">
        <is>
          <t>ORD-00436</t>
        </is>
      </c>
      <c r="B146" s="79" t="n">
        <v>45789</v>
      </c>
      <c r="C146" s="56" t="n">
        <v>2025</v>
      </c>
      <c r="D146" s="56" t="n">
        <v>5</v>
      </c>
      <c r="E146" s="56" t="inlineStr">
        <is>
          <t>UAE</t>
        </is>
      </c>
      <c r="F146" s="56" t="inlineStr">
        <is>
          <t>Sharjah</t>
        </is>
      </c>
      <c r="G146" s="56" t="inlineStr">
        <is>
          <t>TikTok Ads</t>
        </is>
      </c>
      <c r="H146" s="56" t="inlineStr">
        <is>
          <t>New Creative A/B</t>
        </is>
      </c>
      <c r="I146" s="56" t="inlineStr">
        <is>
          <t>P005</t>
        </is>
      </c>
      <c r="J146" s="56" t="inlineStr">
        <is>
          <t>Mini Printer</t>
        </is>
      </c>
      <c r="K146" s="56" t="inlineStr">
        <is>
          <t>Electronics</t>
        </is>
      </c>
      <c r="L146" s="56" t="inlineStr">
        <is>
          <t>Shenzhen Print Tech</t>
        </is>
      </c>
      <c r="M146" s="80" t="n">
        <v>63.85</v>
      </c>
      <c r="N146" s="80" t="n">
        <v>21.99</v>
      </c>
      <c r="O146" s="80" t="n">
        <v>6.77</v>
      </c>
      <c r="P146" s="80" t="n">
        <v>0.03</v>
      </c>
      <c r="Q146" s="80" t="n">
        <v>3.31</v>
      </c>
      <c r="R146" s="80" t="n">
        <v>1</v>
      </c>
      <c r="S146" s="80">
        <f>IF(AC146="Cancelled",0,M146*R146)</f>
        <v/>
      </c>
      <c r="T146" s="80">
        <f>IF(AC146="Cancelled",0,N146*R146)</f>
        <v/>
      </c>
      <c r="U146" s="80">
        <f>IF(AC146="Cancelled",0,O146*R146)</f>
        <v/>
      </c>
      <c r="V146" s="80">
        <f>IF(AC146="Cancelled",0,ROUND(P146*S146,2))</f>
        <v/>
      </c>
      <c r="W146" s="80" t="inlineStr">
        <is>
          <t>Yes</t>
        </is>
      </c>
      <c r="X146" s="80" t="n">
        <v>56.02</v>
      </c>
      <c r="Y146" s="80">
        <f>IF(AC146="Cancelled",0,T146+U146+V146+Q146+X146)</f>
        <v/>
      </c>
      <c r="Z146" s="80">
        <f>IF(AC146="Cancelled",-Q146,S146-Y146)</f>
        <v/>
      </c>
      <c r="AA146" s="81">
        <f>IF(OR(AC146="Cancelled",S146=0),0,Z146/S146)</f>
        <v/>
      </c>
      <c r="AB146" s="82">
        <f>IFERROR(S146/Q146,0)</f>
        <v/>
      </c>
      <c r="AC146" s="56" t="inlineStr">
        <is>
          <t>Refunded</t>
        </is>
      </c>
    </row>
    <row r="147" ht="14.25" customHeight="1" s="57">
      <c r="A147" s="56" t="inlineStr">
        <is>
          <t>ORD-00190</t>
        </is>
      </c>
      <c r="B147" s="79" t="n">
        <v>45790</v>
      </c>
      <c r="C147" s="56" t="n">
        <v>2025</v>
      </c>
      <c r="D147" s="56" t="n">
        <v>5</v>
      </c>
      <c r="E147" s="56" t="inlineStr">
        <is>
          <t>Saudi Arabia</t>
        </is>
      </c>
      <c r="F147" s="56" t="inlineStr">
        <is>
          <t>Riyadh</t>
        </is>
      </c>
      <c r="G147" s="56" t="inlineStr">
        <is>
          <t>Organic Search</t>
        </is>
      </c>
      <c r="H147" s="56" t="inlineStr">
        <is>
          <t>Launch Test</t>
        </is>
      </c>
      <c r="I147" s="56" t="inlineStr">
        <is>
          <t>P006</t>
        </is>
      </c>
      <c r="J147" s="56" t="inlineStr">
        <is>
          <t>Posture Corrector</t>
        </is>
      </c>
      <c r="K147" s="56" t="inlineStr">
        <is>
          <t>Fitness</t>
        </is>
      </c>
      <c r="L147" s="56" t="inlineStr">
        <is>
          <t>Hangzhou Health Gear</t>
        </is>
      </c>
      <c r="M147" s="80" t="n">
        <v>36.79</v>
      </c>
      <c r="N147" s="80" t="n">
        <v>8.699999999999999</v>
      </c>
      <c r="O147" s="80" t="n">
        <v>4.09</v>
      </c>
      <c r="P147" s="80" t="n">
        <v>0.03</v>
      </c>
      <c r="Q147" s="80" t="n">
        <v>0</v>
      </c>
      <c r="R147" s="80" t="n">
        <v>2</v>
      </c>
      <c r="S147" s="80">
        <f>IF(AC147="Cancelled",0,M147*R147)</f>
        <v/>
      </c>
      <c r="T147" s="80">
        <f>IF(AC147="Cancelled",0,N147*R147)</f>
        <v/>
      </c>
      <c r="U147" s="80">
        <f>IF(AC147="Cancelled",0,O147*R147)</f>
        <v/>
      </c>
      <c r="V147" s="80">
        <f>IF(AC147="Cancelled",0,ROUND(P147*S147,2))</f>
        <v/>
      </c>
      <c r="W147" s="80" t="inlineStr">
        <is>
          <t>No</t>
        </is>
      </c>
      <c r="X147" s="80" t="n">
        <v>0</v>
      </c>
      <c r="Y147" s="80">
        <f>IF(AC147="Cancelled",0,T147+U147+V147+Q147+X147)</f>
        <v/>
      </c>
      <c r="Z147" s="80">
        <f>IF(AC147="Cancelled",-Q147,S147-Y147)</f>
        <v/>
      </c>
      <c r="AA147" s="81">
        <f>IF(OR(AC147="Cancelled",S147=0),0,Z147/S147)</f>
        <v/>
      </c>
      <c r="AB147" s="82">
        <f>IFERROR(S147/Q147,0)</f>
        <v/>
      </c>
      <c r="AC147" s="56" t="inlineStr">
        <is>
          <t>Delivered</t>
        </is>
      </c>
    </row>
    <row r="148" ht="14.25" customHeight="1" s="57">
      <c r="A148" s="56" t="inlineStr">
        <is>
          <t>ORD-00325</t>
        </is>
      </c>
      <c r="B148" s="79" t="n">
        <v>45794</v>
      </c>
      <c r="C148" s="56" t="n">
        <v>2025</v>
      </c>
      <c r="D148" s="56" t="n">
        <v>5</v>
      </c>
      <c r="E148" s="56" t="inlineStr">
        <is>
          <t>Qatar</t>
        </is>
      </c>
      <c r="F148" s="56" t="inlineStr">
        <is>
          <t>Doha</t>
        </is>
      </c>
      <c r="G148" s="56" t="inlineStr">
        <is>
          <t>Meta Ads</t>
        </is>
      </c>
      <c r="H148" s="56" t="inlineStr">
        <is>
          <t>Bundle Promo</t>
        </is>
      </c>
      <c r="I148" s="56" t="inlineStr">
        <is>
          <t>P004</t>
        </is>
      </c>
      <c r="J148" s="56" t="inlineStr">
        <is>
          <t>Beauty Tool</t>
        </is>
      </c>
      <c r="K148" s="56" t="inlineStr">
        <is>
          <t>Beauty</t>
        </is>
      </c>
      <c r="L148" s="56" t="inlineStr">
        <is>
          <t>Ningbo Beauty Supply</t>
        </is>
      </c>
      <c r="M148" s="80" t="n">
        <v>29.88</v>
      </c>
      <c r="N148" s="80" t="n">
        <v>7.53</v>
      </c>
      <c r="O148" s="80" t="n">
        <v>4.46</v>
      </c>
      <c r="P148" s="80" t="n">
        <v>0.03</v>
      </c>
      <c r="Q148" s="80" t="n">
        <v>5.6</v>
      </c>
      <c r="R148" s="80" t="n">
        <v>1</v>
      </c>
      <c r="S148" s="80">
        <f>IF(AC148="Cancelled",0,M148*R148)</f>
        <v/>
      </c>
      <c r="T148" s="80">
        <f>IF(AC148="Cancelled",0,N148*R148)</f>
        <v/>
      </c>
      <c r="U148" s="80">
        <f>IF(AC148="Cancelled",0,O148*R148)</f>
        <v/>
      </c>
      <c r="V148" s="80">
        <f>IF(AC148="Cancelled",0,ROUND(P148*S148,2))</f>
        <v/>
      </c>
      <c r="W148" s="80" t="inlineStr">
        <is>
          <t>No</t>
        </is>
      </c>
      <c r="X148" s="80" t="n">
        <v>0</v>
      </c>
      <c r="Y148" s="80">
        <f>IF(AC148="Cancelled",0,T148+U148+V148+Q148+X148)</f>
        <v/>
      </c>
      <c r="Z148" s="80">
        <f>IF(AC148="Cancelled",-Q148,S148-Y148)</f>
        <v/>
      </c>
      <c r="AA148" s="81">
        <f>IF(OR(AC148="Cancelled",S148=0),0,Z148/S148)</f>
        <v/>
      </c>
      <c r="AB148" s="82">
        <f>IFERROR(S148/Q148,0)</f>
        <v/>
      </c>
      <c r="AC148" s="56" t="inlineStr">
        <is>
          <t>Delivered</t>
        </is>
      </c>
    </row>
    <row r="149" ht="14.25" customHeight="1" s="57">
      <c r="A149" s="56" t="inlineStr">
        <is>
          <t>ORD-00248</t>
        </is>
      </c>
      <c r="B149" s="79" t="n">
        <v>45795</v>
      </c>
      <c r="C149" s="56" t="n">
        <v>2025</v>
      </c>
      <c r="D149" s="56" t="n">
        <v>5</v>
      </c>
      <c r="E149" s="56" t="inlineStr">
        <is>
          <t>Qatar</t>
        </is>
      </c>
      <c r="F149" s="56" t="inlineStr">
        <is>
          <t>Doha</t>
        </is>
      </c>
      <c r="G149" s="56" t="inlineStr">
        <is>
          <t>TikTok Ads</t>
        </is>
      </c>
      <c r="H149" s="56" t="inlineStr">
        <is>
          <t>Retargeting</t>
        </is>
      </c>
      <c r="I149" s="56" t="inlineStr">
        <is>
          <t>P010</t>
        </is>
      </c>
      <c r="J149" s="56" t="inlineStr">
        <is>
          <t>Smart Water Bottle</t>
        </is>
      </c>
      <c r="K149" s="56" t="inlineStr">
        <is>
          <t>Lifestyle</t>
        </is>
      </c>
      <c r="L149" s="56" t="inlineStr">
        <is>
          <t>Shenzhen Smart Home</t>
        </is>
      </c>
      <c r="M149" s="80" t="n">
        <v>36.38</v>
      </c>
      <c r="N149" s="80" t="n">
        <v>10.72</v>
      </c>
      <c r="O149" s="80" t="n">
        <v>4.45</v>
      </c>
      <c r="P149" s="80" t="n">
        <v>0.03</v>
      </c>
      <c r="Q149" s="80" t="n">
        <v>5.85</v>
      </c>
      <c r="R149" s="80" t="n">
        <v>1</v>
      </c>
      <c r="S149" s="80">
        <f>IF(AC149="Cancelled",0,M149*R149)</f>
        <v/>
      </c>
      <c r="T149" s="80">
        <f>IF(AC149="Cancelled",0,N149*R149)</f>
        <v/>
      </c>
      <c r="U149" s="80">
        <f>IF(AC149="Cancelled",0,O149*R149)</f>
        <v/>
      </c>
      <c r="V149" s="80">
        <f>IF(AC149="Cancelled",0,ROUND(P149*S149,2))</f>
        <v/>
      </c>
      <c r="W149" s="80" t="inlineStr">
        <is>
          <t>Yes</t>
        </is>
      </c>
      <c r="X149" s="80" t="n">
        <v>19.64</v>
      </c>
      <c r="Y149" s="80">
        <f>IF(AC149="Cancelled",0,T149+U149+V149+Q149+X149)</f>
        <v/>
      </c>
      <c r="Z149" s="80">
        <f>IF(AC149="Cancelled",-Q149,S149-Y149)</f>
        <v/>
      </c>
      <c r="AA149" s="81">
        <f>IF(OR(AC149="Cancelled",S149=0),0,Z149/S149)</f>
        <v/>
      </c>
      <c r="AB149" s="82">
        <f>IFERROR(S149/Q149,0)</f>
        <v/>
      </c>
      <c r="AC149" s="56" t="inlineStr">
        <is>
          <t>Refunded</t>
        </is>
      </c>
    </row>
    <row r="150" ht="14.25" customHeight="1" s="57">
      <c r="A150" s="56" t="inlineStr">
        <is>
          <t>ORD-00252</t>
        </is>
      </c>
      <c r="B150" s="79" t="n">
        <v>45795</v>
      </c>
      <c r="C150" s="56" t="n">
        <v>2025</v>
      </c>
      <c r="D150" s="56" t="n">
        <v>5</v>
      </c>
      <c r="E150" s="56" t="inlineStr">
        <is>
          <t>Oman</t>
        </is>
      </c>
      <c r="F150" s="56" t="inlineStr">
        <is>
          <t>Muscat</t>
        </is>
      </c>
      <c r="G150" s="56" t="inlineStr">
        <is>
          <t>Google Ads</t>
        </is>
      </c>
      <c r="H150" s="56" t="inlineStr">
        <is>
          <t>Bundle Promo</t>
        </is>
      </c>
      <c r="I150" s="56" t="inlineStr">
        <is>
          <t>P007</t>
        </is>
      </c>
      <c r="J150" s="56" t="inlineStr">
        <is>
          <t>Pet Grooming Glove</t>
        </is>
      </c>
      <c r="K150" s="56" t="inlineStr">
        <is>
          <t>Pets</t>
        </is>
      </c>
      <c r="L150" s="56" t="inlineStr">
        <is>
          <t>Yiwu Pet Products</t>
        </is>
      </c>
      <c r="M150" s="80" t="n">
        <v>19.82</v>
      </c>
      <c r="N150" s="80" t="n">
        <v>3.43</v>
      </c>
      <c r="O150" s="80" t="n">
        <v>2.49</v>
      </c>
      <c r="P150" s="80" t="n">
        <v>0.03</v>
      </c>
      <c r="Q150" s="80" t="n">
        <v>6.96</v>
      </c>
      <c r="R150" s="80" t="n">
        <v>1</v>
      </c>
      <c r="S150" s="80">
        <f>IF(AC150="Cancelled",0,M150*R150)</f>
        <v/>
      </c>
      <c r="T150" s="80">
        <f>IF(AC150="Cancelled",0,N150*R150)</f>
        <v/>
      </c>
      <c r="U150" s="80">
        <f>IF(AC150="Cancelled",0,O150*R150)</f>
        <v/>
      </c>
      <c r="V150" s="80">
        <f>IF(AC150="Cancelled",0,ROUND(P150*S150,2))</f>
        <v/>
      </c>
      <c r="W150" s="80" t="inlineStr">
        <is>
          <t>No</t>
        </is>
      </c>
      <c r="X150" s="80" t="n">
        <v>0</v>
      </c>
      <c r="Y150" s="80">
        <f>IF(AC150="Cancelled",0,T150+U150+V150+Q150+X150)</f>
        <v/>
      </c>
      <c r="Z150" s="80">
        <f>IF(AC150="Cancelled",-Q150,S150-Y150)</f>
        <v/>
      </c>
      <c r="AA150" s="81">
        <f>IF(OR(AC150="Cancelled",S150=0),0,Z150/S150)</f>
        <v/>
      </c>
      <c r="AB150" s="82">
        <f>IFERROR(S150/Q150,0)</f>
        <v/>
      </c>
      <c r="AC150" s="56" t="inlineStr">
        <is>
          <t>Delivered</t>
        </is>
      </c>
    </row>
    <row r="151" ht="14.25" customHeight="1" s="57">
      <c r="A151" s="56" t="inlineStr">
        <is>
          <t>ORD-00400</t>
        </is>
      </c>
      <c r="B151" s="79" t="n">
        <v>45796</v>
      </c>
      <c r="C151" s="56" t="n">
        <v>2025</v>
      </c>
      <c r="D151" s="56" t="n">
        <v>5</v>
      </c>
      <c r="E151" s="56" t="inlineStr">
        <is>
          <t>UAE</t>
        </is>
      </c>
      <c r="F151" s="56" t="inlineStr">
        <is>
          <t>Abu Dhabi</t>
        </is>
      </c>
      <c r="G151" s="56" t="inlineStr">
        <is>
          <t>TikTok Ads</t>
        </is>
      </c>
      <c r="H151" s="56" t="inlineStr">
        <is>
          <t>New Creative A/B</t>
        </is>
      </c>
      <c r="I151" s="56" t="inlineStr">
        <is>
          <t>P010</t>
        </is>
      </c>
      <c r="J151" s="56" t="inlineStr">
        <is>
          <t>Smart Water Bottle</t>
        </is>
      </c>
      <c r="K151" s="56" t="inlineStr">
        <is>
          <t>Lifestyle</t>
        </is>
      </c>
      <c r="L151" s="56" t="inlineStr">
        <is>
          <t>Shenzhen Smart Home</t>
        </is>
      </c>
      <c r="M151" s="80" t="n">
        <v>30.9</v>
      </c>
      <c r="N151" s="80" t="n">
        <v>9.68</v>
      </c>
      <c r="O151" s="80" t="n">
        <v>3.85</v>
      </c>
      <c r="P151" s="80" t="n">
        <v>0.03</v>
      </c>
      <c r="Q151" s="80" t="n">
        <v>19.37</v>
      </c>
      <c r="R151" s="80" t="n">
        <v>2</v>
      </c>
      <c r="S151" s="80">
        <f>IF(AC151="Cancelled",0,M151*R151)</f>
        <v/>
      </c>
      <c r="T151" s="80">
        <f>IF(AC151="Cancelled",0,N151*R151)</f>
        <v/>
      </c>
      <c r="U151" s="80">
        <f>IF(AC151="Cancelled",0,O151*R151)</f>
        <v/>
      </c>
      <c r="V151" s="80">
        <f>IF(AC151="Cancelled",0,ROUND(P151*S151,2))</f>
        <v/>
      </c>
      <c r="W151" s="80" t="inlineStr">
        <is>
          <t>No</t>
        </is>
      </c>
      <c r="X151" s="80" t="n">
        <v>0</v>
      </c>
      <c r="Y151" s="80">
        <f>IF(AC151="Cancelled",0,T151+U151+V151+Q151+X151)</f>
        <v/>
      </c>
      <c r="Z151" s="80">
        <f>IF(AC151="Cancelled",-Q151,S151-Y151)</f>
        <v/>
      </c>
      <c r="AA151" s="81">
        <f>IF(OR(AC151="Cancelled",S151=0),0,Z151/S151)</f>
        <v/>
      </c>
      <c r="AB151" s="82">
        <f>IFERROR(S151/Q151,0)</f>
        <v/>
      </c>
      <c r="AC151" s="56" t="inlineStr">
        <is>
          <t>Delivered</t>
        </is>
      </c>
    </row>
    <row r="152" ht="14.25" customHeight="1" s="57">
      <c r="A152" s="56" t="inlineStr">
        <is>
          <t>ORD-00199</t>
        </is>
      </c>
      <c r="B152" s="79" t="n">
        <v>45799</v>
      </c>
      <c r="C152" s="56" t="n">
        <v>2025</v>
      </c>
      <c r="D152" s="56" t="n">
        <v>5</v>
      </c>
      <c r="E152" s="56" t="inlineStr">
        <is>
          <t>UAE</t>
        </is>
      </c>
      <c r="F152" s="56" t="inlineStr">
        <is>
          <t>Abu Dhabi</t>
        </is>
      </c>
      <c r="G152" s="56" t="inlineStr">
        <is>
          <t>TikTok Ads</t>
        </is>
      </c>
      <c r="H152" s="56" t="inlineStr">
        <is>
          <t>Launch Test</t>
        </is>
      </c>
      <c r="I152" s="56" t="inlineStr">
        <is>
          <t>P010</t>
        </is>
      </c>
      <c r="J152" s="56" t="inlineStr">
        <is>
          <t>Smart Water Bottle</t>
        </is>
      </c>
      <c r="K152" s="56" t="inlineStr">
        <is>
          <t>Lifestyle</t>
        </is>
      </c>
      <c r="L152" s="56" t="inlineStr">
        <is>
          <t>Shenzhen Smart Home</t>
        </is>
      </c>
      <c r="M152" s="80" t="n">
        <v>36.22</v>
      </c>
      <c r="N152" s="80" t="n">
        <v>10.18</v>
      </c>
      <c r="O152" s="80" t="n">
        <v>4.51</v>
      </c>
      <c r="P152" s="80" t="n">
        <v>0.03</v>
      </c>
      <c r="Q152" s="80" t="n">
        <v>8.73</v>
      </c>
      <c r="R152" s="80" t="n">
        <v>2</v>
      </c>
      <c r="S152" s="80">
        <f>IF(AC152="Cancelled",0,M152*R152)</f>
        <v/>
      </c>
      <c r="T152" s="80">
        <f>IF(AC152="Cancelled",0,N152*R152)</f>
        <v/>
      </c>
      <c r="U152" s="80">
        <f>IF(AC152="Cancelled",0,O152*R152)</f>
        <v/>
      </c>
      <c r="V152" s="80">
        <f>IF(AC152="Cancelled",0,ROUND(P152*S152,2))</f>
        <v/>
      </c>
      <c r="W152" s="80" t="inlineStr">
        <is>
          <t>No</t>
        </is>
      </c>
      <c r="X152" s="80" t="n">
        <v>0</v>
      </c>
      <c r="Y152" s="80">
        <f>IF(AC152="Cancelled",0,T152+U152+V152+Q152+X152)</f>
        <v/>
      </c>
      <c r="Z152" s="80">
        <f>IF(AC152="Cancelled",-Q152,S152-Y152)</f>
        <v/>
      </c>
      <c r="AA152" s="81">
        <f>IF(OR(AC152="Cancelled",S152=0),0,Z152/S152)</f>
        <v/>
      </c>
      <c r="AB152" s="82">
        <f>IFERROR(S152/Q152,0)</f>
        <v/>
      </c>
      <c r="AC152" s="56" t="inlineStr">
        <is>
          <t>Delivered</t>
        </is>
      </c>
    </row>
    <row r="153" ht="14.25" customHeight="1" s="57">
      <c r="A153" s="56" t="inlineStr">
        <is>
          <t>ORD-00311</t>
        </is>
      </c>
      <c r="B153" s="79" t="n">
        <v>45799</v>
      </c>
      <c r="C153" s="56" t="n">
        <v>2025</v>
      </c>
      <c r="D153" s="56" t="n">
        <v>5</v>
      </c>
      <c r="E153" s="56" t="inlineStr">
        <is>
          <t>UAE</t>
        </is>
      </c>
      <c r="F153" s="56" t="inlineStr">
        <is>
          <t>Abu Dhabi</t>
        </is>
      </c>
      <c r="G153" s="56" t="inlineStr">
        <is>
          <t>TikTok Ads</t>
        </is>
      </c>
      <c r="H153" s="56" t="inlineStr">
        <is>
          <t>Launch Test</t>
        </is>
      </c>
      <c r="I153" s="56" t="inlineStr">
        <is>
          <t>P010</t>
        </is>
      </c>
      <c r="J153" s="56" t="inlineStr">
        <is>
          <t>Smart Water Bottle</t>
        </is>
      </c>
      <c r="K153" s="56" t="inlineStr">
        <is>
          <t>Lifestyle</t>
        </is>
      </c>
      <c r="L153" s="56" t="inlineStr">
        <is>
          <t>Shenzhen Smart Home</t>
        </is>
      </c>
      <c r="M153" s="80" t="n">
        <v>36.07</v>
      </c>
      <c r="N153" s="80" t="n">
        <v>10.56</v>
      </c>
      <c r="O153" s="80" t="n">
        <v>3.81</v>
      </c>
      <c r="P153" s="80" t="n">
        <v>0.03</v>
      </c>
      <c r="Q153" s="80" t="n">
        <v>15.82</v>
      </c>
      <c r="R153" s="80" t="n">
        <v>3</v>
      </c>
      <c r="S153" s="80">
        <f>IF(AC153="Cancelled",0,M153*R153)</f>
        <v/>
      </c>
      <c r="T153" s="80">
        <f>IF(AC153="Cancelled",0,N153*R153)</f>
        <v/>
      </c>
      <c r="U153" s="80">
        <f>IF(AC153="Cancelled",0,O153*R153)</f>
        <v/>
      </c>
      <c r="V153" s="80">
        <f>IF(AC153="Cancelled",0,ROUND(P153*S153,2))</f>
        <v/>
      </c>
      <c r="W153" s="80" t="inlineStr">
        <is>
          <t>No</t>
        </is>
      </c>
      <c r="X153" s="80" t="n">
        <v>0</v>
      </c>
      <c r="Y153" s="80">
        <f>IF(AC153="Cancelled",0,T153+U153+V153+Q153+X153)</f>
        <v/>
      </c>
      <c r="Z153" s="80">
        <f>IF(AC153="Cancelled",-Q153,S153-Y153)</f>
        <v/>
      </c>
      <c r="AA153" s="81">
        <f>IF(OR(AC153="Cancelled",S153=0),0,Z153/S153)</f>
        <v/>
      </c>
      <c r="AB153" s="82">
        <f>IFERROR(S153/Q153,0)</f>
        <v/>
      </c>
      <c r="AC153" s="56" t="inlineStr">
        <is>
          <t>Delivered</t>
        </is>
      </c>
    </row>
    <row r="154" ht="14.25" customHeight="1" s="57">
      <c r="A154" s="56" t="inlineStr">
        <is>
          <t>ORD-00313</t>
        </is>
      </c>
      <c r="B154" s="79" t="n">
        <v>45800</v>
      </c>
      <c r="C154" s="56" t="n">
        <v>2025</v>
      </c>
      <c r="D154" s="56" t="n">
        <v>5</v>
      </c>
      <c r="E154" s="56" t="inlineStr">
        <is>
          <t>Qatar</t>
        </is>
      </c>
      <c r="F154" s="56" t="inlineStr">
        <is>
          <t>Doha</t>
        </is>
      </c>
      <c r="G154" s="56" t="inlineStr">
        <is>
          <t>Email</t>
        </is>
      </c>
      <c r="H154" s="56" t="inlineStr">
        <is>
          <t>Bundle Promo</t>
        </is>
      </c>
      <c r="I154" s="56" t="inlineStr">
        <is>
          <t>P010</t>
        </is>
      </c>
      <c r="J154" s="56" t="inlineStr">
        <is>
          <t>Smart Water Bottle</t>
        </is>
      </c>
      <c r="K154" s="56" t="inlineStr">
        <is>
          <t>Lifestyle</t>
        </is>
      </c>
      <c r="L154" s="56" t="inlineStr">
        <is>
          <t>Shenzhen Smart Home</t>
        </is>
      </c>
      <c r="M154" s="80" t="n">
        <v>33.48</v>
      </c>
      <c r="N154" s="80" t="n">
        <v>10.06</v>
      </c>
      <c r="O154" s="80" t="n">
        <v>4.55</v>
      </c>
      <c r="P154" s="80" t="n">
        <v>0.03</v>
      </c>
      <c r="Q154" s="80" t="n">
        <v>19.41</v>
      </c>
      <c r="R154" s="80" t="n">
        <v>2</v>
      </c>
      <c r="S154" s="80">
        <f>IF(AC154="Cancelled",0,M154*R154)</f>
        <v/>
      </c>
      <c r="T154" s="80">
        <f>IF(AC154="Cancelled",0,N154*R154)</f>
        <v/>
      </c>
      <c r="U154" s="80">
        <f>IF(AC154="Cancelled",0,O154*R154)</f>
        <v/>
      </c>
      <c r="V154" s="80">
        <f>IF(AC154="Cancelled",0,ROUND(P154*S154,2))</f>
        <v/>
      </c>
      <c r="W154" s="80" t="inlineStr">
        <is>
          <t>No</t>
        </is>
      </c>
      <c r="X154" s="80" t="n">
        <v>0</v>
      </c>
      <c r="Y154" s="80">
        <f>IF(AC154="Cancelled",0,T154+U154+V154+Q154+X154)</f>
        <v/>
      </c>
      <c r="Z154" s="80">
        <f>IF(AC154="Cancelled",-Q154,S154-Y154)</f>
        <v/>
      </c>
      <c r="AA154" s="81">
        <f>IF(OR(AC154="Cancelled",S154=0),0,Z154/S154)</f>
        <v/>
      </c>
      <c r="AB154" s="82">
        <f>IFERROR(S154/Q154,0)</f>
        <v/>
      </c>
      <c r="AC154" s="56" t="inlineStr">
        <is>
          <t>Cancelled</t>
        </is>
      </c>
    </row>
    <row r="155" ht="14.25" customHeight="1" s="57">
      <c r="A155" s="56" t="inlineStr">
        <is>
          <t>ORD-00415</t>
        </is>
      </c>
      <c r="B155" s="79" t="n">
        <v>45800</v>
      </c>
      <c r="C155" s="56" t="n">
        <v>2025</v>
      </c>
      <c r="D155" s="56" t="n">
        <v>5</v>
      </c>
      <c r="E155" s="56" t="inlineStr">
        <is>
          <t>UAE</t>
        </is>
      </c>
      <c r="F155" s="56" t="inlineStr">
        <is>
          <t>Sharjah</t>
        </is>
      </c>
      <c r="G155" s="56" t="inlineStr">
        <is>
          <t>Organic Search</t>
        </is>
      </c>
      <c r="H155" s="56" t="inlineStr">
        <is>
          <t>New Creative A/B</t>
        </is>
      </c>
      <c r="I155" s="56" t="inlineStr">
        <is>
          <t>P009</t>
        </is>
      </c>
      <c r="J155" s="56" t="inlineStr">
        <is>
          <t>Car Vacuum Cleaner</t>
        </is>
      </c>
      <c r="K155" s="56" t="inlineStr">
        <is>
          <t>Automotive</t>
        </is>
      </c>
      <c r="L155" s="56" t="inlineStr">
        <is>
          <t>Dongguan Auto Tools</t>
        </is>
      </c>
      <c r="M155" s="80" t="n">
        <v>48.33</v>
      </c>
      <c r="N155" s="80" t="n">
        <v>13.89</v>
      </c>
      <c r="O155" s="80" t="n">
        <v>7.4</v>
      </c>
      <c r="P155" s="80" t="n">
        <v>0.03</v>
      </c>
      <c r="Q155" s="80" t="n">
        <v>0</v>
      </c>
      <c r="R155" s="80" t="n">
        <v>2</v>
      </c>
      <c r="S155" s="80">
        <f>IF(AC155="Cancelled",0,M155*R155)</f>
        <v/>
      </c>
      <c r="T155" s="80">
        <f>IF(AC155="Cancelled",0,N155*R155)</f>
        <v/>
      </c>
      <c r="U155" s="80">
        <f>IF(AC155="Cancelled",0,O155*R155)</f>
        <v/>
      </c>
      <c r="V155" s="80">
        <f>IF(AC155="Cancelled",0,ROUND(P155*S155,2))</f>
        <v/>
      </c>
      <c r="W155" s="80" t="inlineStr">
        <is>
          <t>No</t>
        </is>
      </c>
      <c r="X155" s="80" t="n">
        <v>0</v>
      </c>
      <c r="Y155" s="80">
        <f>IF(AC155="Cancelled",0,T155+U155+V155+Q155+X155)</f>
        <v/>
      </c>
      <c r="Z155" s="80">
        <f>IF(AC155="Cancelled",-Q155,S155-Y155)</f>
        <v/>
      </c>
      <c r="AA155" s="81">
        <f>IF(OR(AC155="Cancelled",S155=0),0,Z155/S155)</f>
        <v/>
      </c>
      <c r="AB155" s="82">
        <f>IFERROR(S155/Q155,0)</f>
        <v/>
      </c>
      <c r="AC155" s="56" t="inlineStr">
        <is>
          <t>Delivered</t>
        </is>
      </c>
    </row>
    <row r="156" ht="14.25" customHeight="1" s="57">
      <c r="A156" s="56" t="inlineStr">
        <is>
          <t>ORD-00418</t>
        </is>
      </c>
      <c r="B156" s="79" t="n">
        <v>45800</v>
      </c>
      <c r="C156" s="56" t="n">
        <v>2025</v>
      </c>
      <c r="D156" s="56" t="n">
        <v>5</v>
      </c>
      <c r="E156" s="56" t="inlineStr">
        <is>
          <t>Saudi Arabia</t>
        </is>
      </c>
      <c r="F156" s="56" t="inlineStr">
        <is>
          <t>Riyadh</t>
        </is>
      </c>
      <c r="G156" s="56" t="inlineStr">
        <is>
          <t>Google Ads</t>
        </is>
      </c>
      <c r="H156" s="56" t="inlineStr">
        <is>
          <t>Launch Test</t>
        </is>
      </c>
      <c r="I156" s="56" t="inlineStr">
        <is>
          <t>P007</t>
        </is>
      </c>
      <c r="J156" s="56" t="inlineStr">
        <is>
          <t>Pet Grooming Glove</t>
        </is>
      </c>
      <c r="K156" s="56" t="inlineStr">
        <is>
          <t>Pets</t>
        </is>
      </c>
      <c r="L156" s="56" t="inlineStr">
        <is>
          <t>Yiwu Pet Products</t>
        </is>
      </c>
      <c r="M156" s="80" t="n">
        <v>18</v>
      </c>
      <c r="N156" s="80" t="n">
        <v>3.65</v>
      </c>
      <c r="O156" s="80" t="n">
        <v>2.44</v>
      </c>
      <c r="P156" s="80" t="n">
        <v>0.03</v>
      </c>
      <c r="Q156" s="80" t="n">
        <v>12.01</v>
      </c>
      <c r="R156" s="80" t="n">
        <v>2</v>
      </c>
      <c r="S156" s="80">
        <f>IF(AC156="Cancelled",0,M156*R156)</f>
        <v/>
      </c>
      <c r="T156" s="80">
        <f>IF(AC156="Cancelled",0,N156*R156)</f>
        <v/>
      </c>
      <c r="U156" s="80">
        <f>IF(AC156="Cancelled",0,O156*R156)</f>
        <v/>
      </c>
      <c r="V156" s="80">
        <f>IF(AC156="Cancelled",0,ROUND(P156*S156,2))</f>
        <v/>
      </c>
      <c r="W156" s="80" t="inlineStr">
        <is>
          <t>No</t>
        </is>
      </c>
      <c r="X156" s="80" t="n">
        <v>0</v>
      </c>
      <c r="Y156" s="80">
        <f>IF(AC156="Cancelled",0,T156+U156+V156+Q156+X156)</f>
        <v/>
      </c>
      <c r="Z156" s="80">
        <f>IF(AC156="Cancelled",-Q156,S156-Y156)</f>
        <v/>
      </c>
      <c r="AA156" s="81">
        <f>IF(OR(AC156="Cancelled",S156=0),0,Z156/S156)</f>
        <v/>
      </c>
      <c r="AB156" s="82">
        <f>IFERROR(S156/Q156,0)</f>
        <v/>
      </c>
      <c r="AC156" s="56" t="inlineStr">
        <is>
          <t>Delivered</t>
        </is>
      </c>
    </row>
    <row r="157" ht="14.25" customHeight="1" s="57">
      <c r="A157" s="56" t="inlineStr">
        <is>
          <t>ORD-00454</t>
        </is>
      </c>
      <c r="B157" s="79" t="n">
        <v>45800</v>
      </c>
      <c r="C157" s="56" t="n">
        <v>2025</v>
      </c>
      <c r="D157" s="56" t="n">
        <v>5</v>
      </c>
      <c r="E157" s="56" t="inlineStr">
        <is>
          <t>Saudi Arabia</t>
        </is>
      </c>
      <c r="F157" s="56" t="inlineStr">
        <is>
          <t>Jeddah</t>
        </is>
      </c>
      <c r="G157" s="56" t="inlineStr">
        <is>
          <t>Influencer</t>
        </is>
      </c>
      <c r="H157" s="56" t="inlineStr">
        <is>
          <t>Bundle Promo</t>
        </is>
      </c>
      <c r="I157" s="56" t="inlineStr">
        <is>
          <t>P002</t>
        </is>
      </c>
      <c r="J157" s="56" t="inlineStr">
        <is>
          <t>Phone Case</t>
        </is>
      </c>
      <c r="K157" s="56" t="inlineStr">
        <is>
          <t>Accessories</t>
        </is>
      </c>
      <c r="L157" s="56" t="inlineStr">
        <is>
          <t>Guangzhou Cases Ltd.</t>
        </is>
      </c>
      <c r="M157" s="80" t="n">
        <v>14.77</v>
      </c>
      <c r="N157" s="80" t="n">
        <v>2.16</v>
      </c>
      <c r="O157" s="80" t="n">
        <v>2.14</v>
      </c>
      <c r="P157" s="80" t="n">
        <v>0.03</v>
      </c>
      <c r="Q157" s="80" t="n">
        <v>8.279999999999999</v>
      </c>
      <c r="R157" s="80" t="n">
        <v>1</v>
      </c>
      <c r="S157" s="80">
        <f>IF(AC157="Cancelled",0,M157*R157)</f>
        <v/>
      </c>
      <c r="T157" s="80">
        <f>IF(AC157="Cancelled",0,N157*R157)</f>
        <v/>
      </c>
      <c r="U157" s="80">
        <f>IF(AC157="Cancelled",0,O157*R157)</f>
        <v/>
      </c>
      <c r="V157" s="80">
        <f>IF(AC157="Cancelled",0,ROUND(P157*S157,2))</f>
        <v/>
      </c>
      <c r="W157" s="80" t="inlineStr">
        <is>
          <t>No</t>
        </is>
      </c>
      <c r="X157" s="80" t="n">
        <v>0</v>
      </c>
      <c r="Y157" s="80">
        <f>IF(AC157="Cancelled",0,T157+U157+V157+Q157+X157)</f>
        <v/>
      </c>
      <c r="Z157" s="80">
        <f>IF(AC157="Cancelled",-Q157,S157-Y157)</f>
        <v/>
      </c>
      <c r="AA157" s="81">
        <f>IF(OR(AC157="Cancelled",S157=0),0,Z157/S157)</f>
        <v/>
      </c>
      <c r="AB157" s="82">
        <f>IFERROR(S157/Q157,0)</f>
        <v/>
      </c>
      <c r="AC157" s="56" t="inlineStr">
        <is>
          <t>Cancelled</t>
        </is>
      </c>
    </row>
    <row r="158" ht="14.25" customHeight="1" s="57">
      <c r="A158" s="56" t="inlineStr">
        <is>
          <t>ORD-00003</t>
        </is>
      </c>
      <c r="B158" s="79" t="n">
        <v>45803</v>
      </c>
      <c r="C158" s="56" t="n">
        <v>2025</v>
      </c>
      <c r="D158" s="56" t="n">
        <v>5</v>
      </c>
      <c r="E158" s="56" t="inlineStr">
        <is>
          <t>UAE</t>
        </is>
      </c>
      <c r="F158" s="56" t="inlineStr">
        <is>
          <t>Sharjah</t>
        </is>
      </c>
      <c r="G158" s="56" t="inlineStr">
        <is>
          <t>Google Ads</t>
        </is>
      </c>
      <c r="H158" s="56" t="inlineStr">
        <is>
          <t>New Creative A/B</t>
        </is>
      </c>
      <c r="I158" s="56" t="inlineStr">
        <is>
          <t>P005</t>
        </is>
      </c>
      <c r="J158" s="56" t="inlineStr">
        <is>
          <t>Mini Printer</t>
        </is>
      </c>
      <c r="K158" s="56" t="inlineStr">
        <is>
          <t>Electronics</t>
        </is>
      </c>
      <c r="L158" s="56" t="inlineStr">
        <is>
          <t>Shenzhen Print Tech</t>
        </is>
      </c>
      <c r="M158" s="80" t="n">
        <v>55.75</v>
      </c>
      <c r="N158" s="80" t="n">
        <v>23.1</v>
      </c>
      <c r="O158" s="80" t="n">
        <v>8.02</v>
      </c>
      <c r="P158" s="80" t="n">
        <v>0.03</v>
      </c>
      <c r="Q158" s="80" t="n">
        <v>20.42</v>
      </c>
      <c r="R158" s="80" t="n">
        <v>2</v>
      </c>
      <c r="S158" s="80">
        <f>IF(AC158="Cancelled",0,M158*R158)</f>
        <v/>
      </c>
      <c r="T158" s="80">
        <f>IF(AC158="Cancelled",0,N158*R158)</f>
        <v/>
      </c>
      <c r="U158" s="80">
        <f>IF(AC158="Cancelled",0,O158*R158)</f>
        <v/>
      </c>
      <c r="V158" s="80">
        <f>IF(AC158="Cancelled",0,ROUND(P158*S158,2))</f>
        <v/>
      </c>
      <c r="W158" s="80" t="inlineStr">
        <is>
          <t>No</t>
        </is>
      </c>
      <c r="X158" s="80" t="n">
        <v>0</v>
      </c>
      <c r="Y158" s="80">
        <f>IF(AC158="Cancelled",0,T158+U158+V158+Q158+X158)</f>
        <v/>
      </c>
      <c r="Z158" s="80">
        <f>IF(AC158="Cancelled",-Q158,S158-Y158)</f>
        <v/>
      </c>
      <c r="AA158" s="81">
        <f>IF(OR(AC158="Cancelled",S158=0),0,Z158/S158)</f>
        <v/>
      </c>
      <c r="AB158" s="82">
        <f>IFERROR(S158/Q158,0)</f>
        <v/>
      </c>
      <c r="AC158" s="56" t="inlineStr">
        <is>
          <t>Delivered</t>
        </is>
      </c>
    </row>
    <row r="159" ht="14.25" customHeight="1" s="57">
      <c r="A159" s="56" t="inlineStr">
        <is>
          <t>ORD-00330</t>
        </is>
      </c>
      <c r="B159" s="79" t="n">
        <v>45804</v>
      </c>
      <c r="C159" s="56" t="n">
        <v>2025</v>
      </c>
      <c r="D159" s="56" t="n">
        <v>5</v>
      </c>
      <c r="E159" s="56" t="inlineStr">
        <is>
          <t>Saudi Arabia</t>
        </is>
      </c>
      <c r="F159" s="56" t="inlineStr">
        <is>
          <t>Riyadh</t>
        </is>
      </c>
      <c r="G159" s="56" t="inlineStr">
        <is>
          <t>Meta Ads</t>
        </is>
      </c>
      <c r="H159" s="56" t="inlineStr">
        <is>
          <t>Launch Test</t>
        </is>
      </c>
      <c r="I159" s="56" t="inlineStr">
        <is>
          <t>P007</t>
        </is>
      </c>
      <c r="J159" s="56" t="inlineStr">
        <is>
          <t>Pet Grooming Glove</t>
        </is>
      </c>
      <c r="K159" s="56" t="inlineStr">
        <is>
          <t>Pets</t>
        </is>
      </c>
      <c r="L159" s="56" t="inlineStr">
        <is>
          <t>Yiwu Pet Products</t>
        </is>
      </c>
      <c r="M159" s="80" t="n">
        <v>20.88</v>
      </c>
      <c r="N159" s="80" t="n">
        <v>3.61</v>
      </c>
      <c r="O159" s="80" t="n">
        <v>2.45</v>
      </c>
      <c r="P159" s="80" t="n">
        <v>0.03</v>
      </c>
      <c r="Q159" s="80" t="n">
        <v>10.84</v>
      </c>
      <c r="R159" s="80" t="n">
        <v>3</v>
      </c>
      <c r="S159" s="80">
        <f>IF(AC159="Cancelled",0,M159*R159)</f>
        <v/>
      </c>
      <c r="T159" s="80">
        <f>IF(AC159="Cancelled",0,N159*R159)</f>
        <v/>
      </c>
      <c r="U159" s="80">
        <f>IF(AC159="Cancelled",0,O159*R159)</f>
        <v/>
      </c>
      <c r="V159" s="80">
        <f>IF(AC159="Cancelled",0,ROUND(P159*S159,2))</f>
        <v/>
      </c>
      <c r="W159" s="80" t="inlineStr">
        <is>
          <t>No</t>
        </is>
      </c>
      <c r="X159" s="80" t="n">
        <v>0</v>
      </c>
      <c r="Y159" s="80">
        <f>IF(AC159="Cancelled",0,T159+U159+V159+Q159+X159)</f>
        <v/>
      </c>
      <c r="Z159" s="80">
        <f>IF(AC159="Cancelled",-Q159,S159-Y159)</f>
        <v/>
      </c>
      <c r="AA159" s="81">
        <f>IF(OR(AC159="Cancelled",S159=0),0,Z159/S159)</f>
        <v/>
      </c>
      <c r="AB159" s="82">
        <f>IFERROR(S159/Q159,0)</f>
        <v/>
      </c>
      <c r="AC159" s="56" t="inlineStr">
        <is>
          <t>Delivered</t>
        </is>
      </c>
    </row>
    <row r="160" ht="14.25" customHeight="1" s="57">
      <c r="A160" s="56" t="inlineStr">
        <is>
          <t>ORD-00344</t>
        </is>
      </c>
      <c r="B160" s="79" t="n">
        <v>45804</v>
      </c>
      <c r="C160" s="56" t="n">
        <v>2025</v>
      </c>
      <c r="D160" s="56" t="n">
        <v>5</v>
      </c>
      <c r="E160" s="56" t="inlineStr">
        <is>
          <t>UAE</t>
        </is>
      </c>
      <c r="F160" s="56" t="inlineStr">
        <is>
          <t>Sharjah</t>
        </is>
      </c>
      <c r="G160" s="56" t="inlineStr">
        <is>
          <t>Email</t>
        </is>
      </c>
      <c r="H160" s="56" t="inlineStr">
        <is>
          <t>Retargeting</t>
        </is>
      </c>
      <c r="I160" s="56" t="inlineStr">
        <is>
          <t>P010</t>
        </is>
      </c>
      <c r="J160" s="56" t="inlineStr">
        <is>
          <t>Smart Water Bottle</t>
        </is>
      </c>
      <c r="K160" s="56" t="inlineStr">
        <is>
          <t>Lifestyle</t>
        </is>
      </c>
      <c r="L160" s="56" t="inlineStr">
        <is>
          <t>Shenzhen Smart Home</t>
        </is>
      </c>
      <c r="M160" s="80" t="n">
        <v>32.92</v>
      </c>
      <c r="N160" s="80" t="n">
        <v>10.66</v>
      </c>
      <c r="O160" s="80" t="n">
        <v>4.41</v>
      </c>
      <c r="P160" s="80" t="n">
        <v>0.03</v>
      </c>
      <c r="Q160" s="80" t="n">
        <v>5.28</v>
      </c>
      <c r="R160" s="80" t="n">
        <v>1</v>
      </c>
      <c r="S160" s="80">
        <f>IF(AC160="Cancelled",0,M160*R160)</f>
        <v/>
      </c>
      <c r="T160" s="80">
        <f>IF(AC160="Cancelled",0,N160*R160)</f>
        <v/>
      </c>
      <c r="U160" s="80">
        <f>IF(AC160="Cancelled",0,O160*R160)</f>
        <v/>
      </c>
      <c r="V160" s="80">
        <f>IF(AC160="Cancelled",0,ROUND(P160*S160,2))</f>
        <v/>
      </c>
      <c r="W160" s="80" t="inlineStr">
        <is>
          <t>No</t>
        </is>
      </c>
      <c r="X160" s="80" t="n">
        <v>0</v>
      </c>
      <c r="Y160" s="80">
        <f>IF(AC160="Cancelled",0,T160+U160+V160+Q160+X160)</f>
        <v/>
      </c>
      <c r="Z160" s="80">
        <f>IF(AC160="Cancelled",-Q160,S160-Y160)</f>
        <v/>
      </c>
      <c r="AA160" s="81">
        <f>IF(OR(AC160="Cancelled",S160=0),0,Z160/S160)</f>
        <v/>
      </c>
      <c r="AB160" s="82">
        <f>IFERROR(S160/Q160,0)</f>
        <v/>
      </c>
      <c r="AC160" s="56" t="inlineStr">
        <is>
          <t>Delivered</t>
        </is>
      </c>
    </row>
    <row r="161" ht="14.25" customHeight="1" s="57">
      <c r="A161" s="56" t="inlineStr">
        <is>
          <t>ORD-00240</t>
        </is>
      </c>
      <c r="B161" s="79" t="n">
        <v>45805</v>
      </c>
      <c r="C161" s="56" t="n">
        <v>2025</v>
      </c>
      <c r="D161" s="56" t="n">
        <v>5</v>
      </c>
      <c r="E161" s="56" t="inlineStr">
        <is>
          <t>UAE</t>
        </is>
      </c>
      <c r="F161" s="56" t="inlineStr">
        <is>
          <t>Abu Dhabi</t>
        </is>
      </c>
      <c r="G161" s="56" t="inlineStr">
        <is>
          <t>TikTok Ads</t>
        </is>
      </c>
      <c r="H161" s="56" t="inlineStr">
        <is>
          <t>Bundle Promo</t>
        </is>
      </c>
      <c r="I161" s="56" t="inlineStr">
        <is>
          <t>P004</t>
        </is>
      </c>
      <c r="J161" s="56" t="inlineStr">
        <is>
          <t>Beauty Tool</t>
        </is>
      </c>
      <c r="K161" s="56" t="inlineStr">
        <is>
          <t>Beauty</t>
        </is>
      </c>
      <c r="L161" s="56" t="inlineStr">
        <is>
          <t>Ningbo Beauty Supply</t>
        </is>
      </c>
      <c r="M161" s="80" t="n">
        <v>29.12</v>
      </c>
      <c r="N161" s="80" t="n">
        <v>7.17</v>
      </c>
      <c r="O161" s="80" t="n">
        <v>5.08</v>
      </c>
      <c r="P161" s="80" t="n">
        <v>0.03</v>
      </c>
      <c r="Q161" s="80" t="n">
        <v>16.73</v>
      </c>
      <c r="R161" s="80" t="n">
        <v>2</v>
      </c>
      <c r="S161" s="80">
        <f>IF(AC161="Cancelled",0,M161*R161)</f>
        <v/>
      </c>
      <c r="T161" s="80">
        <f>IF(AC161="Cancelled",0,N161*R161)</f>
        <v/>
      </c>
      <c r="U161" s="80">
        <f>IF(AC161="Cancelled",0,O161*R161)</f>
        <v/>
      </c>
      <c r="V161" s="80">
        <f>IF(AC161="Cancelled",0,ROUND(P161*S161,2))</f>
        <v/>
      </c>
      <c r="W161" s="80" t="inlineStr">
        <is>
          <t>No</t>
        </is>
      </c>
      <c r="X161" s="80" t="n">
        <v>0</v>
      </c>
      <c r="Y161" s="80">
        <f>IF(AC161="Cancelled",0,T161+U161+V161+Q161+X161)</f>
        <v/>
      </c>
      <c r="Z161" s="80">
        <f>IF(AC161="Cancelled",-Q161,S161-Y161)</f>
        <v/>
      </c>
      <c r="AA161" s="81">
        <f>IF(OR(AC161="Cancelled",S161=0),0,Z161/S161)</f>
        <v/>
      </c>
      <c r="AB161" s="82">
        <f>IFERROR(S161/Q161,0)</f>
        <v/>
      </c>
      <c r="AC161" s="56" t="inlineStr">
        <is>
          <t>Delivered</t>
        </is>
      </c>
    </row>
    <row r="162" ht="14.25" customHeight="1" s="57">
      <c r="A162" s="56" t="inlineStr">
        <is>
          <t>ORD-00073</t>
        </is>
      </c>
      <c r="B162" s="79" t="n">
        <v>45807</v>
      </c>
      <c r="C162" s="56" t="n">
        <v>2025</v>
      </c>
      <c r="D162" s="56" t="n">
        <v>5</v>
      </c>
      <c r="E162" s="56" t="inlineStr">
        <is>
          <t>Oman</t>
        </is>
      </c>
      <c r="F162" s="56" t="inlineStr">
        <is>
          <t>Muscat</t>
        </is>
      </c>
      <c r="G162" s="56" t="inlineStr">
        <is>
          <t>Influencer</t>
        </is>
      </c>
      <c r="H162" s="56" t="inlineStr">
        <is>
          <t>New Creative A/B</t>
        </is>
      </c>
      <c r="I162" s="56" t="inlineStr">
        <is>
          <t>P010</t>
        </is>
      </c>
      <c r="J162" s="56" t="inlineStr">
        <is>
          <t>Smart Water Bottle</t>
        </is>
      </c>
      <c r="K162" s="56" t="inlineStr">
        <is>
          <t>Lifestyle</t>
        </is>
      </c>
      <c r="L162" s="56" t="inlineStr">
        <is>
          <t>Shenzhen Smart Home</t>
        </is>
      </c>
      <c r="M162" s="80" t="n">
        <v>36.11</v>
      </c>
      <c r="N162" s="80" t="n">
        <v>10.42</v>
      </c>
      <c r="O162" s="80" t="n">
        <v>4.48</v>
      </c>
      <c r="P162" s="80" t="n">
        <v>0.03</v>
      </c>
      <c r="Q162" s="80" t="n">
        <v>7.2</v>
      </c>
      <c r="R162" s="80" t="n">
        <v>1</v>
      </c>
      <c r="S162" s="80">
        <f>IF(AC162="Cancelled",0,M162*R162)</f>
        <v/>
      </c>
      <c r="T162" s="80">
        <f>IF(AC162="Cancelled",0,N162*R162)</f>
        <v/>
      </c>
      <c r="U162" s="80">
        <f>IF(AC162="Cancelled",0,O162*R162)</f>
        <v/>
      </c>
      <c r="V162" s="80">
        <f>IF(AC162="Cancelled",0,ROUND(P162*S162,2))</f>
        <v/>
      </c>
      <c r="W162" s="80" t="inlineStr">
        <is>
          <t>No</t>
        </is>
      </c>
      <c r="X162" s="80" t="n">
        <v>0</v>
      </c>
      <c r="Y162" s="80">
        <f>IF(AC162="Cancelled",0,T162+U162+V162+Q162+X162)</f>
        <v/>
      </c>
      <c r="Z162" s="80">
        <f>IF(AC162="Cancelled",-Q162,S162-Y162)</f>
        <v/>
      </c>
      <c r="AA162" s="81">
        <f>IF(OR(AC162="Cancelled",S162=0),0,Z162/S162)</f>
        <v/>
      </c>
      <c r="AB162" s="82">
        <f>IFERROR(S162/Q162,0)</f>
        <v/>
      </c>
      <c r="AC162" s="56" t="inlineStr">
        <is>
          <t>Delivered</t>
        </is>
      </c>
    </row>
    <row r="163" ht="14.25" customHeight="1" s="57">
      <c r="A163" s="56" t="inlineStr">
        <is>
          <t>ORD-00089</t>
        </is>
      </c>
      <c r="B163" s="79" t="n">
        <v>45807</v>
      </c>
      <c r="C163" s="56" t="n">
        <v>2025</v>
      </c>
      <c r="D163" s="56" t="n">
        <v>5</v>
      </c>
      <c r="E163" s="56" t="inlineStr">
        <is>
          <t>Saudi Arabia</t>
        </is>
      </c>
      <c r="F163" s="56" t="inlineStr">
        <is>
          <t>Jeddah</t>
        </is>
      </c>
      <c r="G163" s="56" t="inlineStr">
        <is>
          <t>TikTok Ads</t>
        </is>
      </c>
      <c r="H163" s="56" t="inlineStr">
        <is>
          <t>New Creative A/B</t>
        </is>
      </c>
      <c r="I163" s="56" t="inlineStr">
        <is>
          <t>P001</t>
        </is>
      </c>
      <c r="J163" s="56" t="inlineStr">
        <is>
          <t>Wireless Earbuds</t>
        </is>
      </c>
      <c r="K163" s="56" t="inlineStr">
        <is>
          <t>Electronics</t>
        </is>
      </c>
      <c r="L163" s="56" t="inlineStr">
        <is>
          <t>Shenzhen Audio Co.</t>
        </is>
      </c>
      <c r="M163" s="80" t="n">
        <v>39.09</v>
      </c>
      <c r="N163" s="80" t="n">
        <v>8.550000000000001</v>
      </c>
      <c r="O163" s="80" t="n">
        <v>3.71</v>
      </c>
      <c r="P163" s="80" t="n">
        <v>0.03</v>
      </c>
      <c r="Q163" s="80" t="n">
        <v>18.13</v>
      </c>
      <c r="R163" s="80" t="n">
        <v>2</v>
      </c>
      <c r="S163" s="80">
        <f>IF(AC163="Cancelled",0,M163*R163)</f>
        <v/>
      </c>
      <c r="T163" s="80">
        <f>IF(AC163="Cancelled",0,N163*R163)</f>
        <v/>
      </c>
      <c r="U163" s="80">
        <f>IF(AC163="Cancelled",0,O163*R163)</f>
        <v/>
      </c>
      <c r="V163" s="80">
        <f>IF(AC163="Cancelled",0,ROUND(P163*S163,2))</f>
        <v/>
      </c>
      <c r="W163" s="80" t="inlineStr">
        <is>
          <t>No</t>
        </is>
      </c>
      <c r="X163" s="80" t="n">
        <v>0</v>
      </c>
      <c r="Y163" s="80">
        <f>IF(AC163="Cancelled",0,T163+U163+V163+Q163+X163)</f>
        <v/>
      </c>
      <c r="Z163" s="80">
        <f>IF(AC163="Cancelled",-Q163,S163-Y163)</f>
        <v/>
      </c>
      <c r="AA163" s="81">
        <f>IF(OR(AC163="Cancelled",S163=0),0,Z163/S163)</f>
        <v/>
      </c>
      <c r="AB163" s="82">
        <f>IFERROR(S163/Q163,0)</f>
        <v/>
      </c>
      <c r="AC163" s="56" t="inlineStr">
        <is>
          <t>Delivered</t>
        </is>
      </c>
    </row>
    <row r="164" ht="14.25" customHeight="1" s="57">
      <c r="A164" s="56" t="inlineStr">
        <is>
          <t>ORD-00161</t>
        </is>
      </c>
      <c r="B164" s="79" t="n">
        <v>45807</v>
      </c>
      <c r="C164" s="56" t="n">
        <v>2025</v>
      </c>
      <c r="D164" s="56" t="n">
        <v>5</v>
      </c>
      <c r="E164" s="56" t="inlineStr">
        <is>
          <t>Oman</t>
        </is>
      </c>
      <c r="F164" s="56" t="inlineStr">
        <is>
          <t>Muscat</t>
        </is>
      </c>
      <c r="G164" s="56" t="inlineStr">
        <is>
          <t>TikTok Ads</t>
        </is>
      </c>
      <c r="H164" s="56" t="inlineStr">
        <is>
          <t>Summer Sale</t>
        </is>
      </c>
      <c r="I164" s="56" t="inlineStr">
        <is>
          <t>P010</t>
        </is>
      </c>
      <c r="J164" s="56" t="inlineStr">
        <is>
          <t>Smart Water Bottle</t>
        </is>
      </c>
      <c r="K164" s="56" t="inlineStr">
        <is>
          <t>Lifestyle</t>
        </is>
      </c>
      <c r="L164" s="56" t="inlineStr">
        <is>
          <t>Shenzhen Smart Home</t>
        </is>
      </c>
      <c r="M164" s="80" t="n">
        <v>30.87</v>
      </c>
      <c r="N164" s="80" t="n">
        <v>9.85</v>
      </c>
      <c r="O164" s="80" t="n">
        <v>3.62</v>
      </c>
      <c r="P164" s="80" t="n">
        <v>0.03</v>
      </c>
      <c r="Q164" s="80" t="n">
        <v>8.51</v>
      </c>
      <c r="R164" s="80" t="n">
        <v>1</v>
      </c>
      <c r="S164" s="80">
        <f>IF(AC164="Cancelled",0,M164*R164)</f>
        <v/>
      </c>
      <c r="T164" s="80">
        <f>IF(AC164="Cancelled",0,N164*R164)</f>
        <v/>
      </c>
      <c r="U164" s="80">
        <f>IF(AC164="Cancelled",0,O164*R164)</f>
        <v/>
      </c>
      <c r="V164" s="80">
        <f>IF(AC164="Cancelled",0,ROUND(P164*S164,2))</f>
        <v/>
      </c>
      <c r="W164" s="80" t="inlineStr">
        <is>
          <t>No</t>
        </is>
      </c>
      <c r="X164" s="80" t="n">
        <v>0</v>
      </c>
      <c r="Y164" s="80">
        <f>IF(AC164="Cancelled",0,T164+U164+V164+Q164+X164)</f>
        <v/>
      </c>
      <c r="Z164" s="80">
        <f>IF(AC164="Cancelled",-Q164,S164-Y164)</f>
        <v/>
      </c>
      <c r="AA164" s="81">
        <f>IF(OR(AC164="Cancelled",S164=0),0,Z164/S164)</f>
        <v/>
      </c>
      <c r="AB164" s="82">
        <f>IFERROR(S164/Q164,0)</f>
        <v/>
      </c>
      <c r="AC164" s="56" t="inlineStr">
        <is>
          <t>Delivered</t>
        </is>
      </c>
    </row>
    <row r="165" ht="14.25" customHeight="1" s="57">
      <c r="A165" s="56" t="inlineStr">
        <is>
          <t>ORD-00244</t>
        </is>
      </c>
      <c r="B165" s="79" t="n">
        <v>45807</v>
      </c>
      <c r="C165" s="56" t="n">
        <v>2025</v>
      </c>
      <c r="D165" s="56" t="n">
        <v>5</v>
      </c>
      <c r="E165" s="56" t="inlineStr">
        <is>
          <t>Kuwait</t>
        </is>
      </c>
      <c r="F165" s="56" t="inlineStr">
        <is>
          <t>Kuwait City</t>
        </is>
      </c>
      <c r="G165" s="56" t="inlineStr">
        <is>
          <t>TikTok Ads</t>
        </is>
      </c>
      <c r="H165" s="56" t="inlineStr">
        <is>
          <t>Retargeting</t>
        </is>
      </c>
      <c r="I165" s="56" t="inlineStr">
        <is>
          <t>P001</t>
        </is>
      </c>
      <c r="J165" s="56" t="inlineStr">
        <is>
          <t>Wireless Earbuds</t>
        </is>
      </c>
      <c r="K165" s="56" t="inlineStr">
        <is>
          <t>Electronics</t>
        </is>
      </c>
      <c r="L165" s="56" t="inlineStr">
        <is>
          <t>Shenzhen Audio Co.</t>
        </is>
      </c>
      <c r="M165" s="80" t="n">
        <v>42.22</v>
      </c>
      <c r="N165" s="80" t="n">
        <v>8.82</v>
      </c>
      <c r="O165" s="80" t="n">
        <v>4.3</v>
      </c>
      <c r="P165" s="80" t="n">
        <v>0.03</v>
      </c>
      <c r="Q165" s="80" t="n">
        <v>9.82</v>
      </c>
      <c r="R165" s="80" t="n">
        <v>1</v>
      </c>
      <c r="S165" s="80">
        <f>IF(AC165="Cancelled",0,M165*R165)</f>
        <v/>
      </c>
      <c r="T165" s="80">
        <f>IF(AC165="Cancelled",0,N165*R165)</f>
        <v/>
      </c>
      <c r="U165" s="80">
        <f>IF(AC165="Cancelled",0,O165*R165)</f>
        <v/>
      </c>
      <c r="V165" s="80">
        <f>IF(AC165="Cancelled",0,ROUND(P165*S165,2))</f>
        <v/>
      </c>
      <c r="W165" s="80" t="inlineStr">
        <is>
          <t>No</t>
        </is>
      </c>
      <c r="X165" s="80" t="n">
        <v>0</v>
      </c>
      <c r="Y165" s="80">
        <f>IF(AC165="Cancelled",0,T165+U165+V165+Q165+X165)</f>
        <v/>
      </c>
      <c r="Z165" s="80">
        <f>IF(AC165="Cancelled",-Q165,S165-Y165)</f>
        <v/>
      </c>
      <c r="AA165" s="81">
        <f>IF(OR(AC165="Cancelled",S165=0),0,Z165/S165)</f>
        <v/>
      </c>
      <c r="AB165" s="82">
        <f>IFERROR(S165/Q165,0)</f>
        <v/>
      </c>
      <c r="AC165" s="56" t="inlineStr">
        <is>
          <t>Delivered</t>
        </is>
      </c>
    </row>
    <row r="166" ht="14.25" customHeight="1" s="57">
      <c r="A166" s="56" t="inlineStr">
        <is>
          <t>ORD-00289</t>
        </is>
      </c>
      <c r="B166" s="79" t="n">
        <v>45807</v>
      </c>
      <c r="C166" s="56" t="n">
        <v>2025</v>
      </c>
      <c r="D166" s="56" t="n">
        <v>5</v>
      </c>
      <c r="E166" s="56" t="inlineStr">
        <is>
          <t>Saudi Arabia</t>
        </is>
      </c>
      <c r="F166" s="56" t="inlineStr">
        <is>
          <t>Jeddah</t>
        </is>
      </c>
      <c r="G166" s="56" t="inlineStr">
        <is>
          <t>TikTok Ads</t>
        </is>
      </c>
      <c r="H166" s="56" t="inlineStr">
        <is>
          <t>Summer Sale</t>
        </is>
      </c>
      <c r="I166" s="56" t="inlineStr">
        <is>
          <t>P005</t>
        </is>
      </c>
      <c r="J166" s="56" t="inlineStr">
        <is>
          <t>Mini Printer</t>
        </is>
      </c>
      <c r="K166" s="56" t="inlineStr">
        <is>
          <t>Electronics</t>
        </is>
      </c>
      <c r="L166" s="56" t="inlineStr">
        <is>
          <t>Shenzhen Print Tech</t>
        </is>
      </c>
      <c r="M166" s="80" t="n">
        <v>63.57</v>
      </c>
      <c r="N166" s="80" t="n">
        <v>22.29</v>
      </c>
      <c r="O166" s="80" t="n">
        <v>7.14</v>
      </c>
      <c r="P166" s="80" t="n">
        <v>0.03</v>
      </c>
      <c r="Q166" s="80" t="n">
        <v>15.42</v>
      </c>
      <c r="R166" s="80" t="n">
        <v>3</v>
      </c>
      <c r="S166" s="80">
        <f>IF(AC166="Cancelled",0,M166*R166)</f>
        <v/>
      </c>
      <c r="T166" s="80">
        <f>IF(AC166="Cancelled",0,N166*R166)</f>
        <v/>
      </c>
      <c r="U166" s="80">
        <f>IF(AC166="Cancelled",0,O166*R166)</f>
        <v/>
      </c>
      <c r="V166" s="80">
        <f>IF(AC166="Cancelled",0,ROUND(P166*S166,2))</f>
        <v/>
      </c>
      <c r="W166" s="80" t="inlineStr">
        <is>
          <t>No</t>
        </is>
      </c>
      <c r="X166" s="80" t="n">
        <v>0</v>
      </c>
      <c r="Y166" s="80">
        <f>IF(AC166="Cancelled",0,T166+U166+V166+Q166+X166)</f>
        <v/>
      </c>
      <c r="Z166" s="80">
        <f>IF(AC166="Cancelled",-Q166,S166-Y166)</f>
        <v/>
      </c>
      <c r="AA166" s="81">
        <f>IF(OR(AC166="Cancelled",S166=0),0,Z166/S166)</f>
        <v/>
      </c>
      <c r="AB166" s="82">
        <f>IFERROR(S166/Q166,0)</f>
        <v/>
      </c>
      <c r="AC166" s="56" t="inlineStr">
        <is>
          <t>Delivered</t>
        </is>
      </c>
    </row>
    <row r="167" ht="14.25" customHeight="1" s="57">
      <c r="A167" s="56" t="inlineStr">
        <is>
          <t>ORD-00464</t>
        </is>
      </c>
      <c r="B167" s="79" t="n">
        <v>45807</v>
      </c>
      <c r="C167" s="56" t="n">
        <v>2025</v>
      </c>
      <c r="D167" s="56" t="n">
        <v>5</v>
      </c>
      <c r="E167" s="56" t="inlineStr">
        <is>
          <t>UAE</t>
        </is>
      </c>
      <c r="F167" s="56" t="inlineStr">
        <is>
          <t>Abu Dhabi</t>
        </is>
      </c>
      <c r="G167" s="56" t="inlineStr">
        <is>
          <t>Email</t>
        </is>
      </c>
      <c r="H167" s="56" t="inlineStr">
        <is>
          <t>Summer Sale</t>
        </is>
      </c>
      <c r="I167" s="56" t="inlineStr">
        <is>
          <t>P002</t>
        </is>
      </c>
      <c r="J167" s="56" t="inlineStr">
        <is>
          <t>Phone Case</t>
        </is>
      </c>
      <c r="K167" s="56" t="inlineStr">
        <is>
          <t>Accessories</t>
        </is>
      </c>
      <c r="L167" s="56" t="inlineStr">
        <is>
          <t>Guangzhou Cases Ltd.</t>
        </is>
      </c>
      <c r="M167" s="80" t="n">
        <v>15.88</v>
      </c>
      <c r="N167" s="80" t="n">
        <v>2.15</v>
      </c>
      <c r="O167" s="80" t="n">
        <v>2</v>
      </c>
      <c r="P167" s="80" t="n">
        <v>0.03</v>
      </c>
      <c r="Q167" s="80" t="n">
        <v>14.06</v>
      </c>
      <c r="R167" s="80" t="n">
        <v>2</v>
      </c>
      <c r="S167" s="80">
        <f>IF(AC167="Cancelled",0,M167*R167)</f>
        <v/>
      </c>
      <c r="T167" s="80">
        <f>IF(AC167="Cancelled",0,N167*R167)</f>
        <v/>
      </c>
      <c r="U167" s="80">
        <f>IF(AC167="Cancelled",0,O167*R167)</f>
        <v/>
      </c>
      <c r="V167" s="80">
        <f>IF(AC167="Cancelled",0,ROUND(P167*S167,2))</f>
        <v/>
      </c>
      <c r="W167" s="80" t="inlineStr">
        <is>
          <t>No</t>
        </is>
      </c>
      <c r="X167" s="80" t="n">
        <v>0</v>
      </c>
      <c r="Y167" s="80">
        <f>IF(AC167="Cancelled",0,T167+U167+V167+Q167+X167)</f>
        <v/>
      </c>
      <c r="Z167" s="80">
        <f>IF(AC167="Cancelled",-Q167,S167-Y167)</f>
        <v/>
      </c>
      <c r="AA167" s="81">
        <f>IF(OR(AC167="Cancelled",S167=0),0,Z167/S167)</f>
        <v/>
      </c>
      <c r="AB167" s="82">
        <f>IFERROR(S167/Q167,0)</f>
        <v/>
      </c>
      <c r="AC167" s="56" t="inlineStr">
        <is>
          <t>Delivered</t>
        </is>
      </c>
    </row>
    <row r="168" ht="14.25" customHeight="1" s="57">
      <c r="A168" s="56" t="inlineStr">
        <is>
          <t>ORD-00170</t>
        </is>
      </c>
      <c r="B168" s="79" t="n">
        <v>45808</v>
      </c>
      <c r="C168" s="56" t="n">
        <v>2025</v>
      </c>
      <c r="D168" s="56" t="n">
        <v>5</v>
      </c>
      <c r="E168" s="56" t="inlineStr">
        <is>
          <t>Oman</t>
        </is>
      </c>
      <c r="F168" s="56" t="inlineStr">
        <is>
          <t>Muscat</t>
        </is>
      </c>
      <c r="G168" s="56" t="inlineStr">
        <is>
          <t>TikTok Ads</t>
        </is>
      </c>
      <c r="H168" s="56" t="inlineStr">
        <is>
          <t>Launch Test</t>
        </is>
      </c>
      <c r="I168" s="56" t="inlineStr">
        <is>
          <t>P001</t>
        </is>
      </c>
      <c r="J168" s="56" t="inlineStr">
        <is>
          <t>Wireless Earbuds</t>
        </is>
      </c>
      <c r="K168" s="56" t="inlineStr">
        <is>
          <t>Electronics</t>
        </is>
      </c>
      <c r="L168" s="56" t="inlineStr">
        <is>
          <t>Shenzhen Audio Co.</t>
        </is>
      </c>
      <c r="M168" s="80" t="n">
        <v>39.19</v>
      </c>
      <c r="N168" s="80" t="n">
        <v>8.4</v>
      </c>
      <c r="O168" s="80" t="n">
        <v>3.69</v>
      </c>
      <c r="P168" s="80" t="n">
        <v>0.03</v>
      </c>
      <c r="Q168" s="80" t="n">
        <v>19.84</v>
      </c>
      <c r="R168" s="80" t="n">
        <v>2</v>
      </c>
      <c r="S168" s="80">
        <f>IF(AC168="Cancelled",0,M168*R168)</f>
        <v/>
      </c>
      <c r="T168" s="80">
        <f>IF(AC168="Cancelled",0,N168*R168)</f>
        <v/>
      </c>
      <c r="U168" s="80">
        <f>IF(AC168="Cancelled",0,O168*R168)</f>
        <v/>
      </c>
      <c r="V168" s="80">
        <f>IF(AC168="Cancelled",0,ROUND(P168*S168,2))</f>
        <v/>
      </c>
      <c r="W168" s="80" t="inlineStr">
        <is>
          <t>No</t>
        </is>
      </c>
      <c r="X168" s="80" t="n">
        <v>0</v>
      </c>
      <c r="Y168" s="80">
        <f>IF(AC168="Cancelled",0,T168+U168+V168+Q168+X168)</f>
        <v/>
      </c>
      <c r="Z168" s="80">
        <f>IF(AC168="Cancelled",-Q168,S168-Y168)</f>
        <v/>
      </c>
      <c r="AA168" s="81">
        <f>IF(OR(AC168="Cancelled",S168=0),0,Z168/S168)</f>
        <v/>
      </c>
      <c r="AB168" s="82">
        <f>IFERROR(S168/Q168,0)</f>
        <v/>
      </c>
      <c r="AC168" s="56" t="inlineStr">
        <is>
          <t>Delivered</t>
        </is>
      </c>
    </row>
    <row r="169" ht="14.25" customHeight="1" s="57">
      <c r="A169" s="56" t="inlineStr">
        <is>
          <t>ORD-00151</t>
        </is>
      </c>
      <c r="B169" s="79" t="n">
        <v>45810</v>
      </c>
      <c r="C169" s="56" t="n">
        <v>2025</v>
      </c>
      <c r="D169" s="56" t="n">
        <v>6</v>
      </c>
      <c r="E169" s="56" t="inlineStr">
        <is>
          <t>Saudi Arabia</t>
        </is>
      </c>
      <c r="F169" s="56" t="inlineStr">
        <is>
          <t>Riyadh</t>
        </is>
      </c>
      <c r="G169" s="56" t="inlineStr">
        <is>
          <t>Email</t>
        </is>
      </c>
      <c r="H169" s="56" t="inlineStr">
        <is>
          <t>Launch Test</t>
        </is>
      </c>
      <c r="I169" s="56" t="inlineStr">
        <is>
          <t>P001</t>
        </is>
      </c>
      <c r="J169" s="56" t="inlineStr">
        <is>
          <t>Wireless Earbuds</t>
        </is>
      </c>
      <c r="K169" s="56" t="inlineStr">
        <is>
          <t>Electronics</t>
        </is>
      </c>
      <c r="L169" s="56" t="inlineStr">
        <is>
          <t>Shenzhen Audio Co.</t>
        </is>
      </c>
      <c r="M169" s="80" t="n">
        <v>41.76</v>
      </c>
      <c r="N169" s="80" t="n">
        <v>9.050000000000001</v>
      </c>
      <c r="O169" s="80" t="n">
        <v>4.22</v>
      </c>
      <c r="P169" s="80" t="n">
        <v>0.03</v>
      </c>
      <c r="Q169" s="80" t="n">
        <v>19.79</v>
      </c>
      <c r="R169" s="80" t="n">
        <v>2</v>
      </c>
      <c r="S169" s="80">
        <f>IF(AC169="Cancelled",0,M169*R169)</f>
        <v/>
      </c>
      <c r="T169" s="80">
        <f>IF(AC169="Cancelled",0,N169*R169)</f>
        <v/>
      </c>
      <c r="U169" s="80">
        <f>IF(AC169="Cancelled",0,O169*R169)</f>
        <v/>
      </c>
      <c r="V169" s="80">
        <f>IF(AC169="Cancelled",0,ROUND(P169*S169,2))</f>
        <v/>
      </c>
      <c r="W169" s="80" t="inlineStr">
        <is>
          <t>No</t>
        </is>
      </c>
      <c r="X169" s="80" t="n">
        <v>0</v>
      </c>
      <c r="Y169" s="80">
        <f>IF(AC169="Cancelled",0,T169+U169+V169+Q169+X169)</f>
        <v/>
      </c>
      <c r="Z169" s="80">
        <f>IF(AC169="Cancelled",-Q169,S169-Y169)</f>
        <v/>
      </c>
      <c r="AA169" s="81">
        <f>IF(OR(AC169="Cancelled",S169=0),0,Z169/S169)</f>
        <v/>
      </c>
      <c r="AB169" s="82">
        <f>IFERROR(S169/Q169,0)</f>
        <v/>
      </c>
      <c r="AC169" s="56" t="inlineStr">
        <is>
          <t>Delivered</t>
        </is>
      </c>
    </row>
    <row r="170" ht="14.25" customHeight="1" s="57">
      <c r="A170" s="56" t="inlineStr">
        <is>
          <t>ORD-00340</t>
        </is>
      </c>
      <c r="B170" s="79" t="n">
        <v>45810</v>
      </c>
      <c r="C170" s="56" t="n">
        <v>2025</v>
      </c>
      <c r="D170" s="56" t="n">
        <v>6</v>
      </c>
      <c r="E170" s="56" t="inlineStr">
        <is>
          <t>UAE</t>
        </is>
      </c>
      <c r="F170" s="56" t="inlineStr">
        <is>
          <t>Abu Dhabi</t>
        </is>
      </c>
      <c r="G170" s="56" t="inlineStr">
        <is>
          <t>Meta Ads</t>
        </is>
      </c>
      <c r="H170" s="56" t="inlineStr">
        <is>
          <t>Retargeting</t>
        </is>
      </c>
      <c r="I170" s="56" t="inlineStr">
        <is>
          <t>P009</t>
        </is>
      </c>
      <c r="J170" s="56" t="inlineStr">
        <is>
          <t>Car Vacuum Cleaner</t>
        </is>
      </c>
      <c r="K170" s="56" t="inlineStr">
        <is>
          <t>Automotive</t>
        </is>
      </c>
      <c r="L170" s="56" t="inlineStr">
        <is>
          <t>Dongguan Auto Tools</t>
        </is>
      </c>
      <c r="M170" s="80" t="n">
        <v>47.28</v>
      </c>
      <c r="N170" s="80" t="n">
        <v>14.58</v>
      </c>
      <c r="O170" s="80" t="n">
        <v>6.05</v>
      </c>
      <c r="P170" s="80" t="n">
        <v>0.03</v>
      </c>
      <c r="Q170" s="80" t="n">
        <v>13.28</v>
      </c>
      <c r="R170" s="80" t="n">
        <v>3</v>
      </c>
      <c r="S170" s="80">
        <f>IF(AC170="Cancelled",0,M170*R170)</f>
        <v/>
      </c>
      <c r="T170" s="80">
        <f>IF(AC170="Cancelled",0,N170*R170)</f>
        <v/>
      </c>
      <c r="U170" s="80">
        <f>IF(AC170="Cancelled",0,O170*R170)</f>
        <v/>
      </c>
      <c r="V170" s="80">
        <f>IF(AC170="Cancelled",0,ROUND(P170*S170,2))</f>
        <v/>
      </c>
      <c r="W170" s="80" t="inlineStr">
        <is>
          <t>No</t>
        </is>
      </c>
      <c r="X170" s="80" t="n">
        <v>0</v>
      </c>
      <c r="Y170" s="80">
        <f>IF(AC170="Cancelled",0,T170+U170+V170+Q170+X170)</f>
        <v/>
      </c>
      <c r="Z170" s="80">
        <f>IF(AC170="Cancelled",-Q170,S170-Y170)</f>
        <v/>
      </c>
      <c r="AA170" s="81">
        <f>IF(OR(AC170="Cancelled",S170=0),0,Z170/S170)</f>
        <v/>
      </c>
      <c r="AB170" s="82">
        <f>IFERROR(S170/Q170,0)</f>
        <v/>
      </c>
      <c r="AC170" s="56" t="inlineStr">
        <is>
          <t>Delivered</t>
        </is>
      </c>
    </row>
    <row r="171" ht="14.25" customHeight="1" s="57">
      <c r="A171" s="56" t="inlineStr">
        <is>
          <t>ORD-00095</t>
        </is>
      </c>
      <c r="B171" s="79" t="n">
        <v>45811</v>
      </c>
      <c r="C171" s="56" t="n">
        <v>2025</v>
      </c>
      <c r="D171" s="56" t="n">
        <v>6</v>
      </c>
      <c r="E171" s="56" t="inlineStr">
        <is>
          <t>Kuwait</t>
        </is>
      </c>
      <c r="F171" s="56" t="inlineStr">
        <is>
          <t>Kuwait City</t>
        </is>
      </c>
      <c r="G171" s="56" t="inlineStr">
        <is>
          <t>Email</t>
        </is>
      </c>
      <c r="H171" s="56" t="inlineStr">
        <is>
          <t>Summer Sale</t>
        </is>
      </c>
      <c r="I171" s="56" t="inlineStr">
        <is>
          <t>P009</t>
        </is>
      </c>
      <c r="J171" s="56" t="inlineStr">
        <is>
          <t>Car Vacuum Cleaner</t>
        </is>
      </c>
      <c r="K171" s="56" t="inlineStr">
        <is>
          <t>Automotive</t>
        </is>
      </c>
      <c r="L171" s="56" t="inlineStr">
        <is>
          <t>Dongguan Auto Tools</t>
        </is>
      </c>
      <c r="M171" s="80" t="n">
        <v>46.78</v>
      </c>
      <c r="N171" s="80" t="n">
        <v>14.88</v>
      </c>
      <c r="O171" s="80" t="n">
        <v>6.87</v>
      </c>
      <c r="P171" s="80" t="n">
        <v>0.03</v>
      </c>
      <c r="Q171" s="80" t="n">
        <v>15.77</v>
      </c>
      <c r="R171" s="80" t="n">
        <v>3</v>
      </c>
      <c r="S171" s="80">
        <f>IF(AC171="Cancelled",0,M171*R171)</f>
        <v/>
      </c>
      <c r="T171" s="80">
        <f>IF(AC171="Cancelled",0,N171*R171)</f>
        <v/>
      </c>
      <c r="U171" s="80">
        <f>IF(AC171="Cancelled",0,O171*R171)</f>
        <v/>
      </c>
      <c r="V171" s="80">
        <f>IF(AC171="Cancelled",0,ROUND(P171*S171,2))</f>
        <v/>
      </c>
      <c r="W171" s="80" t="inlineStr">
        <is>
          <t>No</t>
        </is>
      </c>
      <c r="X171" s="80" t="n">
        <v>0</v>
      </c>
      <c r="Y171" s="80">
        <f>IF(AC171="Cancelled",0,T171+U171+V171+Q171+X171)</f>
        <v/>
      </c>
      <c r="Z171" s="80">
        <f>IF(AC171="Cancelled",-Q171,S171-Y171)</f>
        <v/>
      </c>
      <c r="AA171" s="81">
        <f>IF(OR(AC171="Cancelled",S171=0),0,Z171/S171)</f>
        <v/>
      </c>
      <c r="AB171" s="82">
        <f>IFERROR(S171/Q171,0)</f>
        <v/>
      </c>
      <c r="AC171" s="56" t="inlineStr">
        <is>
          <t>Delivered</t>
        </is>
      </c>
    </row>
    <row r="172" ht="14.25" customHeight="1" s="57">
      <c r="A172" s="56" t="inlineStr">
        <is>
          <t>ORD-00234</t>
        </is>
      </c>
      <c r="B172" s="79" t="n">
        <v>45812</v>
      </c>
      <c r="C172" s="56" t="n">
        <v>2025</v>
      </c>
      <c r="D172" s="56" t="n">
        <v>6</v>
      </c>
      <c r="E172" s="56" t="inlineStr">
        <is>
          <t>Oman</t>
        </is>
      </c>
      <c r="F172" s="56" t="inlineStr">
        <is>
          <t>Muscat</t>
        </is>
      </c>
      <c r="G172" s="56" t="inlineStr">
        <is>
          <t>TikTok Ads</t>
        </is>
      </c>
      <c r="H172" s="56" t="inlineStr">
        <is>
          <t>Retargeting</t>
        </is>
      </c>
      <c r="I172" s="56" t="inlineStr">
        <is>
          <t>P001</t>
        </is>
      </c>
      <c r="J172" s="56" t="inlineStr">
        <is>
          <t>Wireless Earbuds</t>
        </is>
      </c>
      <c r="K172" s="56" t="inlineStr">
        <is>
          <t>Electronics</t>
        </is>
      </c>
      <c r="L172" s="56" t="inlineStr">
        <is>
          <t>Shenzhen Audio Co.</t>
        </is>
      </c>
      <c r="M172" s="80" t="n">
        <v>42.08</v>
      </c>
      <c r="N172" s="80" t="n">
        <v>8.529999999999999</v>
      </c>
      <c r="O172" s="80" t="n">
        <v>3.77</v>
      </c>
      <c r="P172" s="80" t="n">
        <v>0.03</v>
      </c>
      <c r="Q172" s="80" t="n">
        <v>1.4</v>
      </c>
      <c r="R172" s="80" t="n">
        <v>1</v>
      </c>
      <c r="S172" s="80">
        <f>IF(AC172="Cancelled",0,M172*R172)</f>
        <v/>
      </c>
      <c r="T172" s="80">
        <f>IF(AC172="Cancelled",0,N172*R172)</f>
        <v/>
      </c>
      <c r="U172" s="80">
        <f>IF(AC172="Cancelled",0,O172*R172)</f>
        <v/>
      </c>
      <c r="V172" s="80">
        <f>IF(AC172="Cancelled",0,ROUND(P172*S172,2))</f>
        <v/>
      </c>
      <c r="W172" s="80" t="inlineStr">
        <is>
          <t>No</t>
        </is>
      </c>
      <c r="X172" s="80" t="n">
        <v>0</v>
      </c>
      <c r="Y172" s="80">
        <f>IF(AC172="Cancelled",0,T172+U172+V172+Q172+X172)</f>
        <v/>
      </c>
      <c r="Z172" s="80">
        <f>IF(AC172="Cancelled",-Q172,S172-Y172)</f>
        <v/>
      </c>
      <c r="AA172" s="81">
        <f>IF(OR(AC172="Cancelled",S172=0),0,Z172/S172)</f>
        <v/>
      </c>
      <c r="AB172" s="82">
        <f>IFERROR(S172/Q172,0)</f>
        <v/>
      </c>
      <c r="AC172" s="56" t="inlineStr">
        <is>
          <t>Delivered</t>
        </is>
      </c>
    </row>
    <row r="173" ht="14.25" customHeight="1" s="57">
      <c r="A173" s="56" t="inlineStr">
        <is>
          <t>ORD-00292</t>
        </is>
      </c>
      <c r="B173" s="79" t="n">
        <v>45812</v>
      </c>
      <c r="C173" s="56" t="n">
        <v>2025</v>
      </c>
      <c r="D173" s="56" t="n">
        <v>6</v>
      </c>
      <c r="E173" s="56" t="inlineStr">
        <is>
          <t>Qatar</t>
        </is>
      </c>
      <c r="F173" s="56" t="inlineStr">
        <is>
          <t>Doha</t>
        </is>
      </c>
      <c r="G173" s="56" t="inlineStr">
        <is>
          <t>Meta Ads</t>
        </is>
      </c>
      <c r="H173" s="56" t="inlineStr">
        <is>
          <t>Summer Sale</t>
        </is>
      </c>
      <c r="I173" s="56" t="inlineStr">
        <is>
          <t>P003</t>
        </is>
      </c>
      <c r="J173" s="56" t="inlineStr">
        <is>
          <t>LED Strip Lights</t>
        </is>
      </c>
      <c r="K173" s="56" t="inlineStr">
        <is>
          <t>Home Decor</t>
        </is>
      </c>
      <c r="L173" s="56" t="inlineStr">
        <is>
          <t>Yiwu Lighting Factory</t>
        </is>
      </c>
      <c r="M173" s="80" t="n">
        <v>26.6</v>
      </c>
      <c r="N173" s="80" t="n">
        <v>6.27</v>
      </c>
      <c r="O173" s="80" t="n">
        <v>3.35</v>
      </c>
      <c r="P173" s="80" t="n">
        <v>0.03</v>
      </c>
      <c r="Q173" s="80" t="n">
        <v>19.81</v>
      </c>
      <c r="R173" s="80" t="n">
        <v>2</v>
      </c>
      <c r="S173" s="80">
        <f>IF(AC173="Cancelled",0,M173*R173)</f>
        <v/>
      </c>
      <c r="T173" s="80">
        <f>IF(AC173="Cancelled",0,N173*R173)</f>
        <v/>
      </c>
      <c r="U173" s="80">
        <f>IF(AC173="Cancelled",0,O173*R173)</f>
        <v/>
      </c>
      <c r="V173" s="80">
        <f>IF(AC173="Cancelled",0,ROUND(P173*S173,2))</f>
        <v/>
      </c>
      <c r="W173" s="80" t="inlineStr">
        <is>
          <t>No</t>
        </is>
      </c>
      <c r="X173" s="80" t="n">
        <v>0</v>
      </c>
      <c r="Y173" s="80">
        <f>IF(AC173="Cancelled",0,T173+U173+V173+Q173+X173)</f>
        <v/>
      </c>
      <c r="Z173" s="80">
        <f>IF(AC173="Cancelled",-Q173,S173-Y173)</f>
        <v/>
      </c>
      <c r="AA173" s="81">
        <f>IF(OR(AC173="Cancelled",S173=0),0,Z173/S173)</f>
        <v/>
      </c>
      <c r="AB173" s="82">
        <f>IFERROR(S173/Q173,0)</f>
        <v/>
      </c>
      <c r="AC173" s="56" t="inlineStr">
        <is>
          <t>Delivered</t>
        </is>
      </c>
    </row>
    <row r="174" ht="14.25" customHeight="1" s="57">
      <c r="A174" s="56" t="inlineStr">
        <is>
          <t>ORD-00433</t>
        </is>
      </c>
      <c r="B174" s="79" t="n">
        <v>45812</v>
      </c>
      <c r="C174" s="56" t="n">
        <v>2025</v>
      </c>
      <c r="D174" s="56" t="n">
        <v>6</v>
      </c>
      <c r="E174" s="56" t="inlineStr">
        <is>
          <t>Saudi Arabia</t>
        </is>
      </c>
      <c r="F174" s="56" t="inlineStr">
        <is>
          <t>Riyadh</t>
        </is>
      </c>
      <c r="G174" s="56" t="inlineStr">
        <is>
          <t>Google Ads</t>
        </is>
      </c>
      <c r="H174" s="56" t="inlineStr">
        <is>
          <t>Bundle Promo</t>
        </is>
      </c>
      <c r="I174" s="56" t="inlineStr">
        <is>
          <t>P004</t>
        </is>
      </c>
      <c r="J174" s="56" t="inlineStr">
        <is>
          <t>Beauty Tool</t>
        </is>
      </c>
      <c r="K174" s="56" t="inlineStr">
        <is>
          <t>Beauty</t>
        </is>
      </c>
      <c r="L174" s="56" t="inlineStr">
        <is>
          <t>Ningbo Beauty Supply</t>
        </is>
      </c>
      <c r="M174" s="80" t="n">
        <v>29.92</v>
      </c>
      <c r="N174" s="80" t="n">
        <v>6.8</v>
      </c>
      <c r="O174" s="80" t="n">
        <v>4.72</v>
      </c>
      <c r="P174" s="80" t="n">
        <v>0.03</v>
      </c>
      <c r="Q174" s="80" t="n">
        <v>8.94</v>
      </c>
      <c r="R174" s="80" t="n">
        <v>1</v>
      </c>
      <c r="S174" s="80">
        <f>IF(AC174="Cancelled",0,M174*R174)</f>
        <v/>
      </c>
      <c r="T174" s="80">
        <f>IF(AC174="Cancelled",0,N174*R174)</f>
        <v/>
      </c>
      <c r="U174" s="80">
        <f>IF(AC174="Cancelled",0,O174*R174)</f>
        <v/>
      </c>
      <c r="V174" s="80">
        <f>IF(AC174="Cancelled",0,ROUND(P174*S174,2))</f>
        <v/>
      </c>
      <c r="W174" s="80" t="inlineStr">
        <is>
          <t>No</t>
        </is>
      </c>
      <c r="X174" s="80" t="n">
        <v>0</v>
      </c>
      <c r="Y174" s="80">
        <f>IF(AC174="Cancelled",0,T174+U174+V174+Q174+X174)</f>
        <v/>
      </c>
      <c r="Z174" s="80">
        <f>IF(AC174="Cancelled",-Q174,S174-Y174)</f>
        <v/>
      </c>
      <c r="AA174" s="81">
        <f>IF(OR(AC174="Cancelled",S174=0),0,Z174/S174)</f>
        <v/>
      </c>
      <c r="AB174" s="82">
        <f>IFERROR(S174/Q174,0)</f>
        <v/>
      </c>
      <c r="AC174" s="56" t="inlineStr">
        <is>
          <t>Delivered</t>
        </is>
      </c>
    </row>
    <row r="175" ht="14.25" customHeight="1" s="57">
      <c r="A175" s="56" t="inlineStr">
        <is>
          <t>ORD-00474</t>
        </is>
      </c>
      <c r="B175" s="79" t="n">
        <v>45812</v>
      </c>
      <c r="C175" s="56" t="n">
        <v>2025</v>
      </c>
      <c r="D175" s="56" t="n">
        <v>6</v>
      </c>
      <c r="E175" s="56" t="inlineStr">
        <is>
          <t>Saudi Arabia</t>
        </is>
      </c>
      <c r="F175" s="56" t="inlineStr">
        <is>
          <t>Riyadh</t>
        </is>
      </c>
      <c r="G175" s="56" t="inlineStr">
        <is>
          <t>TikTok Ads</t>
        </is>
      </c>
      <c r="H175" s="56" t="inlineStr">
        <is>
          <t>Summer Sale</t>
        </is>
      </c>
      <c r="I175" s="56" t="inlineStr">
        <is>
          <t>P009</t>
        </is>
      </c>
      <c r="J175" s="56" t="inlineStr">
        <is>
          <t>Car Vacuum Cleaner</t>
        </is>
      </c>
      <c r="K175" s="56" t="inlineStr">
        <is>
          <t>Automotive</t>
        </is>
      </c>
      <c r="L175" s="56" t="inlineStr">
        <is>
          <t>Dongguan Auto Tools</t>
        </is>
      </c>
      <c r="M175" s="80" t="n">
        <v>47.37</v>
      </c>
      <c r="N175" s="80" t="n">
        <v>14.58</v>
      </c>
      <c r="O175" s="80" t="n">
        <v>7.09</v>
      </c>
      <c r="P175" s="80" t="n">
        <v>0.03</v>
      </c>
      <c r="Q175" s="80" t="n">
        <v>4.9</v>
      </c>
      <c r="R175" s="80" t="n">
        <v>2</v>
      </c>
      <c r="S175" s="80">
        <f>IF(AC175="Cancelled",0,M175*R175)</f>
        <v/>
      </c>
      <c r="T175" s="80">
        <f>IF(AC175="Cancelled",0,N175*R175)</f>
        <v/>
      </c>
      <c r="U175" s="80">
        <f>IF(AC175="Cancelled",0,O175*R175)</f>
        <v/>
      </c>
      <c r="V175" s="80">
        <f>IF(AC175="Cancelled",0,ROUND(P175*S175,2))</f>
        <v/>
      </c>
      <c r="W175" s="80" t="inlineStr">
        <is>
          <t>Yes</t>
        </is>
      </c>
      <c r="X175" s="80" t="n">
        <v>65.04000000000001</v>
      </c>
      <c r="Y175" s="80">
        <f>IF(AC175="Cancelled",0,T175+U175+V175+Q175+X175)</f>
        <v/>
      </c>
      <c r="Z175" s="80">
        <f>IF(AC175="Cancelled",-Q175,S175-Y175)</f>
        <v/>
      </c>
      <c r="AA175" s="81">
        <f>IF(OR(AC175="Cancelled",S175=0),0,Z175/S175)</f>
        <v/>
      </c>
      <c r="AB175" s="82">
        <f>IFERROR(S175/Q175,0)</f>
        <v/>
      </c>
      <c r="AC175" s="56" t="inlineStr">
        <is>
          <t>Refunded</t>
        </is>
      </c>
    </row>
    <row r="176" ht="14.25" customHeight="1" s="57">
      <c r="A176" s="56" t="inlineStr">
        <is>
          <t>ORD-00057</t>
        </is>
      </c>
      <c r="B176" s="79" t="n">
        <v>45813</v>
      </c>
      <c r="C176" s="56" t="n">
        <v>2025</v>
      </c>
      <c r="D176" s="56" t="n">
        <v>6</v>
      </c>
      <c r="E176" s="56" t="inlineStr">
        <is>
          <t>Saudi Arabia</t>
        </is>
      </c>
      <c r="F176" s="56" t="inlineStr">
        <is>
          <t>Riyadh</t>
        </is>
      </c>
      <c r="G176" s="56" t="inlineStr">
        <is>
          <t>Meta Ads</t>
        </is>
      </c>
      <c r="H176" s="56" t="inlineStr">
        <is>
          <t>Launch Test</t>
        </is>
      </c>
      <c r="I176" s="56" t="inlineStr">
        <is>
          <t>P003</t>
        </is>
      </c>
      <c r="J176" s="56" t="inlineStr">
        <is>
          <t>LED Strip Lights</t>
        </is>
      </c>
      <c r="K176" s="56" t="inlineStr">
        <is>
          <t>Home Decor</t>
        </is>
      </c>
      <c r="L176" s="56" t="inlineStr">
        <is>
          <t>Yiwu Lighting Factory</t>
        </is>
      </c>
      <c r="M176" s="80" t="n">
        <v>26.78</v>
      </c>
      <c r="N176" s="80" t="n">
        <v>5.72</v>
      </c>
      <c r="O176" s="80" t="n">
        <v>3.64</v>
      </c>
      <c r="P176" s="80" t="n">
        <v>0.03</v>
      </c>
      <c r="Q176" s="80" t="n">
        <v>8.92</v>
      </c>
      <c r="R176" s="80" t="n">
        <v>1</v>
      </c>
      <c r="S176" s="80">
        <f>IF(AC176="Cancelled",0,M176*R176)</f>
        <v/>
      </c>
      <c r="T176" s="80">
        <f>IF(AC176="Cancelled",0,N176*R176)</f>
        <v/>
      </c>
      <c r="U176" s="80">
        <f>IF(AC176="Cancelled",0,O176*R176)</f>
        <v/>
      </c>
      <c r="V176" s="80">
        <f>IF(AC176="Cancelled",0,ROUND(P176*S176,2))</f>
        <v/>
      </c>
      <c r="W176" s="80" t="inlineStr">
        <is>
          <t>No</t>
        </is>
      </c>
      <c r="X176" s="80" t="n">
        <v>0</v>
      </c>
      <c r="Y176" s="80">
        <f>IF(AC176="Cancelled",0,T176+U176+V176+Q176+X176)</f>
        <v/>
      </c>
      <c r="Z176" s="80">
        <f>IF(AC176="Cancelled",-Q176,S176-Y176)</f>
        <v/>
      </c>
      <c r="AA176" s="81">
        <f>IF(OR(AC176="Cancelled",S176=0),0,Z176/S176)</f>
        <v/>
      </c>
      <c r="AB176" s="82">
        <f>IFERROR(S176/Q176,0)</f>
        <v/>
      </c>
      <c r="AC176" s="56" t="inlineStr">
        <is>
          <t>Delivered</t>
        </is>
      </c>
    </row>
    <row r="177" ht="14.25" customHeight="1" s="57">
      <c r="A177" s="56" t="inlineStr">
        <is>
          <t>ORD-00278</t>
        </is>
      </c>
      <c r="B177" s="79" t="n">
        <v>45813</v>
      </c>
      <c r="C177" s="56" t="n">
        <v>2025</v>
      </c>
      <c r="D177" s="56" t="n">
        <v>6</v>
      </c>
      <c r="E177" s="56" t="inlineStr">
        <is>
          <t>Saudi Arabia</t>
        </is>
      </c>
      <c r="F177" s="56" t="inlineStr">
        <is>
          <t>Riyadh</t>
        </is>
      </c>
      <c r="G177" s="56" t="inlineStr">
        <is>
          <t>Meta Ads</t>
        </is>
      </c>
      <c r="H177" s="56" t="inlineStr">
        <is>
          <t>New Creative A/B</t>
        </is>
      </c>
      <c r="I177" s="56" t="inlineStr">
        <is>
          <t>P003</t>
        </is>
      </c>
      <c r="J177" s="56" t="inlineStr">
        <is>
          <t>LED Strip Lights</t>
        </is>
      </c>
      <c r="K177" s="56" t="inlineStr">
        <is>
          <t>Home Decor</t>
        </is>
      </c>
      <c r="L177" s="56" t="inlineStr">
        <is>
          <t>Yiwu Lighting Factory</t>
        </is>
      </c>
      <c r="M177" s="80" t="n">
        <v>24.77</v>
      </c>
      <c r="N177" s="80" t="n">
        <v>5.93</v>
      </c>
      <c r="O177" s="80" t="n">
        <v>3.77</v>
      </c>
      <c r="P177" s="80" t="n">
        <v>0.03</v>
      </c>
      <c r="Q177" s="80" t="n">
        <v>16.88</v>
      </c>
      <c r="R177" s="80" t="n">
        <v>3</v>
      </c>
      <c r="S177" s="80">
        <f>IF(AC177="Cancelled",0,M177*R177)</f>
        <v/>
      </c>
      <c r="T177" s="80">
        <f>IF(AC177="Cancelled",0,N177*R177)</f>
        <v/>
      </c>
      <c r="U177" s="80">
        <f>IF(AC177="Cancelled",0,O177*R177)</f>
        <v/>
      </c>
      <c r="V177" s="80">
        <f>IF(AC177="Cancelled",0,ROUND(P177*S177,2))</f>
        <v/>
      </c>
      <c r="W177" s="80" t="inlineStr">
        <is>
          <t>No</t>
        </is>
      </c>
      <c r="X177" s="80" t="n">
        <v>0</v>
      </c>
      <c r="Y177" s="80">
        <f>IF(AC177="Cancelled",0,T177+U177+V177+Q177+X177)</f>
        <v/>
      </c>
      <c r="Z177" s="80">
        <f>IF(AC177="Cancelled",-Q177,S177-Y177)</f>
        <v/>
      </c>
      <c r="AA177" s="81">
        <f>IF(OR(AC177="Cancelled",S177=0),0,Z177/S177)</f>
        <v/>
      </c>
      <c r="AB177" s="82">
        <f>IFERROR(S177/Q177,0)</f>
        <v/>
      </c>
      <c r="AC177" s="56" t="inlineStr">
        <is>
          <t>Delivered</t>
        </is>
      </c>
    </row>
    <row r="178" ht="14.25" customHeight="1" s="57">
      <c r="A178" s="56" t="inlineStr">
        <is>
          <t>ORD-00489</t>
        </is>
      </c>
      <c r="B178" s="79" t="n">
        <v>45813</v>
      </c>
      <c r="C178" s="56" t="n">
        <v>2025</v>
      </c>
      <c r="D178" s="56" t="n">
        <v>6</v>
      </c>
      <c r="E178" s="56" t="inlineStr">
        <is>
          <t>UAE</t>
        </is>
      </c>
      <c r="F178" s="56" t="inlineStr">
        <is>
          <t>Abu Dhabi</t>
        </is>
      </c>
      <c r="G178" s="56" t="inlineStr">
        <is>
          <t>Email</t>
        </is>
      </c>
      <c r="H178" s="56" t="inlineStr">
        <is>
          <t>Bundle Promo</t>
        </is>
      </c>
      <c r="I178" s="56" t="inlineStr">
        <is>
          <t>P009</t>
        </is>
      </c>
      <c r="J178" s="56" t="inlineStr">
        <is>
          <t>Car Vacuum Cleaner</t>
        </is>
      </c>
      <c r="K178" s="56" t="inlineStr">
        <is>
          <t>Automotive</t>
        </is>
      </c>
      <c r="L178" s="56" t="inlineStr">
        <is>
          <t>Dongguan Auto Tools</t>
        </is>
      </c>
      <c r="M178" s="80" t="n">
        <v>47.64</v>
      </c>
      <c r="N178" s="80" t="n">
        <v>14.49</v>
      </c>
      <c r="O178" s="80" t="n">
        <v>6.83</v>
      </c>
      <c r="P178" s="80" t="n">
        <v>0.03</v>
      </c>
      <c r="Q178" s="80" t="n">
        <v>3.12</v>
      </c>
      <c r="R178" s="80" t="n">
        <v>3</v>
      </c>
      <c r="S178" s="80">
        <f>IF(AC178="Cancelled",0,M178*R178)</f>
        <v/>
      </c>
      <c r="T178" s="80">
        <f>IF(AC178="Cancelled",0,N178*R178)</f>
        <v/>
      </c>
      <c r="U178" s="80">
        <f>IF(AC178="Cancelled",0,O178*R178)</f>
        <v/>
      </c>
      <c r="V178" s="80">
        <f>IF(AC178="Cancelled",0,ROUND(P178*S178,2))</f>
        <v/>
      </c>
      <c r="W178" s="80" t="inlineStr">
        <is>
          <t>No</t>
        </is>
      </c>
      <c r="X178" s="80" t="n">
        <v>0</v>
      </c>
      <c r="Y178" s="80">
        <f>IF(AC178="Cancelled",0,T178+U178+V178+Q178+X178)</f>
        <v/>
      </c>
      <c r="Z178" s="80">
        <f>IF(AC178="Cancelled",-Q178,S178-Y178)</f>
        <v/>
      </c>
      <c r="AA178" s="81">
        <f>IF(OR(AC178="Cancelled",S178=0),0,Z178/S178)</f>
        <v/>
      </c>
      <c r="AB178" s="82">
        <f>IFERROR(S178/Q178,0)</f>
        <v/>
      </c>
      <c r="AC178" s="56" t="inlineStr">
        <is>
          <t>Delivered</t>
        </is>
      </c>
    </row>
    <row r="179" ht="14.25" customHeight="1" s="57">
      <c r="A179" s="56" t="inlineStr">
        <is>
          <t>ORD-00164</t>
        </is>
      </c>
      <c r="B179" s="79" t="n">
        <v>45814</v>
      </c>
      <c r="C179" s="56" t="n">
        <v>2025</v>
      </c>
      <c r="D179" s="56" t="n">
        <v>6</v>
      </c>
      <c r="E179" s="56" t="inlineStr">
        <is>
          <t>Oman</t>
        </is>
      </c>
      <c r="F179" s="56" t="inlineStr">
        <is>
          <t>Muscat</t>
        </is>
      </c>
      <c r="G179" s="56" t="inlineStr">
        <is>
          <t>Meta Ads</t>
        </is>
      </c>
      <c r="H179" s="56" t="inlineStr">
        <is>
          <t>Launch Test</t>
        </is>
      </c>
      <c r="I179" s="56" t="inlineStr">
        <is>
          <t>P001</t>
        </is>
      </c>
      <c r="J179" s="56" t="inlineStr">
        <is>
          <t>Wireless Earbuds</t>
        </is>
      </c>
      <c r="K179" s="56" t="inlineStr">
        <is>
          <t>Electronics</t>
        </is>
      </c>
      <c r="L179" s="56" t="inlineStr">
        <is>
          <t>Shenzhen Audio Co.</t>
        </is>
      </c>
      <c r="M179" s="80" t="n">
        <v>42.65</v>
      </c>
      <c r="N179" s="80" t="n">
        <v>8.5</v>
      </c>
      <c r="O179" s="80" t="n">
        <v>4.58</v>
      </c>
      <c r="P179" s="80" t="n">
        <v>0.03</v>
      </c>
      <c r="Q179" s="80" t="n">
        <v>13.29</v>
      </c>
      <c r="R179" s="80" t="n">
        <v>3</v>
      </c>
      <c r="S179" s="80">
        <f>IF(AC179="Cancelled",0,M179*R179)</f>
        <v/>
      </c>
      <c r="T179" s="80">
        <f>IF(AC179="Cancelled",0,N179*R179)</f>
        <v/>
      </c>
      <c r="U179" s="80">
        <f>IF(AC179="Cancelled",0,O179*R179)</f>
        <v/>
      </c>
      <c r="V179" s="80">
        <f>IF(AC179="Cancelled",0,ROUND(P179*S179,2))</f>
        <v/>
      </c>
      <c r="W179" s="80" t="inlineStr">
        <is>
          <t>No</t>
        </is>
      </c>
      <c r="X179" s="80" t="n">
        <v>0</v>
      </c>
      <c r="Y179" s="80">
        <f>IF(AC179="Cancelled",0,T179+U179+V179+Q179+X179)</f>
        <v/>
      </c>
      <c r="Z179" s="80">
        <f>IF(AC179="Cancelled",-Q179,S179-Y179)</f>
        <v/>
      </c>
      <c r="AA179" s="81">
        <f>IF(OR(AC179="Cancelled",S179=0),0,Z179/S179)</f>
        <v/>
      </c>
      <c r="AB179" s="82">
        <f>IFERROR(S179/Q179,0)</f>
        <v/>
      </c>
      <c r="AC179" s="56" t="inlineStr">
        <is>
          <t>Delivered</t>
        </is>
      </c>
    </row>
    <row r="180" ht="14.25" customHeight="1" s="57">
      <c r="A180" s="56" t="inlineStr">
        <is>
          <t>ORD-00351</t>
        </is>
      </c>
      <c r="B180" s="79" t="n">
        <v>45814</v>
      </c>
      <c r="C180" s="56" t="n">
        <v>2025</v>
      </c>
      <c r="D180" s="56" t="n">
        <v>6</v>
      </c>
      <c r="E180" s="56" t="inlineStr">
        <is>
          <t>Oman</t>
        </is>
      </c>
      <c r="F180" s="56" t="inlineStr">
        <is>
          <t>Muscat</t>
        </is>
      </c>
      <c r="G180" s="56" t="inlineStr">
        <is>
          <t>TikTok Ads</t>
        </is>
      </c>
      <c r="H180" s="56" t="inlineStr">
        <is>
          <t>New Creative A/B</t>
        </is>
      </c>
      <c r="I180" s="56" t="inlineStr">
        <is>
          <t>P001</t>
        </is>
      </c>
      <c r="J180" s="56" t="inlineStr">
        <is>
          <t>Wireless Earbuds</t>
        </is>
      </c>
      <c r="K180" s="56" t="inlineStr">
        <is>
          <t>Electronics</t>
        </is>
      </c>
      <c r="L180" s="56" t="inlineStr">
        <is>
          <t>Shenzhen Audio Co.</t>
        </is>
      </c>
      <c r="M180" s="80" t="n">
        <v>44.77</v>
      </c>
      <c r="N180" s="80" t="n">
        <v>8.119999999999999</v>
      </c>
      <c r="O180" s="80" t="n">
        <v>3.66</v>
      </c>
      <c r="P180" s="80" t="n">
        <v>0.03</v>
      </c>
      <c r="Q180" s="80" t="n">
        <v>11.24</v>
      </c>
      <c r="R180" s="80" t="n">
        <v>2</v>
      </c>
      <c r="S180" s="80">
        <f>IF(AC180="Cancelled",0,M180*R180)</f>
        <v/>
      </c>
      <c r="T180" s="80">
        <f>IF(AC180="Cancelled",0,N180*R180)</f>
        <v/>
      </c>
      <c r="U180" s="80">
        <f>IF(AC180="Cancelled",0,O180*R180)</f>
        <v/>
      </c>
      <c r="V180" s="80">
        <f>IF(AC180="Cancelled",0,ROUND(P180*S180,2))</f>
        <v/>
      </c>
      <c r="W180" s="80" t="inlineStr">
        <is>
          <t>No</t>
        </is>
      </c>
      <c r="X180" s="80" t="n">
        <v>0</v>
      </c>
      <c r="Y180" s="80">
        <f>IF(AC180="Cancelled",0,T180+U180+V180+Q180+X180)</f>
        <v/>
      </c>
      <c r="Z180" s="80">
        <f>IF(AC180="Cancelled",-Q180,S180-Y180)</f>
        <v/>
      </c>
      <c r="AA180" s="81">
        <f>IF(OR(AC180="Cancelled",S180=0),0,Z180/S180)</f>
        <v/>
      </c>
      <c r="AB180" s="82">
        <f>IFERROR(S180/Q180,0)</f>
        <v/>
      </c>
      <c r="AC180" s="56" t="inlineStr">
        <is>
          <t>Delivered</t>
        </is>
      </c>
    </row>
    <row r="181" ht="14.25" customHeight="1" s="57">
      <c r="A181" s="56" t="inlineStr">
        <is>
          <t>ORD-00093</t>
        </is>
      </c>
      <c r="B181" s="79" t="n">
        <v>45817</v>
      </c>
      <c r="C181" s="56" t="n">
        <v>2025</v>
      </c>
      <c r="D181" s="56" t="n">
        <v>6</v>
      </c>
      <c r="E181" s="56" t="inlineStr">
        <is>
          <t>UAE</t>
        </is>
      </c>
      <c r="F181" s="56" t="inlineStr">
        <is>
          <t>Sharjah</t>
        </is>
      </c>
      <c r="G181" s="56" t="inlineStr">
        <is>
          <t>Meta Ads</t>
        </is>
      </c>
      <c r="H181" s="56" t="inlineStr">
        <is>
          <t>Launch Test</t>
        </is>
      </c>
      <c r="I181" s="56" t="inlineStr">
        <is>
          <t>P006</t>
        </is>
      </c>
      <c r="J181" s="56" t="inlineStr">
        <is>
          <t>Posture Corrector</t>
        </is>
      </c>
      <c r="K181" s="56" t="inlineStr">
        <is>
          <t>Fitness</t>
        </is>
      </c>
      <c r="L181" s="56" t="inlineStr">
        <is>
          <t>Hangzhou Health Gear</t>
        </is>
      </c>
      <c r="M181" s="80" t="n">
        <v>37.2</v>
      </c>
      <c r="N181" s="80" t="n">
        <v>8.81</v>
      </c>
      <c r="O181" s="80" t="n">
        <v>3.65</v>
      </c>
      <c r="P181" s="80" t="n">
        <v>0.03</v>
      </c>
      <c r="Q181" s="80" t="n">
        <v>3.9</v>
      </c>
      <c r="R181" s="80" t="n">
        <v>1</v>
      </c>
      <c r="S181" s="80">
        <f>IF(AC181="Cancelled",0,M181*R181)</f>
        <v/>
      </c>
      <c r="T181" s="80">
        <f>IF(AC181="Cancelled",0,N181*R181)</f>
        <v/>
      </c>
      <c r="U181" s="80">
        <f>IF(AC181="Cancelled",0,O181*R181)</f>
        <v/>
      </c>
      <c r="V181" s="80">
        <f>IF(AC181="Cancelled",0,ROUND(P181*S181,2))</f>
        <v/>
      </c>
      <c r="W181" s="80" t="inlineStr">
        <is>
          <t>No</t>
        </is>
      </c>
      <c r="X181" s="80" t="n">
        <v>0</v>
      </c>
      <c r="Y181" s="80">
        <f>IF(AC181="Cancelled",0,T181+U181+V181+Q181+X181)</f>
        <v/>
      </c>
      <c r="Z181" s="80">
        <f>IF(AC181="Cancelled",-Q181,S181-Y181)</f>
        <v/>
      </c>
      <c r="AA181" s="81">
        <f>IF(OR(AC181="Cancelled",S181=0),0,Z181/S181)</f>
        <v/>
      </c>
      <c r="AB181" s="82">
        <f>IFERROR(S181/Q181,0)</f>
        <v/>
      </c>
      <c r="AC181" s="56" t="inlineStr">
        <is>
          <t>Delivered</t>
        </is>
      </c>
    </row>
    <row r="182" ht="14.25" customHeight="1" s="57">
      <c r="A182" s="56" t="inlineStr">
        <is>
          <t>ORD-00378</t>
        </is>
      </c>
      <c r="B182" s="79" t="n">
        <v>45817</v>
      </c>
      <c r="C182" s="56" t="n">
        <v>2025</v>
      </c>
      <c r="D182" s="56" t="n">
        <v>6</v>
      </c>
      <c r="E182" s="56" t="inlineStr">
        <is>
          <t>Saudi Arabia</t>
        </is>
      </c>
      <c r="F182" s="56" t="inlineStr">
        <is>
          <t>Jeddah</t>
        </is>
      </c>
      <c r="G182" s="56" t="inlineStr">
        <is>
          <t>Meta Ads</t>
        </is>
      </c>
      <c r="H182" s="56" t="inlineStr">
        <is>
          <t>New Creative A/B</t>
        </is>
      </c>
      <c r="I182" s="56" t="inlineStr">
        <is>
          <t>P003</t>
        </is>
      </c>
      <c r="J182" s="56" t="inlineStr">
        <is>
          <t>LED Strip Lights</t>
        </is>
      </c>
      <c r="K182" s="56" t="inlineStr">
        <is>
          <t>Home Decor</t>
        </is>
      </c>
      <c r="L182" s="56" t="inlineStr">
        <is>
          <t>Yiwu Lighting Factory</t>
        </is>
      </c>
      <c r="M182" s="80" t="n">
        <v>23.51</v>
      </c>
      <c r="N182" s="80" t="n">
        <v>6.35</v>
      </c>
      <c r="O182" s="80" t="n">
        <v>3.44</v>
      </c>
      <c r="P182" s="80" t="n">
        <v>0.03</v>
      </c>
      <c r="Q182" s="80" t="n">
        <v>5.59</v>
      </c>
      <c r="R182" s="80" t="n">
        <v>1</v>
      </c>
      <c r="S182" s="80">
        <f>IF(AC182="Cancelled",0,M182*R182)</f>
        <v/>
      </c>
      <c r="T182" s="80">
        <f>IF(AC182="Cancelled",0,N182*R182)</f>
        <v/>
      </c>
      <c r="U182" s="80">
        <f>IF(AC182="Cancelled",0,O182*R182)</f>
        <v/>
      </c>
      <c r="V182" s="80">
        <f>IF(AC182="Cancelled",0,ROUND(P182*S182,2))</f>
        <v/>
      </c>
      <c r="W182" s="80" t="inlineStr">
        <is>
          <t>No</t>
        </is>
      </c>
      <c r="X182" s="80" t="n">
        <v>0</v>
      </c>
      <c r="Y182" s="80">
        <f>IF(AC182="Cancelled",0,T182+U182+V182+Q182+X182)</f>
        <v/>
      </c>
      <c r="Z182" s="80">
        <f>IF(AC182="Cancelled",-Q182,S182-Y182)</f>
        <v/>
      </c>
      <c r="AA182" s="81">
        <f>IF(OR(AC182="Cancelled",S182=0),0,Z182/S182)</f>
        <v/>
      </c>
      <c r="AB182" s="82">
        <f>IFERROR(S182/Q182,0)</f>
        <v/>
      </c>
      <c r="AC182" s="56" t="inlineStr">
        <is>
          <t>Delivered</t>
        </is>
      </c>
    </row>
    <row r="183" ht="14.25" customHeight="1" s="57">
      <c r="A183" s="56" t="inlineStr">
        <is>
          <t>ORD-00488</t>
        </is>
      </c>
      <c r="B183" s="79" t="n">
        <v>45818</v>
      </c>
      <c r="C183" s="56" t="n">
        <v>2025</v>
      </c>
      <c r="D183" s="56" t="n">
        <v>6</v>
      </c>
      <c r="E183" s="56" t="inlineStr">
        <is>
          <t>Saudi Arabia</t>
        </is>
      </c>
      <c r="F183" s="56" t="inlineStr">
        <is>
          <t>Riyadh</t>
        </is>
      </c>
      <c r="G183" s="56" t="inlineStr">
        <is>
          <t>Organic Search</t>
        </is>
      </c>
      <c r="H183" s="56" t="inlineStr">
        <is>
          <t>Summer Sale</t>
        </is>
      </c>
      <c r="I183" s="56" t="inlineStr">
        <is>
          <t>P009</t>
        </is>
      </c>
      <c r="J183" s="56" t="inlineStr">
        <is>
          <t>Car Vacuum Cleaner</t>
        </is>
      </c>
      <c r="K183" s="56" t="inlineStr">
        <is>
          <t>Automotive</t>
        </is>
      </c>
      <c r="L183" s="56" t="inlineStr">
        <is>
          <t>Dongguan Auto Tools</t>
        </is>
      </c>
      <c r="M183" s="80" t="n">
        <v>40.87</v>
      </c>
      <c r="N183" s="80" t="n">
        <v>14.89</v>
      </c>
      <c r="O183" s="80" t="n">
        <v>6.97</v>
      </c>
      <c r="P183" s="80" t="n">
        <v>0.03</v>
      </c>
      <c r="Q183" s="80" t="n">
        <v>0</v>
      </c>
      <c r="R183" s="80" t="n">
        <v>1</v>
      </c>
      <c r="S183" s="80">
        <f>IF(AC183="Cancelled",0,M183*R183)</f>
        <v/>
      </c>
      <c r="T183" s="80">
        <f>IF(AC183="Cancelled",0,N183*R183)</f>
        <v/>
      </c>
      <c r="U183" s="80">
        <f>IF(AC183="Cancelled",0,O183*R183)</f>
        <v/>
      </c>
      <c r="V183" s="80">
        <f>IF(AC183="Cancelled",0,ROUND(P183*S183,2))</f>
        <v/>
      </c>
      <c r="W183" s="80" t="inlineStr">
        <is>
          <t>No</t>
        </is>
      </c>
      <c r="X183" s="80" t="n">
        <v>0</v>
      </c>
      <c r="Y183" s="80">
        <f>IF(AC183="Cancelled",0,T183+U183+V183+Q183+X183)</f>
        <v/>
      </c>
      <c r="Z183" s="80">
        <f>IF(AC183="Cancelled",-Q183,S183-Y183)</f>
        <v/>
      </c>
      <c r="AA183" s="81">
        <f>IF(OR(AC183="Cancelled",S183=0),0,Z183/S183)</f>
        <v/>
      </c>
      <c r="AB183" s="82">
        <f>IFERROR(S183/Q183,0)</f>
        <v/>
      </c>
      <c r="AC183" s="56" t="inlineStr">
        <is>
          <t>Cancelled</t>
        </is>
      </c>
    </row>
    <row r="184" ht="14.25" customHeight="1" s="57">
      <c r="A184" s="56" t="inlineStr">
        <is>
          <t>ORD-00498</t>
        </is>
      </c>
      <c r="B184" s="79" t="n">
        <v>45818</v>
      </c>
      <c r="C184" s="56" t="n">
        <v>2025</v>
      </c>
      <c r="D184" s="56" t="n">
        <v>6</v>
      </c>
      <c r="E184" s="56" t="inlineStr">
        <is>
          <t>Saudi Arabia</t>
        </is>
      </c>
      <c r="F184" s="56" t="inlineStr">
        <is>
          <t>Riyadh</t>
        </is>
      </c>
      <c r="G184" s="56" t="inlineStr">
        <is>
          <t>TikTok Ads</t>
        </is>
      </c>
      <c r="H184" s="56" t="inlineStr">
        <is>
          <t>Bundle Promo</t>
        </is>
      </c>
      <c r="I184" s="56" t="inlineStr">
        <is>
          <t>P006</t>
        </is>
      </c>
      <c r="J184" s="56" t="inlineStr">
        <is>
          <t>Posture Corrector</t>
        </is>
      </c>
      <c r="K184" s="56" t="inlineStr">
        <is>
          <t>Fitness</t>
        </is>
      </c>
      <c r="L184" s="56" t="inlineStr">
        <is>
          <t>Hangzhou Health Gear</t>
        </is>
      </c>
      <c r="M184" s="80" t="n">
        <v>34.84</v>
      </c>
      <c r="N184" s="80" t="n">
        <v>9.49</v>
      </c>
      <c r="O184" s="80" t="n">
        <v>4.41</v>
      </c>
      <c r="P184" s="80" t="n">
        <v>0.03</v>
      </c>
      <c r="Q184" s="80" t="n">
        <v>3.84</v>
      </c>
      <c r="R184" s="80" t="n">
        <v>2</v>
      </c>
      <c r="S184" s="80">
        <f>IF(AC184="Cancelled",0,M184*R184)</f>
        <v/>
      </c>
      <c r="T184" s="80">
        <f>IF(AC184="Cancelled",0,N184*R184)</f>
        <v/>
      </c>
      <c r="U184" s="80">
        <f>IF(AC184="Cancelled",0,O184*R184)</f>
        <v/>
      </c>
      <c r="V184" s="80">
        <f>IF(AC184="Cancelled",0,ROUND(P184*S184,2))</f>
        <v/>
      </c>
      <c r="W184" s="80" t="inlineStr">
        <is>
          <t>No</t>
        </is>
      </c>
      <c r="X184" s="80" t="n">
        <v>0</v>
      </c>
      <c r="Y184" s="80">
        <f>IF(AC184="Cancelled",0,T184+U184+V184+Q184+X184)</f>
        <v/>
      </c>
      <c r="Z184" s="80">
        <f>IF(AC184="Cancelled",-Q184,S184-Y184)</f>
        <v/>
      </c>
      <c r="AA184" s="81">
        <f>IF(OR(AC184="Cancelled",S184=0),0,Z184/S184)</f>
        <v/>
      </c>
      <c r="AB184" s="82">
        <f>IFERROR(S184/Q184,0)</f>
        <v/>
      </c>
      <c r="AC184" s="56" t="inlineStr">
        <is>
          <t>Delivered</t>
        </is>
      </c>
    </row>
    <row r="185" ht="14.25" customHeight="1" s="57">
      <c r="A185" s="56" t="inlineStr">
        <is>
          <t>ORD-00082</t>
        </is>
      </c>
      <c r="B185" s="79" t="n">
        <v>45819</v>
      </c>
      <c r="C185" s="56" t="n">
        <v>2025</v>
      </c>
      <c r="D185" s="56" t="n">
        <v>6</v>
      </c>
      <c r="E185" s="56" t="inlineStr">
        <is>
          <t>Oman</t>
        </is>
      </c>
      <c r="F185" s="56" t="inlineStr">
        <is>
          <t>Muscat</t>
        </is>
      </c>
      <c r="G185" s="56" t="inlineStr">
        <is>
          <t>TikTok Ads</t>
        </is>
      </c>
      <c r="H185" s="56" t="inlineStr">
        <is>
          <t>New Creative A/B</t>
        </is>
      </c>
      <c r="I185" s="56" t="inlineStr">
        <is>
          <t>P001</t>
        </is>
      </c>
      <c r="J185" s="56" t="inlineStr">
        <is>
          <t>Wireless Earbuds</t>
        </is>
      </c>
      <c r="K185" s="56" t="inlineStr">
        <is>
          <t>Electronics</t>
        </is>
      </c>
      <c r="L185" s="56" t="inlineStr">
        <is>
          <t>Shenzhen Audio Co.</t>
        </is>
      </c>
      <c r="M185" s="80" t="n">
        <v>42.83</v>
      </c>
      <c r="N185" s="80" t="n">
        <v>8.699999999999999</v>
      </c>
      <c r="O185" s="80" t="n">
        <v>3.62</v>
      </c>
      <c r="P185" s="80" t="n">
        <v>0.03</v>
      </c>
      <c r="Q185" s="80" t="n">
        <v>6.3</v>
      </c>
      <c r="R185" s="80" t="n">
        <v>1</v>
      </c>
      <c r="S185" s="80">
        <f>IF(AC185="Cancelled",0,M185*R185)</f>
        <v/>
      </c>
      <c r="T185" s="80">
        <f>IF(AC185="Cancelled",0,N185*R185)</f>
        <v/>
      </c>
      <c r="U185" s="80">
        <f>IF(AC185="Cancelled",0,O185*R185)</f>
        <v/>
      </c>
      <c r="V185" s="80">
        <f>IF(AC185="Cancelled",0,ROUND(P185*S185,2))</f>
        <v/>
      </c>
      <c r="W185" s="80" t="inlineStr">
        <is>
          <t>No</t>
        </is>
      </c>
      <c r="X185" s="80" t="n">
        <v>0</v>
      </c>
      <c r="Y185" s="80">
        <f>IF(AC185="Cancelled",0,T185+U185+V185+Q185+X185)</f>
        <v/>
      </c>
      <c r="Z185" s="80">
        <f>IF(AC185="Cancelled",-Q185,S185-Y185)</f>
        <v/>
      </c>
      <c r="AA185" s="81">
        <f>IF(OR(AC185="Cancelled",S185=0),0,Z185/S185)</f>
        <v/>
      </c>
      <c r="AB185" s="82">
        <f>IFERROR(S185/Q185,0)</f>
        <v/>
      </c>
      <c r="AC185" s="56" t="inlineStr">
        <is>
          <t>Delivered</t>
        </is>
      </c>
    </row>
    <row r="186" ht="14.25" customHeight="1" s="57">
      <c r="A186" s="56" t="inlineStr">
        <is>
          <t>ORD-00135</t>
        </is>
      </c>
      <c r="B186" s="79" t="n">
        <v>45820</v>
      </c>
      <c r="C186" s="56" t="n">
        <v>2025</v>
      </c>
      <c r="D186" s="56" t="n">
        <v>6</v>
      </c>
      <c r="E186" s="56" t="inlineStr">
        <is>
          <t>Saudi Arabia</t>
        </is>
      </c>
      <c r="F186" s="56" t="inlineStr">
        <is>
          <t>Jeddah</t>
        </is>
      </c>
      <c r="G186" s="56" t="inlineStr">
        <is>
          <t>Google Ads</t>
        </is>
      </c>
      <c r="H186" s="56" t="inlineStr">
        <is>
          <t>Launch Test</t>
        </is>
      </c>
      <c r="I186" s="56" t="inlineStr">
        <is>
          <t>P010</t>
        </is>
      </c>
      <c r="J186" s="56" t="inlineStr">
        <is>
          <t>Smart Water Bottle</t>
        </is>
      </c>
      <c r="K186" s="56" t="inlineStr">
        <is>
          <t>Lifestyle</t>
        </is>
      </c>
      <c r="L186" s="56" t="inlineStr">
        <is>
          <t>Shenzhen Smart Home</t>
        </is>
      </c>
      <c r="M186" s="80" t="n">
        <v>36.36</v>
      </c>
      <c r="N186" s="80" t="n">
        <v>10.37</v>
      </c>
      <c r="O186" s="80" t="n">
        <v>4.11</v>
      </c>
      <c r="P186" s="80" t="n">
        <v>0.03</v>
      </c>
      <c r="Q186" s="80" t="n">
        <v>19.36</v>
      </c>
      <c r="R186" s="80" t="n">
        <v>3</v>
      </c>
      <c r="S186" s="80">
        <f>IF(AC186="Cancelled",0,M186*R186)</f>
        <v/>
      </c>
      <c r="T186" s="80">
        <f>IF(AC186="Cancelled",0,N186*R186)</f>
        <v/>
      </c>
      <c r="U186" s="80">
        <f>IF(AC186="Cancelled",0,O186*R186)</f>
        <v/>
      </c>
      <c r="V186" s="80">
        <f>IF(AC186="Cancelled",0,ROUND(P186*S186,2))</f>
        <v/>
      </c>
      <c r="W186" s="80" t="inlineStr">
        <is>
          <t>No</t>
        </is>
      </c>
      <c r="X186" s="80" t="n">
        <v>0</v>
      </c>
      <c r="Y186" s="80">
        <f>IF(AC186="Cancelled",0,T186+U186+V186+Q186+X186)</f>
        <v/>
      </c>
      <c r="Z186" s="80">
        <f>IF(AC186="Cancelled",-Q186,S186-Y186)</f>
        <v/>
      </c>
      <c r="AA186" s="81">
        <f>IF(OR(AC186="Cancelled",S186=0),0,Z186/S186)</f>
        <v/>
      </c>
      <c r="AB186" s="82">
        <f>IFERROR(S186/Q186,0)</f>
        <v/>
      </c>
      <c r="AC186" s="56" t="inlineStr">
        <is>
          <t>Delivered</t>
        </is>
      </c>
    </row>
    <row r="187" ht="14.25" customHeight="1" s="57">
      <c r="A187" s="56" t="inlineStr">
        <is>
          <t>ORD-00206</t>
        </is>
      </c>
      <c r="B187" s="79" t="n">
        <v>45820</v>
      </c>
      <c r="C187" s="56" t="n">
        <v>2025</v>
      </c>
      <c r="D187" s="56" t="n">
        <v>6</v>
      </c>
      <c r="E187" s="56" t="inlineStr">
        <is>
          <t>Saudi Arabia</t>
        </is>
      </c>
      <c r="F187" s="56" t="inlineStr">
        <is>
          <t>Riyadh</t>
        </is>
      </c>
      <c r="G187" s="56" t="inlineStr">
        <is>
          <t>Meta Ads</t>
        </is>
      </c>
      <c r="H187" s="56" t="inlineStr">
        <is>
          <t>Bundle Promo</t>
        </is>
      </c>
      <c r="I187" s="56" t="inlineStr">
        <is>
          <t>P002</t>
        </is>
      </c>
      <c r="J187" s="56" t="inlineStr">
        <is>
          <t>Phone Case</t>
        </is>
      </c>
      <c r="K187" s="56" t="inlineStr">
        <is>
          <t>Accessories</t>
        </is>
      </c>
      <c r="L187" s="56" t="inlineStr">
        <is>
          <t>Guangzhou Cases Ltd.</t>
        </is>
      </c>
      <c r="M187" s="80" t="n">
        <v>14.06</v>
      </c>
      <c r="N187" s="80" t="n">
        <v>1.94</v>
      </c>
      <c r="O187" s="80" t="n">
        <v>1.84</v>
      </c>
      <c r="P187" s="80" t="n">
        <v>0.03</v>
      </c>
      <c r="Q187" s="80" t="n">
        <v>9.49</v>
      </c>
      <c r="R187" s="80" t="n">
        <v>1</v>
      </c>
      <c r="S187" s="80">
        <f>IF(AC187="Cancelled",0,M187*R187)</f>
        <v/>
      </c>
      <c r="T187" s="80">
        <f>IF(AC187="Cancelled",0,N187*R187)</f>
        <v/>
      </c>
      <c r="U187" s="80">
        <f>IF(AC187="Cancelled",0,O187*R187)</f>
        <v/>
      </c>
      <c r="V187" s="80">
        <f>IF(AC187="Cancelled",0,ROUND(P187*S187,2))</f>
        <v/>
      </c>
      <c r="W187" s="80" t="inlineStr">
        <is>
          <t>No</t>
        </is>
      </c>
      <c r="X187" s="80" t="n">
        <v>0</v>
      </c>
      <c r="Y187" s="80">
        <f>IF(AC187="Cancelled",0,T187+U187+V187+Q187+X187)</f>
        <v/>
      </c>
      <c r="Z187" s="80">
        <f>IF(AC187="Cancelled",-Q187,S187-Y187)</f>
        <v/>
      </c>
      <c r="AA187" s="81">
        <f>IF(OR(AC187="Cancelled",S187=0),0,Z187/S187)</f>
        <v/>
      </c>
      <c r="AB187" s="82">
        <f>IFERROR(S187/Q187,0)</f>
        <v/>
      </c>
      <c r="AC187" s="56" t="inlineStr">
        <is>
          <t>Delivered</t>
        </is>
      </c>
    </row>
    <row r="188" ht="14.25" customHeight="1" s="57">
      <c r="A188" s="56" t="inlineStr">
        <is>
          <t>ORD-00293</t>
        </is>
      </c>
      <c r="B188" s="79" t="n">
        <v>45820</v>
      </c>
      <c r="C188" s="56" t="n">
        <v>2025</v>
      </c>
      <c r="D188" s="56" t="n">
        <v>6</v>
      </c>
      <c r="E188" s="56" t="inlineStr">
        <is>
          <t>Oman</t>
        </is>
      </c>
      <c r="F188" s="56" t="inlineStr">
        <is>
          <t>Muscat</t>
        </is>
      </c>
      <c r="G188" s="56" t="inlineStr">
        <is>
          <t>Organic Search</t>
        </is>
      </c>
      <c r="H188" s="56" t="inlineStr">
        <is>
          <t>Summer Sale</t>
        </is>
      </c>
      <c r="I188" s="56" t="inlineStr">
        <is>
          <t>P002</t>
        </is>
      </c>
      <c r="J188" s="56" t="inlineStr">
        <is>
          <t>Phone Case</t>
        </is>
      </c>
      <c r="K188" s="56" t="inlineStr">
        <is>
          <t>Accessories</t>
        </is>
      </c>
      <c r="L188" s="56" t="inlineStr">
        <is>
          <t>Guangzhou Cases Ltd.</t>
        </is>
      </c>
      <c r="M188" s="80" t="n">
        <v>14.97</v>
      </c>
      <c r="N188" s="80" t="n">
        <v>2.04</v>
      </c>
      <c r="O188" s="80" t="n">
        <v>1.96</v>
      </c>
      <c r="P188" s="80" t="n">
        <v>0.03</v>
      </c>
      <c r="Q188" s="80" t="n">
        <v>0</v>
      </c>
      <c r="R188" s="80" t="n">
        <v>1</v>
      </c>
      <c r="S188" s="80">
        <f>IF(AC188="Cancelled",0,M188*R188)</f>
        <v/>
      </c>
      <c r="T188" s="80">
        <f>IF(AC188="Cancelled",0,N188*R188)</f>
        <v/>
      </c>
      <c r="U188" s="80">
        <f>IF(AC188="Cancelled",0,O188*R188)</f>
        <v/>
      </c>
      <c r="V188" s="80">
        <f>IF(AC188="Cancelled",0,ROUND(P188*S188,2))</f>
        <v/>
      </c>
      <c r="W188" s="80" t="inlineStr">
        <is>
          <t>Yes</t>
        </is>
      </c>
      <c r="X188" s="80" t="n">
        <v>10.25</v>
      </c>
      <c r="Y188" s="80">
        <f>IF(AC188="Cancelled",0,T188+U188+V188+Q188+X188)</f>
        <v/>
      </c>
      <c r="Z188" s="80">
        <f>IF(AC188="Cancelled",-Q188,S188-Y188)</f>
        <v/>
      </c>
      <c r="AA188" s="81">
        <f>IF(OR(AC188="Cancelled",S188=0),0,Z188/S188)</f>
        <v/>
      </c>
      <c r="AB188" s="82">
        <f>IFERROR(S188/Q188,0)</f>
        <v/>
      </c>
      <c r="AC188" s="56" t="inlineStr">
        <is>
          <t>Refunded</t>
        </is>
      </c>
    </row>
    <row r="189" ht="14.25" customHeight="1" s="57">
      <c r="A189" s="56" t="inlineStr">
        <is>
          <t>ORD-00486</t>
        </is>
      </c>
      <c r="B189" s="79" t="n">
        <v>45824</v>
      </c>
      <c r="C189" s="56" t="n">
        <v>2025</v>
      </c>
      <c r="D189" s="56" t="n">
        <v>6</v>
      </c>
      <c r="E189" s="56" t="inlineStr">
        <is>
          <t>UAE</t>
        </is>
      </c>
      <c r="F189" s="56" t="inlineStr">
        <is>
          <t>Abu Dhabi</t>
        </is>
      </c>
      <c r="G189" s="56" t="inlineStr">
        <is>
          <t>Meta Ads</t>
        </is>
      </c>
      <c r="H189" s="56" t="inlineStr">
        <is>
          <t>Retargeting</t>
        </is>
      </c>
      <c r="I189" s="56" t="inlineStr">
        <is>
          <t>P008</t>
        </is>
      </c>
      <c r="J189" s="56" t="inlineStr">
        <is>
          <t>Portable Blender</t>
        </is>
      </c>
      <c r="K189" s="56" t="inlineStr">
        <is>
          <t>Kitchen</t>
        </is>
      </c>
      <c r="L189" s="56" t="inlineStr">
        <is>
          <t>Foshan Appliances</t>
        </is>
      </c>
      <c r="M189" s="80" t="n">
        <v>48.98</v>
      </c>
      <c r="N189" s="80" t="n">
        <v>16.66</v>
      </c>
      <c r="O189" s="80" t="n">
        <v>6.74</v>
      </c>
      <c r="P189" s="80" t="n">
        <v>0.03</v>
      </c>
      <c r="Q189" s="80" t="n">
        <v>19.8</v>
      </c>
      <c r="R189" s="80" t="n">
        <v>2</v>
      </c>
      <c r="S189" s="80">
        <f>IF(AC189="Cancelled",0,M189*R189)</f>
        <v/>
      </c>
      <c r="T189" s="80">
        <f>IF(AC189="Cancelled",0,N189*R189)</f>
        <v/>
      </c>
      <c r="U189" s="80">
        <f>IF(AC189="Cancelled",0,O189*R189)</f>
        <v/>
      </c>
      <c r="V189" s="80">
        <f>IF(AC189="Cancelled",0,ROUND(P189*S189,2))</f>
        <v/>
      </c>
      <c r="W189" s="80" t="inlineStr">
        <is>
          <t>No</t>
        </is>
      </c>
      <c r="X189" s="80" t="n">
        <v>0</v>
      </c>
      <c r="Y189" s="80">
        <f>IF(AC189="Cancelled",0,T189+U189+V189+Q189+X189)</f>
        <v/>
      </c>
      <c r="Z189" s="80">
        <f>IF(AC189="Cancelled",-Q189,S189-Y189)</f>
        <v/>
      </c>
      <c r="AA189" s="81">
        <f>IF(OR(AC189="Cancelled",S189=0),0,Z189/S189)</f>
        <v/>
      </c>
      <c r="AB189" s="82">
        <f>IFERROR(S189/Q189,0)</f>
        <v/>
      </c>
      <c r="AC189" s="56" t="inlineStr">
        <is>
          <t>Delivered</t>
        </is>
      </c>
    </row>
    <row r="190" ht="14.25" customHeight="1" s="57">
      <c r="A190" s="56" t="inlineStr">
        <is>
          <t>ORD-00009</t>
        </is>
      </c>
      <c r="B190" s="79" t="n">
        <v>45825</v>
      </c>
      <c r="C190" s="56" t="n">
        <v>2025</v>
      </c>
      <c r="D190" s="56" t="n">
        <v>6</v>
      </c>
      <c r="E190" s="56" t="inlineStr">
        <is>
          <t>UAE</t>
        </is>
      </c>
      <c r="F190" s="56" t="inlineStr">
        <is>
          <t>Dubai</t>
        </is>
      </c>
      <c r="G190" s="56" t="inlineStr">
        <is>
          <t>Google Ads</t>
        </is>
      </c>
      <c r="H190" s="56" t="inlineStr">
        <is>
          <t>Retargeting</t>
        </is>
      </c>
      <c r="I190" s="56" t="inlineStr">
        <is>
          <t>P007</t>
        </is>
      </c>
      <c r="J190" s="56" t="inlineStr">
        <is>
          <t>Pet Grooming Glove</t>
        </is>
      </c>
      <c r="K190" s="56" t="inlineStr">
        <is>
          <t>Pets</t>
        </is>
      </c>
      <c r="L190" s="56" t="inlineStr">
        <is>
          <t>Yiwu Pet Products</t>
        </is>
      </c>
      <c r="M190" s="80" t="n">
        <v>21.94</v>
      </c>
      <c r="N190" s="80" t="n">
        <v>3.44</v>
      </c>
      <c r="O190" s="80" t="n">
        <v>2.41</v>
      </c>
      <c r="P190" s="80" t="n">
        <v>0.03</v>
      </c>
      <c r="Q190" s="80" t="n">
        <v>4.85</v>
      </c>
      <c r="R190" s="80" t="n">
        <v>1</v>
      </c>
      <c r="S190" s="80">
        <f>IF(AC190="Cancelled",0,M190*R190)</f>
        <v/>
      </c>
      <c r="T190" s="80">
        <f>IF(AC190="Cancelled",0,N190*R190)</f>
        <v/>
      </c>
      <c r="U190" s="80">
        <f>IF(AC190="Cancelled",0,O190*R190)</f>
        <v/>
      </c>
      <c r="V190" s="80">
        <f>IF(AC190="Cancelled",0,ROUND(P190*S190,2))</f>
        <v/>
      </c>
      <c r="W190" s="80" t="inlineStr">
        <is>
          <t>No</t>
        </is>
      </c>
      <c r="X190" s="80" t="n">
        <v>0</v>
      </c>
      <c r="Y190" s="80">
        <f>IF(AC190="Cancelled",0,T190+U190+V190+Q190+X190)</f>
        <v/>
      </c>
      <c r="Z190" s="80">
        <f>IF(AC190="Cancelled",-Q190,S190-Y190)</f>
        <v/>
      </c>
      <c r="AA190" s="81">
        <f>IF(OR(AC190="Cancelled",S190=0),0,Z190/S190)</f>
        <v/>
      </c>
      <c r="AB190" s="82">
        <f>IFERROR(S190/Q190,0)</f>
        <v/>
      </c>
      <c r="AC190" s="56" t="inlineStr">
        <is>
          <t>Delivered</t>
        </is>
      </c>
    </row>
    <row r="191" ht="14.25" customHeight="1" s="57">
      <c r="A191" s="56" t="inlineStr">
        <is>
          <t>ORD-00417</t>
        </is>
      </c>
      <c r="B191" s="79" t="n">
        <v>45829</v>
      </c>
      <c r="C191" s="56" t="n">
        <v>2025</v>
      </c>
      <c r="D191" s="56" t="n">
        <v>6</v>
      </c>
      <c r="E191" s="56" t="inlineStr">
        <is>
          <t>UAE</t>
        </is>
      </c>
      <c r="F191" s="56" t="inlineStr">
        <is>
          <t>Dubai</t>
        </is>
      </c>
      <c r="G191" s="56" t="inlineStr">
        <is>
          <t>Google Ads</t>
        </is>
      </c>
      <c r="H191" s="56" t="inlineStr">
        <is>
          <t>Launch Test</t>
        </is>
      </c>
      <c r="I191" s="56" t="inlineStr">
        <is>
          <t>P006</t>
        </is>
      </c>
      <c r="J191" s="56" t="inlineStr">
        <is>
          <t>Posture Corrector</t>
        </is>
      </c>
      <c r="K191" s="56" t="inlineStr">
        <is>
          <t>Fitness</t>
        </is>
      </c>
      <c r="L191" s="56" t="inlineStr">
        <is>
          <t>Hangzhou Health Gear</t>
        </is>
      </c>
      <c r="M191" s="80" t="n">
        <v>31.87</v>
      </c>
      <c r="N191" s="80" t="n">
        <v>9.66</v>
      </c>
      <c r="O191" s="80" t="n">
        <v>3.69</v>
      </c>
      <c r="P191" s="80" t="n">
        <v>0.03</v>
      </c>
      <c r="Q191" s="80" t="n">
        <v>9.15</v>
      </c>
      <c r="R191" s="80" t="n">
        <v>1</v>
      </c>
      <c r="S191" s="80">
        <f>IF(AC191="Cancelled",0,M191*R191)</f>
        <v/>
      </c>
      <c r="T191" s="80">
        <f>IF(AC191="Cancelled",0,N191*R191)</f>
        <v/>
      </c>
      <c r="U191" s="80">
        <f>IF(AC191="Cancelled",0,O191*R191)</f>
        <v/>
      </c>
      <c r="V191" s="80">
        <f>IF(AC191="Cancelled",0,ROUND(P191*S191,2))</f>
        <v/>
      </c>
      <c r="W191" s="80" t="inlineStr">
        <is>
          <t>No</t>
        </is>
      </c>
      <c r="X191" s="80" t="n">
        <v>0</v>
      </c>
      <c r="Y191" s="80">
        <f>IF(AC191="Cancelled",0,T191+U191+V191+Q191+X191)</f>
        <v/>
      </c>
      <c r="Z191" s="80">
        <f>IF(AC191="Cancelled",-Q191,S191-Y191)</f>
        <v/>
      </c>
      <c r="AA191" s="81">
        <f>IF(OR(AC191="Cancelled",S191=0),0,Z191/S191)</f>
        <v/>
      </c>
      <c r="AB191" s="82">
        <f>IFERROR(S191/Q191,0)</f>
        <v/>
      </c>
      <c r="AC191" s="56" t="inlineStr">
        <is>
          <t>Delivered</t>
        </is>
      </c>
    </row>
    <row r="192" ht="14.25" customHeight="1" s="57">
      <c r="A192" s="56" t="inlineStr">
        <is>
          <t>ORD-00044</t>
        </is>
      </c>
      <c r="B192" s="79" t="n">
        <v>45831</v>
      </c>
      <c r="C192" s="56" t="n">
        <v>2025</v>
      </c>
      <c r="D192" s="56" t="n">
        <v>6</v>
      </c>
      <c r="E192" s="56" t="inlineStr">
        <is>
          <t>Oman</t>
        </is>
      </c>
      <c r="F192" s="56" t="inlineStr">
        <is>
          <t>Muscat</t>
        </is>
      </c>
      <c r="G192" s="56" t="inlineStr">
        <is>
          <t>TikTok Ads</t>
        </is>
      </c>
      <c r="H192" s="56" t="inlineStr">
        <is>
          <t>New Creative A/B</t>
        </is>
      </c>
      <c r="I192" s="56" t="inlineStr">
        <is>
          <t>P009</t>
        </is>
      </c>
      <c r="J192" s="56" t="inlineStr">
        <is>
          <t>Car Vacuum Cleaner</t>
        </is>
      </c>
      <c r="K192" s="56" t="inlineStr">
        <is>
          <t>Automotive</t>
        </is>
      </c>
      <c r="L192" s="56" t="inlineStr">
        <is>
          <t>Dongguan Auto Tools</t>
        </is>
      </c>
      <c r="M192" s="80" t="n">
        <v>44.34</v>
      </c>
      <c r="N192" s="80" t="n">
        <v>14.15</v>
      </c>
      <c r="O192" s="80" t="n">
        <v>6.3</v>
      </c>
      <c r="P192" s="80" t="n">
        <v>0.03</v>
      </c>
      <c r="Q192" s="80" t="n">
        <v>9.029999999999999</v>
      </c>
      <c r="R192" s="80" t="n">
        <v>3</v>
      </c>
      <c r="S192" s="80">
        <f>IF(AC192="Cancelled",0,M192*R192)</f>
        <v/>
      </c>
      <c r="T192" s="80">
        <f>IF(AC192="Cancelled",0,N192*R192)</f>
        <v/>
      </c>
      <c r="U192" s="80">
        <f>IF(AC192="Cancelled",0,O192*R192)</f>
        <v/>
      </c>
      <c r="V192" s="80">
        <f>IF(AC192="Cancelled",0,ROUND(P192*S192,2))</f>
        <v/>
      </c>
      <c r="W192" s="80" t="inlineStr">
        <is>
          <t>No</t>
        </is>
      </c>
      <c r="X192" s="80" t="n">
        <v>0</v>
      </c>
      <c r="Y192" s="80">
        <f>IF(AC192="Cancelled",0,T192+U192+V192+Q192+X192)</f>
        <v/>
      </c>
      <c r="Z192" s="80">
        <f>IF(AC192="Cancelled",-Q192,S192-Y192)</f>
        <v/>
      </c>
      <c r="AA192" s="81">
        <f>IF(OR(AC192="Cancelled",S192=0),0,Z192/S192)</f>
        <v/>
      </c>
      <c r="AB192" s="82">
        <f>IFERROR(S192/Q192,0)</f>
        <v/>
      </c>
      <c r="AC192" s="56" t="inlineStr">
        <is>
          <t>Delivered</t>
        </is>
      </c>
    </row>
    <row r="193" ht="14.25" customHeight="1" s="57">
      <c r="A193" s="56" t="inlineStr">
        <is>
          <t>ORD-00426</t>
        </is>
      </c>
      <c r="B193" s="79" t="n">
        <v>45831</v>
      </c>
      <c r="C193" s="56" t="n">
        <v>2025</v>
      </c>
      <c r="D193" s="56" t="n">
        <v>6</v>
      </c>
      <c r="E193" s="56" t="inlineStr">
        <is>
          <t>Saudi Arabia</t>
        </is>
      </c>
      <c r="F193" s="56" t="inlineStr">
        <is>
          <t>Riyadh</t>
        </is>
      </c>
      <c r="G193" s="56" t="inlineStr">
        <is>
          <t>TikTok Ads</t>
        </is>
      </c>
      <c r="H193" s="56" t="inlineStr">
        <is>
          <t>Launch Test</t>
        </is>
      </c>
      <c r="I193" s="56" t="inlineStr">
        <is>
          <t>P002</t>
        </is>
      </c>
      <c r="J193" s="56" t="inlineStr">
        <is>
          <t>Phone Case</t>
        </is>
      </c>
      <c r="K193" s="56" t="inlineStr">
        <is>
          <t>Accessories</t>
        </is>
      </c>
      <c r="L193" s="56" t="inlineStr">
        <is>
          <t>Guangzhou Cases Ltd.</t>
        </is>
      </c>
      <c r="M193" s="80" t="n">
        <v>14.59</v>
      </c>
      <c r="N193" s="80" t="n">
        <v>2.12</v>
      </c>
      <c r="O193" s="80" t="n">
        <v>1.98</v>
      </c>
      <c r="P193" s="80" t="n">
        <v>0.03</v>
      </c>
      <c r="Q193" s="80" t="n">
        <v>6.79</v>
      </c>
      <c r="R193" s="80" t="n">
        <v>1</v>
      </c>
      <c r="S193" s="80">
        <f>IF(AC193="Cancelled",0,M193*R193)</f>
        <v/>
      </c>
      <c r="T193" s="80">
        <f>IF(AC193="Cancelled",0,N193*R193)</f>
        <v/>
      </c>
      <c r="U193" s="80">
        <f>IF(AC193="Cancelled",0,O193*R193)</f>
        <v/>
      </c>
      <c r="V193" s="80">
        <f>IF(AC193="Cancelled",0,ROUND(P193*S193,2))</f>
        <v/>
      </c>
      <c r="W193" s="80" t="inlineStr">
        <is>
          <t>No</t>
        </is>
      </c>
      <c r="X193" s="80" t="n">
        <v>0</v>
      </c>
      <c r="Y193" s="80">
        <f>IF(AC193="Cancelled",0,T193+U193+V193+Q193+X193)</f>
        <v/>
      </c>
      <c r="Z193" s="80">
        <f>IF(AC193="Cancelled",-Q193,S193-Y193)</f>
        <v/>
      </c>
      <c r="AA193" s="81">
        <f>IF(OR(AC193="Cancelled",S193=0),0,Z193/S193)</f>
        <v/>
      </c>
      <c r="AB193" s="82">
        <f>IFERROR(S193/Q193,0)</f>
        <v/>
      </c>
      <c r="AC193" s="56" t="inlineStr">
        <is>
          <t>Delivered</t>
        </is>
      </c>
    </row>
    <row r="194" ht="14.25" customHeight="1" s="57">
      <c r="A194" s="56" t="inlineStr">
        <is>
          <t>ORD-00428</t>
        </is>
      </c>
      <c r="B194" s="79" t="n">
        <v>45832</v>
      </c>
      <c r="C194" s="56" t="n">
        <v>2025</v>
      </c>
      <c r="D194" s="56" t="n">
        <v>6</v>
      </c>
      <c r="E194" s="56" t="inlineStr">
        <is>
          <t>UAE</t>
        </is>
      </c>
      <c r="F194" s="56" t="inlineStr">
        <is>
          <t>Abu Dhabi</t>
        </is>
      </c>
      <c r="G194" s="56" t="inlineStr">
        <is>
          <t>TikTok Ads</t>
        </is>
      </c>
      <c r="H194" s="56" t="inlineStr">
        <is>
          <t>Summer Sale</t>
        </is>
      </c>
      <c r="I194" s="56" t="inlineStr">
        <is>
          <t>P001</t>
        </is>
      </c>
      <c r="J194" s="56" t="inlineStr">
        <is>
          <t>Wireless Earbuds</t>
        </is>
      </c>
      <c r="K194" s="56" t="inlineStr">
        <is>
          <t>Electronics</t>
        </is>
      </c>
      <c r="L194" s="56" t="inlineStr">
        <is>
          <t>Shenzhen Audio Co.</t>
        </is>
      </c>
      <c r="M194" s="80" t="n">
        <v>36.32</v>
      </c>
      <c r="N194" s="80" t="n">
        <v>8.460000000000001</v>
      </c>
      <c r="O194" s="80" t="n">
        <v>4.32</v>
      </c>
      <c r="P194" s="80" t="n">
        <v>0.03</v>
      </c>
      <c r="Q194" s="80" t="n">
        <v>9.43</v>
      </c>
      <c r="R194" s="80" t="n">
        <v>3</v>
      </c>
      <c r="S194" s="80">
        <f>IF(AC194="Cancelled",0,M194*R194)</f>
        <v/>
      </c>
      <c r="T194" s="80">
        <f>IF(AC194="Cancelled",0,N194*R194)</f>
        <v/>
      </c>
      <c r="U194" s="80">
        <f>IF(AC194="Cancelled",0,O194*R194)</f>
        <v/>
      </c>
      <c r="V194" s="80">
        <f>IF(AC194="Cancelled",0,ROUND(P194*S194,2))</f>
        <v/>
      </c>
      <c r="W194" s="80" t="inlineStr">
        <is>
          <t>No</t>
        </is>
      </c>
      <c r="X194" s="80" t="n">
        <v>0</v>
      </c>
      <c r="Y194" s="80">
        <f>IF(AC194="Cancelled",0,T194+U194+V194+Q194+X194)</f>
        <v/>
      </c>
      <c r="Z194" s="80">
        <f>IF(AC194="Cancelled",-Q194,S194-Y194)</f>
        <v/>
      </c>
      <c r="AA194" s="81">
        <f>IF(OR(AC194="Cancelled",S194=0),0,Z194/S194)</f>
        <v/>
      </c>
      <c r="AB194" s="82">
        <f>IFERROR(S194/Q194,0)</f>
        <v/>
      </c>
      <c r="AC194" s="56" t="inlineStr">
        <is>
          <t>Delivered</t>
        </is>
      </c>
    </row>
    <row r="195" ht="14.25" customHeight="1" s="57">
      <c r="A195" s="56" t="inlineStr">
        <is>
          <t>ORD-00033</t>
        </is>
      </c>
      <c r="B195" s="79" t="n">
        <v>45834</v>
      </c>
      <c r="C195" s="56" t="n">
        <v>2025</v>
      </c>
      <c r="D195" s="56" t="n">
        <v>6</v>
      </c>
      <c r="E195" s="56" t="inlineStr">
        <is>
          <t>Oman</t>
        </is>
      </c>
      <c r="F195" s="56" t="inlineStr">
        <is>
          <t>Muscat</t>
        </is>
      </c>
      <c r="G195" s="56" t="inlineStr">
        <is>
          <t>Google Ads</t>
        </is>
      </c>
      <c r="H195" s="56" t="inlineStr">
        <is>
          <t>Launch Test</t>
        </is>
      </c>
      <c r="I195" s="56" t="inlineStr">
        <is>
          <t>P009</t>
        </is>
      </c>
      <c r="J195" s="56" t="inlineStr">
        <is>
          <t>Car Vacuum Cleaner</t>
        </is>
      </c>
      <c r="K195" s="56" t="inlineStr">
        <is>
          <t>Automotive</t>
        </is>
      </c>
      <c r="L195" s="56" t="inlineStr">
        <is>
          <t>Dongguan Auto Tools</t>
        </is>
      </c>
      <c r="M195" s="80" t="n">
        <v>40.61</v>
      </c>
      <c r="N195" s="80" t="n">
        <v>13.59</v>
      </c>
      <c r="O195" s="80" t="n">
        <v>6.95</v>
      </c>
      <c r="P195" s="80" t="n">
        <v>0.03</v>
      </c>
      <c r="Q195" s="80" t="n">
        <v>15.17</v>
      </c>
      <c r="R195" s="80" t="n">
        <v>2</v>
      </c>
      <c r="S195" s="80">
        <f>IF(AC195="Cancelled",0,M195*R195)</f>
        <v/>
      </c>
      <c r="T195" s="80">
        <f>IF(AC195="Cancelled",0,N195*R195)</f>
        <v/>
      </c>
      <c r="U195" s="80">
        <f>IF(AC195="Cancelled",0,O195*R195)</f>
        <v/>
      </c>
      <c r="V195" s="80">
        <f>IF(AC195="Cancelled",0,ROUND(P195*S195,2))</f>
        <v/>
      </c>
      <c r="W195" s="80" t="inlineStr">
        <is>
          <t>No</t>
        </is>
      </c>
      <c r="X195" s="80" t="n">
        <v>0</v>
      </c>
      <c r="Y195" s="80">
        <f>IF(AC195="Cancelled",0,T195+U195+V195+Q195+X195)</f>
        <v/>
      </c>
      <c r="Z195" s="80">
        <f>IF(AC195="Cancelled",-Q195,S195-Y195)</f>
        <v/>
      </c>
      <c r="AA195" s="81">
        <f>IF(OR(AC195="Cancelled",S195=0),0,Z195/S195)</f>
        <v/>
      </c>
      <c r="AB195" s="82">
        <f>IFERROR(S195/Q195,0)</f>
        <v/>
      </c>
      <c r="AC195" s="56" t="inlineStr">
        <is>
          <t>Delivered</t>
        </is>
      </c>
    </row>
    <row r="196" ht="14.25" customHeight="1" s="57">
      <c r="A196" s="56" t="inlineStr">
        <is>
          <t>ORD-00365</t>
        </is>
      </c>
      <c r="B196" s="79" t="n">
        <v>45834</v>
      </c>
      <c r="C196" s="56" t="n">
        <v>2025</v>
      </c>
      <c r="D196" s="56" t="n">
        <v>6</v>
      </c>
      <c r="E196" s="56" t="inlineStr">
        <is>
          <t>Kuwait</t>
        </is>
      </c>
      <c r="F196" s="56" t="inlineStr">
        <is>
          <t>Kuwait City</t>
        </is>
      </c>
      <c r="G196" s="56" t="inlineStr">
        <is>
          <t>Organic Search</t>
        </is>
      </c>
      <c r="H196" s="56" t="inlineStr">
        <is>
          <t>New Creative A/B</t>
        </is>
      </c>
      <c r="I196" s="56" t="inlineStr">
        <is>
          <t>P002</t>
        </is>
      </c>
      <c r="J196" s="56" t="inlineStr">
        <is>
          <t>Phone Case</t>
        </is>
      </c>
      <c r="K196" s="56" t="inlineStr">
        <is>
          <t>Accessories</t>
        </is>
      </c>
      <c r="L196" s="56" t="inlineStr">
        <is>
          <t>Guangzhou Cases Ltd.</t>
        </is>
      </c>
      <c r="M196" s="80" t="n">
        <v>14.86</v>
      </c>
      <c r="N196" s="80" t="n">
        <v>1.92</v>
      </c>
      <c r="O196" s="80" t="n">
        <v>1.9</v>
      </c>
      <c r="P196" s="80" t="n">
        <v>0.03</v>
      </c>
      <c r="Q196" s="80" t="n">
        <v>0</v>
      </c>
      <c r="R196" s="80" t="n">
        <v>1</v>
      </c>
      <c r="S196" s="80">
        <f>IF(AC196="Cancelled",0,M196*R196)</f>
        <v/>
      </c>
      <c r="T196" s="80">
        <f>IF(AC196="Cancelled",0,N196*R196)</f>
        <v/>
      </c>
      <c r="U196" s="80">
        <f>IF(AC196="Cancelled",0,O196*R196)</f>
        <v/>
      </c>
      <c r="V196" s="80">
        <f>IF(AC196="Cancelled",0,ROUND(P196*S196,2))</f>
        <v/>
      </c>
      <c r="W196" s="80" t="inlineStr">
        <is>
          <t>No</t>
        </is>
      </c>
      <c r="X196" s="80" t="n">
        <v>0</v>
      </c>
      <c r="Y196" s="80">
        <f>IF(AC196="Cancelled",0,T196+U196+V196+Q196+X196)</f>
        <v/>
      </c>
      <c r="Z196" s="80">
        <f>IF(AC196="Cancelled",-Q196,S196-Y196)</f>
        <v/>
      </c>
      <c r="AA196" s="81">
        <f>IF(OR(AC196="Cancelled",S196=0),0,Z196/S196)</f>
        <v/>
      </c>
      <c r="AB196" s="82">
        <f>IFERROR(S196/Q196,0)</f>
        <v/>
      </c>
      <c r="AC196" s="56" t="inlineStr">
        <is>
          <t>Delivered</t>
        </is>
      </c>
    </row>
    <row r="197" ht="14.25" customHeight="1" s="57">
      <c r="A197" s="56" t="inlineStr">
        <is>
          <t>ORD-00320</t>
        </is>
      </c>
      <c r="B197" s="79" t="n">
        <v>45835</v>
      </c>
      <c r="C197" s="56" t="n">
        <v>2025</v>
      </c>
      <c r="D197" s="56" t="n">
        <v>6</v>
      </c>
      <c r="E197" s="56" t="inlineStr">
        <is>
          <t>UAE</t>
        </is>
      </c>
      <c r="F197" s="56" t="inlineStr">
        <is>
          <t>Dubai</t>
        </is>
      </c>
      <c r="G197" s="56" t="inlineStr">
        <is>
          <t>Influencer</t>
        </is>
      </c>
      <c r="H197" s="56" t="inlineStr">
        <is>
          <t>Retargeting</t>
        </is>
      </c>
      <c r="I197" s="56" t="inlineStr">
        <is>
          <t>P007</t>
        </is>
      </c>
      <c r="J197" s="56" t="inlineStr">
        <is>
          <t>Pet Grooming Glove</t>
        </is>
      </c>
      <c r="K197" s="56" t="inlineStr">
        <is>
          <t>Pets</t>
        </is>
      </c>
      <c r="L197" s="56" t="inlineStr">
        <is>
          <t>Yiwu Pet Products</t>
        </is>
      </c>
      <c r="M197" s="80" t="n">
        <v>18.32</v>
      </c>
      <c r="N197" s="80" t="n">
        <v>3.41</v>
      </c>
      <c r="O197" s="80" t="n">
        <v>2.47</v>
      </c>
      <c r="P197" s="80" t="n">
        <v>0.03</v>
      </c>
      <c r="Q197" s="80" t="n">
        <v>12.17</v>
      </c>
      <c r="R197" s="80" t="n">
        <v>2</v>
      </c>
      <c r="S197" s="80">
        <f>IF(AC197="Cancelled",0,M197*R197)</f>
        <v/>
      </c>
      <c r="T197" s="80">
        <f>IF(AC197="Cancelled",0,N197*R197)</f>
        <v/>
      </c>
      <c r="U197" s="80">
        <f>IF(AC197="Cancelled",0,O197*R197)</f>
        <v/>
      </c>
      <c r="V197" s="80">
        <f>IF(AC197="Cancelled",0,ROUND(P197*S197,2))</f>
        <v/>
      </c>
      <c r="W197" s="80" t="inlineStr">
        <is>
          <t>No</t>
        </is>
      </c>
      <c r="X197" s="80" t="n">
        <v>0</v>
      </c>
      <c r="Y197" s="80">
        <f>IF(AC197="Cancelled",0,T197+U197+V197+Q197+X197)</f>
        <v/>
      </c>
      <c r="Z197" s="80">
        <f>IF(AC197="Cancelled",-Q197,S197-Y197)</f>
        <v/>
      </c>
      <c r="AA197" s="81">
        <f>IF(OR(AC197="Cancelled",S197=0),0,Z197/S197)</f>
        <v/>
      </c>
      <c r="AB197" s="82">
        <f>IFERROR(S197/Q197,0)</f>
        <v/>
      </c>
      <c r="AC197" s="56" t="inlineStr">
        <is>
          <t>Delivered</t>
        </is>
      </c>
    </row>
    <row r="198" ht="14.25" customHeight="1" s="57">
      <c r="A198" s="56" t="inlineStr">
        <is>
          <t>ORD-00352</t>
        </is>
      </c>
      <c r="B198" s="79" t="n">
        <v>45835</v>
      </c>
      <c r="C198" s="56" t="n">
        <v>2025</v>
      </c>
      <c r="D198" s="56" t="n">
        <v>6</v>
      </c>
      <c r="E198" s="56" t="inlineStr">
        <is>
          <t>Saudi Arabia</t>
        </is>
      </c>
      <c r="F198" s="56" t="inlineStr">
        <is>
          <t>Riyadh</t>
        </is>
      </c>
      <c r="G198" s="56" t="inlineStr">
        <is>
          <t>Email</t>
        </is>
      </c>
      <c r="H198" s="56" t="inlineStr">
        <is>
          <t>New Creative A/B</t>
        </is>
      </c>
      <c r="I198" s="56" t="inlineStr">
        <is>
          <t>P004</t>
        </is>
      </c>
      <c r="J198" s="56" t="inlineStr">
        <is>
          <t>Beauty Tool</t>
        </is>
      </c>
      <c r="K198" s="56" t="inlineStr">
        <is>
          <t>Beauty</t>
        </is>
      </c>
      <c r="L198" s="56" t="inlineStr">
        <is>
          <t>Ningbo Beauty Supply</t>
        </is>
      </c>
      <c r="M198" s="80" t="n">
        <v>33.11</v>
      </c>
      <c r="N198" s="80" t="n">
        <v>7.56</v>
      </c>
      <c r="O198" s="80" t="n">
        <v>4.18</v>
      </c>
      <c r="P198" s="80" t="n">
        <v>0.03</v>
      </c>
      <c r="Q198" s="80" t="n">
        <v>27.02</v>
      </c>
      <c r="R198" s="80" t="n">
        <v>3</v>
      </c>
      <c r="S198" s="80">
        <f>IF(AC198="Cancelled",0,M198*R198)</f>
        <v/>
      </c>
      <c r="T198" s="80">
        <f>IF(AC198="Cancelled",0,N198*R198)</f>
        <v/>
      </c>
      <c r="U198" s="80">
        <f>IF(AC198="Cancelled",0,O198*R198)</f>
        <v/>
      </c>
      <c r="V198" s="80">
        <f>IF(AC198="Cancelled",0,ROUND(P198*S198,2))</f>
        <v/>
      </c>
      <c r="W198" s="80" t="inlineStr">
        <is>
          <t>No</t>
        </is>
      </c>
      <c r="X198" s="80" t="n">
        <v>0</v>
      </c>
      <c r="Y198" s="80">
        <f>IF(AC198="Cancelled",0,T198+U198+V198+Q198+X198)</f>
        <v/>
      </c>
      <c r="Z198" s="80">
        <f>IF(AC198="Cancelled",-Q198,S198-Y198)</f>
        <v/>
      </c>
      <c r="AA198" s="81">
        <f>IF(OR(AC198="Cancelled",S198=0),0,Z198/S198)</f>
        <v/>
      </c>
      <c r="AB198" s="82">
        <f>IFERROR(S198/Q198,0)</f>
        <v/>
      </c>
      <c r="AC198" s="56" t="inlineStr">
        <is>
          <t>Delivered</t>
        </is>
      </c>
    </row>
    <row r="199" ht="14.25" customHeight="1" s="57">
      <c r="A199" s="56" t="inlineStr">
        <is>
          <t>ORD-00482</t>
        </is>
      </c>
      <c r="B199" s="79" t="n">
        <v>45836</v>
      </c>
      <c r="C199" s="56" t="n">
        <v>2025</v>
      </c>
      <c r="D199" s="56" t="n">
        <v>6</v>
      </c>
      <c r="E199" s="56" t="inlineStr">
        <is>
          <t>UAE</t>
        </is>
      </c>
      <c r="F199" s="56" t="inlineStr">
        <is>
          <t>Dubai</t>
        </is>
      </c>
      <c r="G199" s="56" t="inlineStr">
        <is>
          <t>Google Ads</t>
        </is>
      </c>
      <c r="H199" s="56" t="inlineStr">
        <is>
          <t>Retargeting</t>
        </is>
      </c>
      <c r="I199" s="56" t="inlineStr">
        <is>
          <t>P002</t>
        </is>
      </c>
      <c r="J199" s="56" t="inlineStr">
        <is>
          <t>Phone Case</t>
        </is>
      </c>
      <c r="K199" s="56" t="inlineStr">
        <is>
          <t>Accessories</t>
        </is>
      </c>
      <c r="L199" s="56" t="inlineStr">
        <is>
          <t>Guangzhou Cases Ltd.</t>
        </is>
      </c>
      <c r="M199" s="80" t="n">
        <v>15.1</v>
      </c>
      <c r="N199" s="80" t="n">
        <v>2.13</v>
      </c>
      <c r="O199" s="80" t="n">
        <v>1.9</v>
      </c>
      <c r="P199" s="80" t="n">
        <v>0.03</v>
      </c>
      <c r="Q199" s="80" t="n">
        <v>3.43</v>
      </c>
      <c r="R199" s="80" t="n">
        <v>1</v>
      </c>
      <c r="S199" s="80">
        <f>IF(AC199="Cancelled",0,M199*R199)</f>
        <v/>
      </c>
      <c r="T199" s="80">
        <f>IF(AC199="Cancelled",0,N199*R199)</f>
        <v/>
      </c>
      <c r="U199" s="80">
        <f>IF(AC199="Cancelled",0,O199*R199)</f>
        <v/>
      </c>
      <c r="V199" s="80">
        <f>IF(AC199="Cancelled",0,ROUND(P199*S199,2))</f>
        <v/>
      </c>
      <c r="W199" s="80" t="inlineStr">
        <is>
          <t>Yes</t>
        </is>
      </c>
      <c r="X199" s="80" t="n">
        <v>11.27</v>
      </c>
      <c r="Y199" s="80">
        <f>IF(AC199="Cancelled",0,T199+U199+V199+Q199+X199)</f>
        <v/>
      </c>
      <c r="Z199" s="80">
        <f>IF(AC199="Cancelled",-Q199,S199-Y199)</f>
        <v/>
      </c>
      <c r="AA199" s="81">
        <f>IF(OR(AC199="Cancelled",S199=0),0,Z199/S199)</f>
        <v/>
      </c>
      <c r="AB199" s="82">
        <f>IFERROR(S199/Q199,0)</f>
        <v/>
      </c>
      <c r="AC199" s="56" t="inlineStr">
        <is>
          <t>Refunded</t>
        </is>
      </c>
    </row>
    <row r="200" ht="14.25" customHeight="1" s="57">
      <c r="A200" s="56" t="inlineStr">
        <is>
          <t>ORD-00343</t>
        </is>
      </c>
      <c r="B200" s="79" t="n">
        <v>45837</v>
      </c>
      <c r="C200" s="56" t="n">
        <v>2025</v>
      </c>
      <c r="D200" s="56" t="n">
        <v>6</v>
      </c>
      <c r="E200" s="56" t="inlineStr">
        <is>
          <t>Saudi Arabia</t>
        </is>
      </c>
      <c r="F200" s="56" t="inlineStr">
        <is>
          <t>Jeddah</t>
        </is>
      </c>
      <c r="G200" s="56" t="inlineStr">
        <is>
          <t>Influencer</t>
        </is>
      </c>
      <c r="H200" s="56" t="inlineStr">
        <is>
          <t>Launch Test</t>
        </is>
      </c>
      <c r="I200" s="56" t="inlineStr">
        <is>
          <t>P010</t>
        </is>
      </c>
      <c r="J200" s="56" t="inlineStr">
        <is>
          <t>Smart Water Bottle</t>
        </is>
      </c>
      <c r="K200" s="56" t="inlineStr">
        <is>
          <t>Lifestyle</t>
        </is>
      </c>
      <c r="L200" s="56" t="inlineStr">
        <is>
          <t>Shenzhen Smart Home</t>
        </is>
      </c>
      <c r="M200" s="80" t="n">
        <v>31.48</v>
      </c>
      <c r="N200" s="80" t="n">
        <v>10.72</v>
      </c>
      <c r="O200" s="80" t="n">
        <v>4.1</v>
      </c>
      <c r="P200" s="80" t="n">
        <v>0.03</v>
      </c>
      <c r="Q200" s="80" t="n">
        <v>16.46</v>
      </c>
      <c r="R200" s="80" t="n">
        <v>2</v>
      </c>
      <c r="S200" s="80">
        <f>IF(AC200="Cancelled",0,M200*R200)</f>
        <v/>
      </c>
      <c r="T200" s="80">
        <f>IF(AC200="Cancelled",0,N200*R200)</f>
        <v/>
      </c>
      <c r="U200" s="80">
        <f>IF(AC200="Cancelled",0,O200*R200)</f>
        <v/>
      </c>
      <c r="V200" s="80">
        <f>IF(AC200="Cancelled",0,ROUND(P200*S200,2))</f>
        <v/>
      </c>
      <c r="W200" s="80" t="inlineStr">
        <is>
          <t>No</t>
        </is>
      </c>
      <c r="X200" s="80" t="n">
        <v>0</v>
      </c>
      <c r="Y200" s="80">
        <f>IF(AC200="Cancelled",0,T200+U200+V200+Q200+X200)</f>
        <v/>
      </c>
      <c r="Z200" s="80">
        <f>IF(AC200="Cancelled",-Q200,S200-Y200)</f>
        <v/>
      </c>
      <c r="AA200" s="81">
        <f>IF(OR(AC200="Cancelled",S200=0),0,Z200/S200)</f>
        <v/>
      </c>
      <c r="AB200" s="82">
        <f>IFERROR(S200/Q200,0)</f>
        <v/>
      </c>
      <c r="AC200" s="56" t="inlineStr">
        <is>
          <t>Delivered</t>
        </is>
      </c>
    </row>
    <row r="201" ht="14.25" customHeight="1" s="57">
      <c r="A201" s="56" t="inlineStr">
        <is>
          <t>ORD-00045</t>
        </is>
      </c>
      <c r="B201" s="79" t="n">
        <v>45838</v>
      </c>
      <c r="C201" s="56" t="n">
        <v>2025</v>
      </c>
      <c r="D201" s="56" t="n">
        <v>6</v>
      </c>
      <c r="E201" s="56" t="inlineStr">
        <is>
          <t>Kuwait</t>
        </is>
      </c>
      <c r="F201" s="56" t="inlineStr">
        <is>
          <t>Kuwait City</t>
        </is>
      </c>
      <c r="G201" s="56" t="inlineStr">
        <is>
          <t>TikTok Ads</t>
        </is>
      </c>
      <c r="H201" s="56" t="inlineStr">
        <is>
          <t>Summer Sale</t>
        </is>
      </c>
      <c r="I201" s="56" t="inlineStr">
        <is>
          <t>P010</t>
        </is>
      </c>
      <c r="J201" s="56" t="inlineStr">
        <is>
          <t>Smart Water Bottle</t>
        </is>
      </c>
      <c r="K201" s="56" t="inlineStr">
        <is>
          <t>Lifestyle</t>
        </is>
      </c>
      <c r="L201" s="56" t="inlineStr">
        <is>
          <t>Shenzhen Smart Home</t>
        </is>
      </c>
      <c r="M201" s="80" t="n">
        <v>31.99</v>
      </c>
      <c r="N201" s="80" t="n">
        <v>10.72</v>
      </c>
      <c r="O201" s="80" t="n">
        <v>3.73</v>
      </c>
      <c r="P201" s="80" t="n">
        <v>0.03</v>
      </c>
      <c r="Q201" s="80" t="n">
        <v>10.7</v>
      </c>
      <c r="R201" s="80" t="n">
        <v>2</v>
      </c>
      <c r="S201" s="80">
        <f>IF(AC201="Cancelled",0,M201*R201)</f>
        <v/>
      </c>
      <c r="T201" s="80">
        <f>IF(AC201="Cancelled",0,N201*R201)</f>
        <v/>
      </c>
      <c r="U201" s="80">
        <f>IF(AC201="Cancelled",0,O201*R201)</f>
        <v/>
      </c>
      <c r="V201" s="80">
        <f>IF(AC201="Cancelled",0,ROUND(P201*S201,2))</f>
        <v/>
      </c>
      <c r="W201" s="80" t="inlineStr">
        <is>
          <t>No</t>
        </is>
      </c>
      <c r="X201" s="80" t="n">
        <v>0</v>
      </c>
      <c r="Y201" s="80">
        <f>IF(AC201="Cancelled",0,T201+U201+V201+Q201+X201)</f>
        <v/>
      </c>
      <c r="Z201" s="80">
        <f>IF(AC201="Cancelled",-Q201,S201-Y201)</f>
        <v/>
      </c>
      <c r="AA201" s="81">
        <f>IF(OR(AC201="Cancelled",S201=0),0,Z201/S201)</f>
        <v/>
      </c>
      <c r="AB201" s="82">
        <f>IFERROR(S201/Q201,0)</f>
        <v/>
      </c>
      <c r="AC201" s="56" t="inlineStr">
        <is>
          <t>Delivered</t>
        </is>
      </c>
    </row>
    <row r="202" ht="14.25" customHeight="1" s="57">
      <c r="A202" s="56" t="inlineStr">
        <is>
          <t>ORD-00200</t>
        </is>
      </c>
      <c r="B202" s="79" t="n">
        <v>45839</v>
      </c>
      <c r="C202" s="56" t="n">
        <v>2025</v>
      </c>
      <c r="D202" s="56" t="n">
        <v>7</v>
      </c>
      <c r="E202" s="56" t="inlineStr">
        <is>
          <t>Kuwait</t>
        </is>
      </c>
      <c r="F202" s="56" t="inlineStr">
        <is>
          <t>Kuwait City</t>
        </is>
      </c>
      <c r="G202" s="56" t="inlineStr">
        <is>
          <t>Meta Ads</t>
        </is>
      </c>
      <c r="H202" s="56" t="inlineStr">
        <is>
          <t>New Creative A/B</t>
        </is>
      </c>
      <c r="I202" s="56" t="inlineStr">
        <is>
          <t>P009</t>
        </is>
      </c>
      <c r="J202" s="56" t="inlineStr">
        <is>
          <t>Car Vacuum Cleaner</t>
        </is>
      </c>
      <c r="K202" s="56" t="inlineStr">
        <is>
          <t>Automotive</t>
        </is>
      </c>
      <c r="L202" s="56" t="inlineStr">
        <is>
          <t>Dongguan Auto Tools</t>
        </is>
      </c>
      <c r="M202" s="80" t="n">
        <v>41.85</v>
      </c>
      <c r="N202" s="80" t="n">
        <v>13.69</v>
      </c>
      <c r="O202" s="80" t="n">
        <v>7</v>
      </c>
      <c r="P202" s="80" t="n">
        <v>0.03</v>
      </c>
      <c r="Q202" s="80" t="n">
        <v>26.46</v>
      </c>
      <c r="R202" s="80" t="n">
        <v>3</v>
      </c>
      <c r="S202" s="80">
        <f>IF(AC202="Cancelled",0,M202*R202)</f>
        <v/>
      </c>
      <c r="T202" s="80">
        <f>IF(AC202="Cancelled",0,N202*R202)</f>
        <v/>
      </c>
      <c r="U202" s="80">
        <f>IF(AC202="Cancelled",0,O202*R202)</f>
        <v/>
      </c>
      <c r="V202" s="80">
        <f>IF(AC202="Cancelled",0,ROUND(P202*S202,2))</f>
        <v/>
      </c>
      <c r="W202" s="80" t="inlineStr">
        <is>
          <t>No</t>
        </is>
      </c>
      <c r="X202" s="80" t="n">
        <v>0</v>
      </c>
      <c r="Y202" s="80">
        <f>IF(AC202="Cancelled",0,T202+U202+V202+Q202+X202)</f>
        <v/>
      </c>
      <c r="Z202" s="80">
        <f>IF(AC202="Cancelled",-Q202,S202-Y202)</f>
        <v/>
      </c>
      <c r="AA202" s="81">
        <f>IF(OR(AC202="Cancelled",S202=0),0,Z202/S202)</f>
        <v/>
      </c>
      <c r="AB202" s="82">
        <f>IFERROR(S202/Q202,0)</f>
        <v/>
      </c>
      <c r="AC202" s="56" t="inlineStr">
        <is>
          <t>Delivered</t>
        </is>
      </c>
    </row>
    <row r="203" ht="14.25" customHeight="1" s="57">
      <c r="A203" s="56" t="inlineStr">
        <is>
          <t>ORD-00063</t>
        </is>
      </c>
      <c r="B203" s="79" t="n">
        <v>45842</v>
      </c>
      <c r="C203" s="56" t="n">
        <v>2025</v>
      </c>
      <c r="D203" s="56" t="n">
        <v>7</v>
      </c>
      <c r="E203" s="56" t="inlineStr">
        <is>
          <t>Kuwait</t>
        </is>
      </c>
      <c r="F203" s="56" t="inlineStr">
        <is>
          <t>Kuwait City</t>
        </is>
      </c>
      <c r="G203" s="56" t="inlineStr">
        <is>
          <t>TikTok Ads</t>
        </is>
      </c>
      <c r="H203" s="56" t="inlineStr">
        <is>
          <t>Summer Sale</t>
        </is>
      </c>
      <c r="I203" s="56" t="inlineStr">
        <is>
          <t>P007</t>
        </is>
      </c>
      <c r="J203" s="56" t="inlineStr">
        <is>
          <t>Pet Grooming Glove</t>
        </is>
      </c>
      <c r="K203" s="56" t="inlineStr">
        <is>
          <t>Pets</t>
        </is>
      </c>
      <c r="L203" s="56" t="inlineStr">
        <is>
          <t>Yiwu Pet Products</t>
        </is>
      </c>
      <c r="M203" s="80" t="n">
        <v>21.96</v>
      </c>
      <c r="N203" s="80" t="n">
        <v>3.59</v>
      </c>
      <c r="O203" s="80" t="n">
        <v>2.3</v>
      </c>
      <c r="P203" s="80" t="n">
        <v>0.03</v>
      </c>
      <c r="Q203" s="80" t="n">
        <v>8.77</v>
      </c>
      <c r="R203" s="80" t="n">
        <v>1</v>
      </c>
      <c r="S203" s="80">
        <f>IF(AC203="Cancelled",0,M203*R203)</f>
        <v/>
      </c>
      <c r="T203" s="80">
        <f>IF(AC203="Cancelled",0,N203*R203)</f>
        <v/>
      </c>
      <c r="U203" s="80">
        <f>IF(AC203="Cancelled",0,O203*R203)</f>
        <v/>
      </c>
      <c r="V203" s="80">
        <f>IF(AC203="Cancelled",0,ROUND(P203*S203,2))</f>
        <v/>
      </c>
      <c r="W203" s="80" t="inlineStr">
        <is>
          <t>Yes</t>
        </is>
      </c>
      <c r="X203" s="80" t="n">
        <v>10.41</v>
      </c>
      <c r="Y203" s="80">
        <f>IF(AC203="Cancelled",0,T203+U203+V203+Q203+X203)</f>
        <v/>
      </c>
      <c r="Z203" s="80">
        <f>IF(AC203="Cancelled",-Q203,S203-Y203)</f>
        <v/>
      </c>
      <c r="AA203" s="81">
        <f>IF(OR(AC203="Cancelled",S203=0),0,Z203/S203)</f>
        <v/>
      </c>
      <c r="AB203" s="82">
        <f>IFERROR(S203/Q203,0)</f>
        <v/>
      </c>
      <c r="AC203" s="56" t="inlineStr">
        <is>
          <t>Refunded</t>
        </is>
      </c>
    </row>
    <row r="204" ht="14.25" customHeight="1" s="57">
      <c r="A204" s="56" t="inlineStr">
        <is>
          <t>ORD-00424</t>
        </is>
      </c>
      <c r="B204" s="79" t="n">
        <v>45843</v>
      </c>
      <c r="C204" s="56" t="n">
        <v>2025</v>
      </c>
      <c r="D204" s="56" t="n">
        <v>7</v>
      </c>
      <c r="E204" s="56" t="inlineStr">
        <is>
          <t>UAE</t>
        </is>
      </c>
      <c r="F204" s="56" t="inlineStr">
        <is>
          <t>Dubai</t>
        </is>
      </c>
      <c r="G204" s="56" t="inlineStr">
        <is>
          <t>Email</t>
        </is>
      </c>
      <c r="H204" s="56" t="inlineStr">
        <is>
          <t>New Creative A/B</t>
        </is>
      </c>
      <c r="I204" s="56" t="inlineStr">
        <is>
          <t>P005</t>
        </is>
      </c>
      <c r="J204" s="56" t="inlineStr">
        <is>
          <t>Mini Printer</t>
        </is>
      </c>
      <c r="K204" s="56" t="inlineStr">
        <is>
          <t>Electronics</t>
        </is>
      </c>
      <c r="L204" s="56" t="inlineStr">
        <is>
          <t>Shenzhen Print Tech</t>
        </is>
      </c>
      <c r="M204" s="80" t="n">
        <v>61.16</v>
      </c>
      <c r="N204" s="80" t="n">
        <v>23.34</v>
      </c>
      <c r="O204" s="80" t="n">
        <v>6.45</v>
      </c>
      <c r="P204" s="80" t="n">
        <v>0.03</v>
      </c>
      <c r="Q204" s="80" t="n">
        <v>23.42</v>
      </c>
      <c r="R204" s="80" t="n">
        <v>3</v>
      </c>
      <c r="S204" s="80">
        <f>IF(AC204="Cancelled",0,M204*R204)</f>
        <v/>
      </c>
      <c r="T204" s="80">
        <f>IF(AC204="Cancelled",0,N204*R204)</f>
        <v/>
      </c>
      <c r="U204" s="80">
        <f>IF(AC204="Cancelled",0,O204*R204)</f>
        <v/>
      </c>
      <c r="V204" s="80">
        <f>IF(AC204="Cancelled",0,ROUND(P204*S204,2))</f>
        <v/>
      </c>
      <c r="W204" s="80" t="inlineStr">
        <is>
          <t>Yes</t>
        </is>
      </c>
      <c r="X204" s="80" t="n">
        <v>112.73</v>
      </c>
      <c r="Y204" s="80">
        <f>IF(AC204="Cancelled",0,T204+U204+V204+Q204+X204)</f>
        <v/>
      </c>
      <c r="Z204" s="80">
        <f>IF(AC204="Cancelled",-Q204,S204-Y204)</f>
        <v/>
      </c>
      <c r="AA204" s="81">
        <f>IF(OR(AC204="Cancelled",S204=0),0,Z204/S204)</f>
        <v/>
      </c>
      <c r="AB204" s="82">
        <f>IFERROR(S204/Q204,0)</f>
        <v/>
      </c>
      <c r="AC204" s="56" t="inlineStr">
        <is>
          <t>Refunded</t>
        </is>
      </c>
    </row>
    <row r="205" ht="14.25" customHeight="1" s="57">
      <c r="A205" s="56" t="inlineStr">
        <is>
          <t>ORD-00387</t>
        </is>
      </c>
      <c r="B205" s="79" t="n">
        <v>45846</v>
      </c>
      <c r="C205" s="56" t="n">
        <v>2025</v>
      </c>
      <c r="D205" s="56" t="n">
        <v>7</v>
      </c>
      <c r="E205" s="56" t="inlineStr">
        <is>
          <t>UAE</t>
        </is>
      </c>
      <c r="F205" s="56" t="inlineStr">
        <is>
          <t>Sharjah</t>
        </is>
      </c>
      <c r="G205" s="56" t="inlineStr">
        <is>
          <t>Meta Ads</t>
        </is>
      </c>
      <c r="H205" s="56" t="inlineStr">
        <is>
          <t>New Creative A/B</t>
        </is>
      </c>
      <c r="I205" s="56" t="inlineStr">
        <is>
          <t>P003</t>
        </is>
      </c>
      <c r="J205" s="56" t="inlineStr">
        <is>
          <t>LED Strip Lights</t>
        </is>
      </c>
      <c r="K205" s="56" t="inlineStr">
        <is>
          <t>Home Decor</t>
        </is>
      </c>
      <c r="L205" s="56" t="inlineStr">
        <is>
          <t>Yiwu Lighting Factory</t>
        </is>
      </c>
      <c r="M205" s="80" t="n">
        <v>22.94</v>
      </c>
      <c r="N205" s="80" t="n">
        <v>5.85</v>
      </c>
      <c r="O205" s="80" t="n">
        <v>3.54</v>
      </c>
      <c r="P205" s="80" t="n">
        <v>0.03</v>
      </c>
      <c r="Q205" s="80" t="n">
        <v>7.87</v>
      </c>
      <c r="R205" s="80" t="n">
        <v>1</v>
      </c>
      <c r="S205" s="80">
        <f>IF(AC205="Cancelled",0,M205*R205)</f>
        <v/>
      </c>
      <c r="T205" s="80">
        <f>IF(AC205="Cancelled",0,N205*R205)</f>
        <v/>
      </c>
      <c r="U205" s="80">
        <f>IF(AC205="Cancelled",0,O205*R205)</f>
        <v/>
      </c>
      <c r="V205" s="80">
        <f>IF(AC205="Cancelled",0,ROUND(P205*S205,2))</f>
        <v/>
      </c>
      <c r="W205" s="80" t="inlineStr">
        <is>
          <t>No</t>
        </is>
      </c>
      <c r="X205" s="80" t="n">
        <v>0</v>
      </c>
      <c r="Y205" s="80">
        <f>IF(AC205="Cancelled",0,T205+U205+V205+Q205+X205)</f>
        <v/>
      </c>
      <c r="Z205" s="80">
        <f>IF(AC205="Cancelled",-Q205,S205-Y205)</f>
        <v/>
      </c>
      <c r="AA205" s="81">
        <f>IF(OR(AC205="Cancelled",S205=0),0,Z205/S205)</f>
        <v/>
      </c>
      <c r="AB205" s="82">
        <f>IFERROR(S205/Q205,0)</f>
        <v/>
      </c>
      <c r="AC205" s="56" t="inlineStr">
        <is>
          <t>Delivered</t>
        </is>
      </c>
    </row>
    <row r="206" ht="14.25" customHeight="1" s="57">
      <c r="A206" s="56" t="inlineStr">
        <is>
          <t>ORD-00494</t>
        </is>
      </c>
      <c r="B206" s="79" t="n">
        <v>45849</v>
      </c>
      <c r="C206" s="56" t="n">
        <v>2025</v>
      </c>
      <c r="D206" s="56" t="n">
        <v>7</v>
      </c>
      <c r="E206" s="56" t="inlineStr">
        <is>
          <t>UAE</t>
        </is>
      </c>
      <c r="F206" s="56" t="inlineStr">
        <is>
          <t>Abu Dhabi</t>
        </is>
      </c>
      <c r="G206" s="56" t="inlineStr">
        <is>
          <t>Influencer</t>
        </is>
      </c>
      <c r="H206" s="56" t="inlineStr">
        <is>
          <t>New Creative A/B</t>
        </is>
      </c>
      <c r="I206" s="56" t="inlineStr">
        <is>
          <t>P006</t>
        </is>
      </c>
      <c r="J206" s="56" t="inlineStr">
        <is>
          <t>Posture Corrector</t>
        </is>
      </c>
      <c r="K206" s="56" t="inlineStr">
        <is>
          <t>Fitness</t>
        </is>
      </c>
      <c r="L206" s="56" t="inlineStr">
        <is>
          <t>Hangzhou Health Gear</t>
        </is>
      </c>
      <c r="M206" s="80" t="n">
        <v>34.75</v>
      </c>
      <c r="N206" s="80" t="n">
        <v>8.57</v>
      </c>
      <c r="O206" s="80" t="n">
        <v>3.77</v>
      </c>
      <c r="P206" s="80" t="n">
        <v>0.03</v>
      </c>
      <c r="Q206" s="80" t="n">
        <v>1.53</v>
      </c>
      <c r="R206" s="80" t="n">
        <v>1</v>
      </c>
      <c r="S206" s="80">
        <f>IF(AC206="Cancelled",0,M206*R206)</f>
        <v/>
      </c>
      <c r="T206" s="80">
        <f>IF(AC206="Cancelled",0,N206*R206)</f>
        <v/>
      </c>
      <c r="U206" s="80">
        <f>IF(AC206="Cancelled",0,O206*R206)</f>
        <v/>
      </c>
      <c r="V206" s="80">
        <f>IF(AC206="Cancelled",0,ROUND(P206*S206,2))</f>
        <v/>
      </c>
      <c r="W206" s="80" t="inlineStr">
        <is>
          <t>No</t>
        </is>
      </c>
      <c r="X206" s="80" t="n">
        <v>0</v>
      </c>
      <c r="Y206" s="80">
        <f>IF(AC206="Cancelled",0,T206+U206+V206+Q206+X206)</f>
        <v/>
      </c>
      <c r="Z206" s="80">
        <f>IF(AC206="Cancelled",-Q206,S206-Y206)</f>
        <v/>
      </c>
      <c r="AA206" s="81">
        <f>IF(OR(AC206="Cancelled",S206=0),0,Z206/S206)</f>
        <v/>
      </c>
      <c r="AB206" s="82">
        <f>IFERROR(S206/Q206,0)</f>
        <v/>
      </c>
      <c r="AC206" s="56" t="inlineStr">
        <is>
          <t>Delivered</t>
        </is>
      </c>
    </row>
    <row r="207" ht="14.25" customHeight="1" s="57">
      <c r="A207" s="56" t="inlineStr">
        <is>
          <t>ORD-00004</t>
        </is>
      </c>
      <c r="B207" s="79" t="n">
        <v>45850</v>
      </c>
      <c r="C207" s="56" t="n">
        <v>2025</v>
      </c>
      <c r="D207" s="56" t="n">
        <v>7</v>
      </c>
      <c r="E207" s="56" t="inlineStr">
        <is>
          <t>UAE</t>
        </is>
      </c>
      <c r="F207" s="56" t="inlineStr">
        <is>
          <t>Dubai</t>
        </is>
      </c>
      <c r="G207" s="56" t="inlineStr">
        <is>
          <t>TikTok Ads</t>
        </is>
      </c>
      <c r="H207" s="56" t="inlineStr">
        <is>
          <t>New Creative A/B</t>
        </is>
      </c>
      <c r="I207" s="56" t="inlineStr">
        <is>
          <t>P001</t>
        </is>
      </c>
      <c r="J207" s="56" t="inlineStr">
        <is>
          <t>Wireless Earbuds</t>
        </is>
      </c>
      <c r="K207" s="56" t="inlineStr">
        <is>
          <t>Electronics</t>
        </is>
      </c>
      <c r="L207" s="56" t="inlineStr">
        <is>
          <t>Shenzhen Audio Co.</t>
        </is>
      </c>
      <c r="M207" s="80" t="n">
        <v>43.99</v>
      </c>
      <c r="N207" s="80" t="n">
        <v>8.67</v>
      </c>
      <c r="O207" s="80" t="n">
        <v>4.37</v>
      </c>
      <c r="P207" s="80" t="n">
        <v>0.03</v>
      </c>
      <c r="Q207" s="80" t="n">
        <v>6.56</v>
      </c>
      <c r="R207" s="80" t="n">
        <v>2</v>
      </c>
      <c r="S207" s="80">
        <f>IF(AC207="Cancelled",0,M207*R207)</f>
        <v/>
      </c>
      <c r="T207" s="80">
        <f>IF(AC207="Cancelled",0,N207*R207)</f>
        <v/>
      </c>
      <c r="U207" s="80">
        <f>IF(AC207="Cancelled",0,O207*R207)</f>
        <v/>
      </c>
      <c r="V207" s="80">
        <f>IF(AC207="Cancelled",0,ROUND(P207*S207,2))</f>
        <v/>
      </c>
      <c r="W207" s="80" t="inlineStr">
        <is>
          <t>No</t>
        </is>
      </c>
      <c r="X207" s="80" t="n">
        <v>0</v>
      </c>
      <c r="Y207" s="80">
        <f>IF(AC207="Cancelled",0,T207+U207+V207+Q207+X207)</f>
        <v/>
      </c>
      <c r="Z207" s="80">
        <f>IF(AC207="Cancelled",-Q207,S207-Y207)</f>
        <v/>
      </c>
      <c r="AA207" s="81">
        <f>IF(OR(AC207="Cancelled",S207=0),0,Z207/S207)</f>
        <v/>
      </c>
      <c r="AB207" s="82">
        <f>IFERROR(S207/Q207,0)</f>
        <v/>
      </c>
      <c r="AC207" s="56" t="inlineStr">
        <is>
          <t>Delivered</t>
        </is>
      </c>
    </row>
    <row r="208" ht="14.25" customHeight="1" s="57">
      <c r="A208" s="56" t="inlineStr">
        <is>
          <t>ORD-00140</t>
        </is>
      </c>
      <c r="B208" s="79" t="n">
        <v>45850</v>
      </c>
      <c r="C208" s="56" t="n">
        <v>2025</v>
      </c>
      <c r="D208" s="56" t="n">
        <v>7</v>
      </c>
      <c r="E208" s="56" t="inlineStr">
        <is>
          <t>Qatar</t>
        </is>
      </c>
      <c r="F208" s="56" t="inlineStr">
        <is>
          <t>Doha</t>
        </is>
      </c>
      <c r="G208" s="56" t="inlineStr">
        <is>
          <t>Email</t>
        </is>
      </c>
      <c r="H208" s="56" t="inlineStr">
        <is>
          <t>Bundle Promo</t>
        </is>
      </c>
      <c r="I208" s="56" t="inlineStr">
        <is>
          <t>P010</t>
        </is>
      </c>
      <c r="J208" s="56" t="inlineStr">
        <is>
          <t>Smart Water Bottle</t>
        </is>
      </c>
      <c r="K208" s="56" t="inlineStr">
        <is>
          <t>Lifestyle</t>
        </is>
      </c>
      <c r="L208" s="56" t="inlineStr">
        <is>
          <t>Shenzhen Smart Home</t>
        </is>
      </c>
      <c r="M208" s="80" t="n">
        <v>33.43</v>
      </c>
      <c r="N208" s="80" t="n">
        <v>10.61</v>
      </c>
      <c r="O208" s="80" t="n">
        <v>4.19</v>
      </c>
      <c r="P208" s="80" t="n">
        <v>0.03</v>
      </c>
      <c r="Q208" s="80" t="n">
        <v>16.98</v>
      </c>
      <c r="R208" s="80" t="n">
        <v>2</v>
      </c>
      <c r="S208" s="80">
        <f>IF(AC208="Cancelled",0,M208*R208)</f>
        <v/>
      </c>
      <c r="T208" s="80">
        <f>IF(AC208="Cancelled",0,N208*R208)</f>
        <v/>
      </c>
      <c r="U208" s="80">
        <f>IF(AC208="Cancelled",0,O208*R208)</f>
        <v/>
      </c>
      <c r="V208" s="80">
        <f>IF(AC208="Cancelled",0,ROUND(P208*S208,2))</f>
        <v/>
      </c>
      <c r="W208" s="80" t="inlineStr">
        <is>
          <t>No</t>
        </is>
      </c>
      <c r="X208" s="80" t="n">
        <v>0</v>
      </c>
      <c r="Y208" s="80">
        <f>IF(AC208="Cancelled",0,T208+U208+V208+Q208+X208)</f>
        <v/>
      </c>
      <c r="Z208" s="80">
        <f>IF(AC208="Cancelled",-Q208,S208-Y208)</f>
        <v/>
      </c>
      <c r="AA208" s="81">
        <f>IF(OR(AC208="Cancelled",S208=0),0,Z208/S208)</f>
        <v/>
      </c>
      <c r="AB208" s="82">
        <f>IFERROR(S208/Q208,0)</f>
        <v/>
      </c>
      <c r="AC208" s="56" t="inlineStr">
        <is>
          <t>Delivered</t>
        </is>
      </c>
    </row>
    <row r="209" ht="14.25" customHeight="1" s="57">
      <c r="A209" s="56" t="inlineStr">
        <is>
          <t>ORD-00315</t>
        </is>
      </c>
      <c r="B209" s="79" t="n">
        <v>45851</v>
      </c>
      <c r="C209" s="56" t="n">
        <v>2025</v>
      </c>
      <c r="D209" s="56" t="n">
        <v>7</v>
      </c>
      <c r="E209" s="56" t="inlineStr">
        <is>
          <t>UAE</t>
        </is>
      </c>
      <c r="F209" s="56" t="inlineStr">
        <is>
          <t>Dubai</t>
        </is>
      </c>
      <c r="G209" s="56" t="inlineStr">
        <is>
          <t>Organic Search</t>
        </is>
      </c>
      <c r="H209" s="56" t="inlineStr">
        <is>
          <t>Launch Test</t>
        </is>
      </c>
      <c r="I209" s="56" t="inlineStr">
        <is>
          <t>P010</t>
        </is>
      </c>
      <c r="J209" s="56" t="inlineStr">
        <is>
          <t>Smart Water Bottle</t>
        </is>
      </c>
      <c r="K209" s="56" t="inlineStr">
        <is>
          <t>Lifestyle</t>
        </is>
      </c>
      <c r="L209" s="56" t="inlineStr">
        <is>
          <t>Shenzhen Smart Home</t>
        </is>
      </c>
      <c r="M209" s="80" t="n">
        <v>34.48</v>
      </c>
      <c r="N209" s="80" t="n">
        <v>10.41</v>
      </c>
      <c r="O209" s="80" t="n">
        <v>4.45</v>
      </c>
      <c r="P209" s="80" t="n">
        <v>0.03</v>
      </c>
      <c r="Q209" s="80" t="n">
        <v>0</v>
      </c>
      <c r="R209" s="80" t="n">
        <v>1</v>
      </c>
      <c r="S209" s="80">
        <f>IF(AC209="Cancelled",0,M209*R209)</f>
        <v/>
      </c>
      <c r="T209" s="80">
        <f>IF(AC209="Cancelled",0,N209*R209)</f>
        <v/>
      </c>
      <c r="U209" s="80">
        <f>IF(AC209="Cancelled",0,O209*R209)</f>
        <v/>
      </c>
      <c r="V209" s="80">
        <f>IF(AC209="Cancelled",0,ROUND(P209*S209,2))</f>
        <v/>
      </c>
      <c r="W209" s="80" t="inlineStr">
        <is>
          <t>No</t>
        </is>
      </c>
      <c r="X209" s="80" t="n">
        <v>0</v>
      </c>
      <c r="Y209" s="80">
        <f>IF(AC209="Cancelled",0,T209+U209+V209+Q209+X209)</f>
        <v/>
      </c>
      <c r="Z209" s="80">
        <f>IF(AC209="Cancelled",-Q209,S209-Y209)</f>
        <v/>
      </c>
      <c r="AA209" s="81">
        <f>IF(OR(AC209="Cancelled",S209=0),0,Z209/S209)</f>
        <v/>
      </c>
      <c r="AB209" s="82">
        <f>IFERROR(S209/Q209,0)</f>
        <v/>
      </c>
      <c r="AC209" s="56" t="inlineStr">
        <is>
          <t>Delivered</t>
        </is>
      </c>
    </row>
    <row r="210" ht="14.25" customHeight="1" s="57">
      <c r="A210" s="56" t="inlineStr">
        <is>
          <t>ORD-00155</t>
        </is>
      </c>
      <c r="B210" s="79" t="n">
        <v>45852</v>
      </c>
      <c r="C210" s="56" t="n">
        <v>2025</v>
      </c>
      <c r="D210" s="56" t="n">
        <v>7</v>
      </c>
      <c r="E210" s="56" t="inlineStr">
        <is>
          <t>Qatar</t>
        </is>
      </c>
      <c r="F210" s="56" t="inlineStr">
        <is>
          <t>Doha</t>
        </is>
      </c>
      <c r="G210" s="56" t="inlineStr">
        <is>
          <t>Influencer</t>
        </is>
      </c>
      <c r="H210" s="56" t="inlineStr">
        <is>
          <t>Launch Test</t>
        </is>
      </c>
      <c r="I210" s="56" t="inlineStr">
        <is>
          <t>P004</t>
        </is>
      </c>
      <c r="J210" s="56" t="inlineStr">
        <is>
          <t>Beauty Tool</t>
        </is>
      </c>
      <c r="K210" s="56" t="inlineStr">
        <is>
          <t>Beauty</t>
        </is>
      </c>
      <c r="L210" s="56" t="inlineStr">
        <is>
          <t>Ningbo Beauty Supply</t>
        </is>
      </c>
      <c r="M210" s="80" t="n">
        <v>30.75</v>
      </c>
      <c r="N210" s="80" t="n">
        <v>7.37</v>
      </c>
      <c r="O210" s="80" t="n">
        <v>4.74</v>
      </c>
      <c r="P210" s="80" t="n">
        <v>0.03</v>
      </c>
      <c r="Q210" s="80" t="n">
        <v>1.6</v>
      </c>
      <c r="R210" s="80" t="n">
        <v>1</v>
      </c>
      <c r="S210" s="80">
        <f>IF(AC210="Cancelled",0,M210*R210)</f>
        <v/>
      </c>
      <c r="T210" s="80">
        <f>IF(AC210="Cancelled",0,N210*R210)</f>
        <v/>
      </c>
      <c r="U210" s="80">
        <f>IF(AC210="Cancelled",0,O210*R210)</f>
        <v/>
      </c>
      <c r="V210" s="80">
        <f>IF(AC210="Cancelled",0,ROUND(P210*S210,2))</f>
        <v/>
      </c>
      <c r="W210" s="80" t="inlineStr">
        <is>
          <t>No</t>
        </is>
      </c>
      <c r="X210" s="80" t="n">
        <v>0</v>
      </c>
      <c r="Y210" s="80">
        <f>IF(AC210="Cancelled",0,T210+U210+V210+Q210+X210)</f>
        <v/>
      </c>
      <c r="Z210" s="80">
        <f>IF(AC210="Cancelled",-Q210,S210-Y210)</f>
        <v/>
      </c>
      <c r="AA210" s="81">
        <f>IF(OR(AC210="Cancelled",S210=0),0,Z210/S210)</f>
        <v/>
      </c>
      <c r="AB210" s="82">
        <f>IFERROR(S210/Q210,0)</f>
        <v/>
      </c>
      <c r="AC210" s="56" t="inlineStr">
        <is>
          <t>Delivered</t>
        </is>
      </c>
    </row>
    <row r="211" ht="14.25" customHeight="1" s="57">
      <c r="A211" s="56" t="inlineStr">
        <is>
          <t>ORD-00080</t>
        </is>
      </c>
      <c r="B211" s="79" t="n">
        <v>45856</v>
      </c>
      <c r="C211" s="56" t="n">
        <v>2025</v>
      </c>
      <c r="D211" s="56" t="n">
        <v>7</v>
      </c>
      <c r="E211" s="56" t="inlineStr">
        <is>
          <t>Saudi Arabia</t>
        </is>
      </c>
      <c r="F211" s="56" t="inlineStr">
        <is>
          <t>Jeddah</t>
        </is>
      </c>
      <c r="G211" s="56" t="inlineStr">
        <is>
          <t>TikTok Ads</t>
        </is>
      </c>
      <c r="H211" s="56" t="inlineStr">
        <is>
          <t>Retargeting</t>
        </is>
      </c>
      <c r="I211" s="56" t="inlineStr">
        <is>
          <t>P007</t>
        </is>
      </c>
      <c r="J211" s="56" t="inlineStr">
        <is>
          <t>Pet Grooming Glove</t>
        </is>
      </c>
      <c r="K211" s="56" t="inlineStr">
        <is>
          <t>Pets</t>
        </is>
      </c>
      <c r="L211" s="56" t="inlineStr">
        <is>
          <t>Yiwu Pet Products</t>
        </is>
      </c>
      <c r="M211" s="80" t="n">
        <v>18.46</v>
      </c>
      <c r="N211" s="80" t="n">
        <v>3.44</v>
      </c>
      <c r="O211" s="80" t="n">
        <v>2.4</v>
      </c>
      <c r="P211" s="80" t="n">
        <v>0.03</v>
      </c>
      <c r="Q211" s="80" t="n">
        <v>6.18</v>
      </c>
      <c r="R211" s="80" t="n">
        <v>1</v>
      </c>
      <c r="S211" s="80">
        <f>IF(AC211="Cancelled",0,M211*R211)</f>
        <v/>
      </c>
      <c r="T211" s="80">
        <f>IF(AC211="Cancelled",0,N211*R211)</f>
        <v/>
      </c>
      <c r="U211" s="80">
        <f>IF(AC211="Cancelled",0,O211*R211)</f>
        <v/>
      </c>
      <c r="V211" s="80">
        <f>IF(AC211="Cancelled",0,ROUND(P211*S211,2))</f>
        <v/>
      </c>
      <c r="W211" s="80" t="inlineStr">
        <is>
          <t>No</t>
        </is>
      </c>
      <c r="X211" s="80" t="n">
        <v>0</v>
      </c>
      <c r="Y211" s="80">
        <f>IF(AC211="Cancelled",0,T211+U211+V211+Q211+X211)</f>
        <v/>
      </c>
      <c r="Z211" s="80">
        <f>IF(AC211="Cancelled",-Q211,S211-Y211)</f>
        <v/>
      </c>
      <c r="AA211" s="81">
        <f>IF(OR(AC211="Cancelled",S211=0),0,Z211/S211)</f>
        <v/>
      </c>
      <c r="AB211" s="82">
        <f>IFERROR(S211/Q211,0)</f>
        <v/>
      </c>
      <c r="AC211" s="56" t="inlineStr">
        <is>
          <t>Delivered</t>
        </is>
      </c>
    </row>
    <row r="212" ht="14.25" customHeight="1" s="57">
      <c r="A212" s="56" t="inlineStr">
        <is>
          <t>ORD-00010</t>
        </is>
      </c>
      <c r="B212" s="79" t="n">
        <v>45857</v>
      </c>
      <c r="C212" s="56" t="n">
        <v>2025</v>
      </c>
      <c r="D212" s="56" t="n">
        <v>7</v>
      </c>
      <c r="E212" s="56" t="inlineStr">
        <is>
          <t>Saudi Arabia</t>
        </is>
      </c>
      <c r="F212" s="56" t="inlineStr">
        <is>
          <t>Riyadh</t>
        </is>
      </c>
      <c r="G212" s="56" t="inlineStr">
        <is>
          <t>Influencer</t>
        </is>
      </c>
      <c r="H212" s="56" t="inlineStr">
        <is>
          <t>Bundle Promo</t>
        </is>
      </c>
      <c r="I212" s="56" t="inlineStr">
        <is>
          <t>P008</t>
        </is>
      </c>
      <c r="J212" s="56" t="inlineStr">
        <is>
          <t>Portable Blender</t>
        </is>
      </c>
      <c r="K212" s="56" t="inlineStr">
        <is>
          <t>Kitchen</t>
        </is>
      </c>
      <c r="L212" s="56" t="inlineStr">
        <is>
          <t>Foshan Appliances</t>
        </is>
      </c>
      <c r="M212" s="80" t="n">
        <v>47.98</v>
      </c>
      <c r="N212" s="80" t="n">
        <v>16.2</v>
      </c>
      <c r="O212" s="80" t="n">
        <v>6.15</v>
      </c>
      <c r="P212" s="80" t="n">
        <v>0.03</v>
      </c>
      <c r="Q212" s="80" t="n">
        <v>7.74</v>
      </c>
      <c r="R212" s="80" t="n">
        <v>3</v>
      </c>
      <c r="S212" s="80">
        <f>IF(AC212="Cancelled",0,M212*R212)</f>
        <v/>
      </c>
      <c r="T212" s="80">
        <f>IF(AC212="Cancelled",0,N212*R212)</f>
        <v/>
      </c>
      <c r="U212" s="80">
        <f>IF(AC212="Cancelled",0,O212*R212)</f>
        <v/>
      </c>
      <c r="V212" s="80">
        <f>IF(AC212="Cancelled",0,ROUND(P212*S212,2))</f>
        <v/>
      </c>
      <c r="W212" s="80" t="inlineStr">
        <is>
          <t>No</t>
        </is>
      </c>
      <c r="X212" s="80" t="n">
        <v>0</v>
      </c>
      <c r="Y212" s="80">
        <f>IF(AC212="Cancelled",0,T212+U212+V212+Q212+X212)</f>
        <v/>
      </c>
      <c r="Z212" s="80">
        <f>IF(AC212="Cancelled",-Q212,S212-Y212)</f>
        <v/>
      </c>
      <c r="AA212" s="81">
        <f>IF(OR(AC212="Cancelled",S212=0),0,Z212/S212)</f>
        <v/>
      </c>
      <c r="AB212" s="82">
        <f>IFERROR(S212/Q212,0)</f>
        <v/>
      </c>
      <c r="AC212" s="56" t="inlineStr">
        <is>
          <t>Cancelled</t>
        </is>
      </c>
    </row>
    <row r="213" ht="14.25" customHeight="1" s="57">
      <c r="A213" s="56" t="inlineStr">
        <is>
          <t>ORD-00084</t>
        </is>
      </c>
      <c r="B213" s="79" t="n">
        <v>45857</v>
      </c>
      <c r="C213" s="56" t="n">
        <v>2025</v>
      </c>
      <c r="D213" s="56" t="n">
        <v>7</v>
      </c>
      <c r="E213" s="56" t="inlineStr">
        <is>
          <t>Kuwait</t>
        </is>
      </c>
      <c r="F213" s="56" t="inlineStr">
        <is>
          <t>Kuwait City</t>
        </is>
      </c>
      <c r="G213" s="56" t="inlineStr">
        <is>
          <t>Google Ads</t>
        </is>
      </c>
      <c r="H213" s="56" t="inlineStr">
        <is>
          <t>Launch Test</t>
        </is>
      </c>
      <c r="I213" s="56" t="inlineStr">
        <is>
          <t>P003</t>
        </is>
      </c>
      <c r="J213" s="56" t="inlineStr">
        <is>
          <t>LED Strip Lights</t>
        </is>
      </c>
      <c r="K213" s="56" t="inlineStr">
        <is>
          <t>Home Decor</t>
        </is>
      </c>
      <c r="L213" s="56" t="inlineStr">
        <is>
          <t>Yiwu Lighting Factory</t>
        </is>
      </c>
      <c r="M213" s="80" t="n">
        <v>25.13</v>
      </c>
      <c r="N213" s="80" t="n">
        <v>6.46</v>
      </c>
      <c r="O213" s="80" t="n">
        <v>3.51</v>
      </c>
      <c r="P213" s="80" t="n">
        <v>0.03</v>
      </c>
      <c r="Q213" s="80" t="n">
        <v>6.4</v>
      </c>
      <c r="R213" s="80" t="n">
        <v>1</v>
      </c>
      <c r="S213" s="80">
        <f>IF(AC213="Cancelled",0,M213*R213)</f>
        <v/>
      </c>
      <c r="T213" s="80">
        <f>IF(AC213="Cancelled",0,N213*R213)</f>
        <v/>
      </c>
      <c r="U213" s="80">
        <f>IF(AC213="Cancelled",0,O213*R213)</f>
        <v/>
      </c>
      <c r="V213" s="80">
        <f>IF(AC213="Cancelled",0,ROUND(P213*S213,2))</f>
        <v/>
      </c>
      <c r="W213" s="80" t="inlineStr">
        <is>
          <t>No</t>
        </is>
      </c>
      <c r="X213" s="80" t="n">
        <v>0</v>
      </c>
      <c r="Y213" s="80">
        <f>IF(AC213="Cancelled",0,T213+U213+V213+Q213+X213)</f>
        <v/>
      </c>
      <c r="Z213" s="80">
        <f>IF(AC213="Cancelled",-Q213,S213-Y213)</f>
        <v/>
      </c>
      <c r="AA213" s="81">
        <f>IF(OR(AC213="Cancelled",S213=0),0,Z213/S213)</f>
        <v/>
      </c>
      <c r="AB213" s="82">
        <f>IFERROR(S213/Q213,0)</f>
        <v/>
      </c>
      <c r="AC213" s="56" t="inlineStr">
        <is>
          <t>Delivered</t>
        </is>
      </c>
    </row>
    <row r="214" ht="14.25" customHeight="1" s="57">
      <c r="A214" s="56" t="inlineStr">
        <is>
          <t>ORD-00055</t>
        </is>
      </c>
      <c r="B214" s="79" t="n">
        <v>45859</v>
      </c>
      <c r="C214" s="56" t="n">
        <v>2025</v>
      </c>
      <c r="D214" s="56" t="n">
        <v>7</v>
      </c>
      <c r="E214" s="56" t="inlineStr">
        <is>
          <t>Oman</t>
        </is>
      </c>
      <c r="F214" s="56" t="inlineStr">
        <is>
          <t>Muscat</t>
        </is>
      </c>
      <c r="G214" s="56" t="inlineStr">
        <is>
          <t>Google Ads</t>
        </is>
      </c>
      <c r="H214" s="56" t="inlineStr">
        <is>
          <t>Retargeting</t>
        </is>
      </c>
      <c r="I214" s="56" t="inlineStr">
        <is>
          <t>P001</t>
        </is>
      </c>
      <c r="J214" s="56" t="inlineStr">
        <is>
          <t>Wireless Earbuds</t>
        </is>
      </c>
      <c r="K214" s="56" t="inlineStr">
        <is>
          <t>Electronics</t>
        </is>
      </c>
      <c r="L214" s="56" t="inlineStr">
        <is>
          <t>Shenzhen Audio Co.</t>
        </is>
      </c>
      <c r="M214" s="80" t="n">
        <v>42.11</v>
      </c>
      <c r="N214" s="80" t="n">
        <v>8.41</v>
      </c>
      <c r="O214" s="80" t="n">
        <v>4.26</v>
      </c>
      <c r="P214" s="80" t="n">
        <v>0.03</v>
      </c>
      <c r="Q214" s="80" t="n">
        <v>10.56</v>
      </c>
      <c r="R214" s="80" t="n">
        <v>2</v>
      </c>
      <c r="S214" s="80">
        <f>IF(AC214="Cancelled",0,M214*R214)</f>
        <v/>
      </c>
      <c r="T214" s="80">
        <f>IF(AC214="Cancelled",0,N214*R214)</f>
        <v/>
      </c>
      <c r="U214" s="80">
        <f>IF(AC214="Cancelled",0,O214*R214)</f>
        <v/>
      </c>
      <c r="V214" s="80">
        <f>IF(AC214="Cancelled",0,ROUND(P214*S214,2))</f>
        <v/>
      </c>
      <c r="W214" s="80" t="inlineStr">
        <is>
          <t>No</t>
        </is>
      </c>
      <c r="X214" s="80" t="n">
        <v>0</v>
      </c>
      <c r="Y214" s="80">
        <f>IF(AC214="Cancelled",0,T214+U214+V214+Q214+X214)</f>
        <v/>
      </c>
      <c r="Z214" s="80">
        <f>IF(AC214="Cancelled",-Q214,S214-Y214)</f>
        <v/>
      </c>
      <c r="AA214" s="81">
        <f>IF(OR(AC214="Cancelled",S214=0),0,Z214/S214)</f>
        <v/>
      </c>
      <c r="AB214" s="82">
        <f>IFERROR(S214/Q214,0)</f>
        <v/>
      </c>
      <c r="AC214" s="56" t="inlineStr">
        <is>
          <t>Delivered</t>
        </is>
      </c>
    </row>
    <row r="215" ht="14.25" customHeight="1" s="57">
      <c r="A215" s="56" t="inlineStr">
        <is>
          <t>ORD-00163</t>
        </is>
      </c>
      <c r="B215" s="79" t="n">
        <v>45862</v>
      </c>
      <c r="C215" s="56" t="n">
        <v>2025</v>
      </c>
      <c r="D215" s="56" t="n">
        <v>7</v>
      </c>
      <c r="E215" s="56" t="inlineStr">
        <is>
          <t>UAE</t>
        </is>
      </c>
      <c r="F215" s="56" t="inlineStr">
        <is>
          <t>Dubai</t>
        </is>
      </c>
      <c r="G215" s="56" t="inlineStr">
        <is>
          <t>Google Ads</t>
        </is>
      </c>
      <c r="H215" s="56" t="inlineStr">
        <is>
          <t>Summer Sale</t>
        </is>
      </c>
      <c r="I215" s="56" t="inlineStr">
        <is>
          <t>P006</t>
        </is>
      </c>
      <c r="J215" s="56" t="inlineStr">
        <is>
          <t>Posture Corrector</t>
        </is>
      </c>
      <c r="K215" s="56" t="inlineStr">
        <is>
          <t>Fitness</t>
        </is>
      </c>
      <c r="L215" s="56" t="inlineStr">
        <is>
          <t>Hangzhou Health Gear</t>
        </is>
      </c>
      <c r="M215" s="80" t="n">
        <v>33.88</v>
      </c>
      <c r="N215" s="80" t="n">
        <v>9.01</v>
      </c>
      <c r="O215" s="80" t="n">
        <v>4.25</v>
      </c>
      <c r="P215" s="80" t="n">
        <v>0.03</v>
      </c>
      <c r="Q215" s="80" t="n">
        <v>16.52</v>
      </c>
      <c r="R215" s="80" t="n">
        <v>2</v>
      </c>
      <c r="S215" s="80">
        <f>IF(AC215="Cancelled",0,M215*R215)</f>
        <v/>
      </c>
      <c r="T215" s="80">
        <f>IF(AC215="Cancelled",0,N215*R215)</f>
        <v/>
      </c>
      <c r="U215" s="80">
        <f>IF(AC215="Cancelled",0,O215*R215)</f>
        <v/>
      </c>
      <c r="V215" s="80">
        <f>IF(AC215="Cancelled",0,ROUND(P215*S215,2))</f>
        <v/>
      </c>
      <c r="W215" s="80" t="inlineStr">
        <is>
          <t>No</t>
        </is>
      </c>
      <c r="X215" s="80" t="n">
        <v>0</v>
      </c>
      <c r="Y215" s="80">
        <f>IF(AC215="Cancelled",0,T215+U215+V215+Q215+X215)</f>
        <v/>
      </c>
      <c r="Z215" s="80">
        <f>IF(AC215="Cancelled",-Q215,S215-Y215)</f>
        <v/>
      </c>
      <c r="AA215" s="81">
        <f>IF(OR(AC215="Cancelled",S215=0),0,Z215/S215)</f>
        <v/>
      </c>
      <c r="AB215" s="82">
        <f>IFERROR(S215/Q215,0)</f>
        <v/>
      </c>
      <c r="AC215" s="56" t="inlineStr">
        <is>
          <t>Delivered</t>
        </is>
      </c>
    </row>
    <row r="216" ht="14.25" customHeight="1" s="57">
      <c r="A216" s="56" t="inlineStr">
        <is>
          <t>ORD-00267</t>
        </is>
      </c>
      <c r="B216" s="79" t="n">
        <v>45862</v>
      </c>
      <c r="C216" s="56" t="n">
        <v>2025</v>
      </c>
      <c r="D216" s="56" t="n">
        <v>7</v>
      </c>
      <c r="E216" s="56" t="inlineStr">
        <is>
          <t>Saudi Arabia</t>
        </is>
      </c>
      <c r="F216" s="56" t="inlineStr">
        <is>
          <t>Riyadh</t>
        </is>
      </c>
      <c r="G216" s="56" t="inlineStr">
        <is>
          <t>Meta Ads</t>
        </is>
      </c>
      <c r="H216" s="56" t="inlineStr">
        <is>
          <t>Retargeting</t>
        </is>
      </c>
      <c r="I216" s="56" t="inlineStr">
        <is>
          <t>P009</t>
        </is>
      </c>
      <c r="J216" s="56" t="inlineStr">
        <is>
          <t>Car Vacuum Cleaner</t>
        </is>
      </c>
      <c r="K216" s="56" t="inlineStr">
        <is>
          <t>Automotive</t>
        </is>
      </c>
      <c r="L216" s="56" t="inlineStr">
        <is>
          <t>Dongguan Auto Tools</t>
        </is>
      </c>
      <c r="M216" s="80" t="n">
        <v>41.05</v>
      </c>
      <c r="N216" s="80" t="n">
        <v>13.86</v>
      </c>
      <c r="O216" s="80" t="n">
        <v>6.27</v>
      </c>
      <c r="P216" s="80" t="n">
        <v>0.03</v>
      </c>
      <c r="Q216" s="80" t="n">
        <v>12.39</v>
      </c>
      <c r="R216" s="80" t="n">
        <v>3</v>
      </c>
      <c r="S216" s="80">
        <f>IF(AC216="Cancelled",0,M216*R216)</f>
        <v/>
      </c>
      <c r="T216" s="80">
        <f>IF(AC216="Cancelled",0,N216*R216)</f>
        <v/>
      </c>
      <c r="U216" s="80">
        <f>IF(AC216="Cancelled",0,O216*R216)</f>
        <v/>
      </c>
      <c r="V216" s="80">
        <f>IF(AC216="Cancelled",0,ROUND(P216*S216,2))</f>
        <v/>
      </c>
      <c r="W216" s="80" t="inlineStr">
        <is>
          <t>No</t>
        </is>
      </c>
      <c r="X216" s="80" t="n">
        <v>0</v>
      </c>
      <c r="Y216" s="80">
        <f>IF(AC216="Cancelled",0,T216+U216+V216+Q216+X216)</f>
        <v/>
      </c>
      <c r="Z216" s="80">
        <f>IF(AC216="Cancelled",-Q216,S216-Y216)</f>
        <v/>
      </c>
      <c r="AA216" s="81">
        <f>IF(OR(AC216="Cancelled",S216=0),0,Z216/S216)</f>
        <v/>
      </c>
      <c r="AB216" s="82">
        <f>IFERROR(S216/Q216,0)</f>
        <v/>
      </c>
      <c r="AC216" s="56" t="inlineStr">
        <is>
          <t>Delivered</t>
        </is>
      </c>
    </row>
    <row r="217" ht="14.25" customHeight="1" s="57">
      <c r="A217" s="56" t="inlineStr">
        <is>
          <t>ORD-00269</t>
        </is>
      </c>
      <c r="B217" s="79" t="n">
        <v>45862</v>
      </c>
      <c r="C217" s="56" t="n">
        <v>2025</v>
      </c>
      <c r="D217" s="56" t="n">
        <v>7</v>
      </c>
      <c r="E217" s="56" t="inlineStr">
        <is>
          <t>Oman</t>
        </is>
      </c>
      <c r="F217" s="56" t="inlineStr">
        <is>
          <t>Muscat</t>
        </is>
      </c>
      <c r="G217" s="56" t="inlineStr">
        <is>
          <t>Meta Ads</t>
        </is>
      </c>
      <c r="H217" s="56" t="inlineStr">
        <is>
          <t>Retargeting</t>
        </is>
      </c>
      <c r="I217" s="56" t="inlineStr">
        <is>
          <t>P001</t>
        </is>
      </c>
      <c r="J217" s="56" t="inlineStr">
        <is>
          <t>Wireless Earbuds</t>
        </is>
      </c>
      <c r="K217" s="56" t="inlineStr">
        <is>
          <t>Electronics</t>
        </is>
      </c>
      <c r="L217" s="56" t="inlineStr">
        <is>
          <t>Shenzhen Audio Co.</t>
        </is>
      </c>
      <c r="M217" s="80" t="n">
        <v>44.01</v>
      </c>
      <c r="N217" s="80" t="n">
        <v>8.199999999999999</v>
      </c>
      <c r="O217" s="80" t="n">
        <v>3.75</v>
      </c>
      <c r="P217" s="80" t="n">
        <v>0.03</v>
      </c>
      <c r="Q217" s="80" t="n">
        <v>8.4</v>
      </c>
      <c r="R217" s="80" t="n">
        <v>1</v>
      </c>
      <c r="S217" s="80">
        <f>IF(AC217="Cancelled",0,M217*R217)</f>
        <v/>
      </c>
      <c r="T217" s="80">
        <f>IF(AC217="Cancelled",0,N217*R217)</f>
        <v/>
      </c>
      <c r="U217" s="80">
        <f>IF(AC217="Cancelled",0,O217*R217)</f>
        <v/>
      </c>
      <c r="V217" s="80">
        <f>IF(AC217="Cancelled",0,ROUND(P217*S217,2))</f>
        <v/>
      </c>
      <c r="W217" s="80" t="inlineStr">
        <is>
          <t>No</t>
        </is>
      </c>
      <c r="X217" s="80" t="n">
        <v>0</v>
      </c>
      <c r="Y217" s="80">
        <f>IF(AC217="Cancelled",0,T217+U217+V217+Q217+X217)</f>
        <v/>
      </c>
      <c r="Z217" s="80">
        <f>IF(AC217="Cancelled",-Q217,S217-Y217)</f>
        <v/>
      </c>
      <c r="AA217" s="81">
        <f>IF(OR(AC217="Cancelled",S217=0),0,Z217/S217)</f>
        <v/>
      </c>
      <c r="AB217" s="82">
        <f>IFERROR(S217/Q217,0)</f>
        <v/>
      </c>
      <c r="AC217" s="56" t="inlineStr">
        <is>
          <t>Delivered</t>
        </is>
      </c>
    </row>
    <row r="218" ht="14.25" customHeight="1" s="57">
      <c r="A218" s="56" t="inlineStr">
        <is>
          <t>ORD-00441</t>
        </is>
      </c>
      <c r="B218" s="79" t="n">
        <v>45865</v>
      </c>
      <c r="C218" s="56" t="n">
        <v>2025</v>
      </c>
      <c r="D218" s="56" t="n">
        <v>7</v>
      </c>
      <c r="E218" s="56" t="inlineStr">
        <is>
          <t>Saudi Arabia</t>
        </is>
      </c>
      <c r="F218" s="56" t="inlineStr">
        <is>
          <t>Riyadh</t>
        </is>
      </c>
      <c r="G218" s="56" t="inlineStr">
        <is>
          <t>TikTok Ads</t>
        </is>
      </c>
      <c r="H218" s="56" t="inlineStr">
        <is>
          <t>New Creative A/B</t>
        </is>
      </c>
      <c r="I218" s="56" t="inlineStr">
        <is>
          <t>P007</t>
        </is>
      </c>
      <c r="J218" s="56" t="inlineStr">
        <is>
          <t>Pet Grooming Glove</t>
        </is>
      </c>
      <c r="K218" s="56" t="inlineStr">
        <is>
          <t>Pets</t>
        </is>
      </c>
      <c r="L218" s="56" t="inlineStr">
        <is>
          <t>Yiwu Pet Products</t>
        </is>
      </c>
      <c r="M218" s="80" t="n">
        <v>18.74</v>
      </c>
      <c r="N218" s="80" t="n">
        <v>3.51</v>
      </c>
      <c r="O218" s="80" t="n">
        <v>2.7</v>
      </c>
      <c r="P218" s="80" t="n">
        <v>0.03</v>
      </c>
      <c r="Q218" s="80" t="n">
        <v>5.48</v>
      </c>
      <c r="R218" s="80" t="n">
        <v>1</v>
      </c>
      <c r="S218" s="80">
        <f>IF(AC218="Cancelled",0,M218*R218)</f>
        <v/>
      </c>
      <c r="T218" s="80">
        <f>IF(AC218="Cancelled",0,N218*R218)</f>
        <v/>
      </c>
      <c r="U218" s="80">
        <f>IF(AC218="Cancelled",0,O218*R218)</f>
        <v/>
      </c>
      <c r="V218" s="80">
        <f>IF(AC218="Cancelled",0,ROUND(P218*S218,2))</f>
        <v/>
      </c>
      <c r="W218" s="80" t="inlineStr">
        <is>
          <t>No</t>
        </is>
      </c>
      <c r="X218" s="80" t="n">
        <v>0</v>
      </c>
      <c r="Y218" s="80">
        <f>IF(AC218="Cancelled",0,T218+U218+V218+Q218+X218)</f>
        <v/>
      </c>
      <c r="Z218" s="80">
        <f>IF(AC218="Cancelled",-Q218,S218-Y218)</f>
        <v/>
      </c>
      <c r="AA218" s="81">
        <f>IF(OR(AC218="Cancelled",S218=0),0,Z218/S218)</f>
        <v/>
      </c>
      <c r="AB218" s="82">
        <f>IFERROR(S218/Q218,0)</f>
        <v/>
      </c>
      <c r="AC218" s="56" t="inlineStr">
        <is>
          <t>Delivered</t>
        </is>
      </c>
    </row>
    <row r="219" ht="14.25" customHeight="1" s="57">
      <c r="A219" s="56" t="inlineStr">
        <is>
          <t>ORD-00290</t>
        </is>
      </c>
      <c r="B219" s="79" t="n">
        <v>45868</v>
      </c>
      <c r="C219" s="56" t="n">
        <v>2025</v>
      </c>
      <c r="D219" s="56" t="n">
        <v>7</v>
      </c>
      <c r="E219" s="56" t="inlineStr">
        <is>
          <t>UAE</t>
        </is>
      </c>
      <c r="F219" s="56" t="inlineStr">
        <is>
          <t>Dubai</t>
        </is>
      </c>
      <c r="G219" s="56" t="inlineStr">
        <is>
          <t>Email</t>
        </is>
      </c>
      <c r="H219" s="56" t="inlineStr">
        <is>
          <t>Launch Test</t>
        </is>
      </c>
      <c r="I219" s="56" t="inlineStr">
        <is>
          <t>P003</t>
        </is>
      </c>
      <c r="J219" s="56" t="inlineStr">
        <is>
          <t>LED Strip Lights</t>
        </is>
      </c>
      <c r="K219" s="56" t="inlineStr">
        <is>
          <t>Home Decor</t>
        </is>
      </c>
      <c r="L219" s="56" t="inlineStr">
        <is>
          <t>Yiwu Lighting Factory</t>
        </is>
      </c>
      <c r="M219" s="80" t="n">
        <v>27.05</v>
      </c>
      <c r="N219" s="80" t="n">
        <v>6.24</v>
      </c>
      <c r="O219" s="80" t="n">
        <v>3.38</v>
      </c>
      <c r="P219" s="80" t="n">
        <v>0.03</v>
      </c>
      <c r="Q219" s="80" t="n">
        <v>14.93</v>
      </c>
      <c r="R219" s="80" t="n">
        <v>2</v>
      </c>
      <c r="S219" s="80">
        <f>IF(AC219="Cancelled",0,M219*R219)</f>
        <v/>
      </c>
      <c r="T219" s="80">
        <f>IF(AC219="Cancelled",0,N219*R219)</f>
        <v/>
      </c>
      <c r="U219" s="80">
        <f>IF(AC219="Cancelled",0,O219*R219)</f>
        <v/>
      </c>
      <c r="V219" s="80">
        <f>IF(AC219="Cancelled",0,ROUND(P219*S219,2))</f>
        <v/>
      </c>
      <c r="W219" s="80" t="inlineStr">
        <is>
          <t>No</t>
        </is>
      </c>
      <c r="X219" s="80" t="n">
        <v>0</v>
      </c>
      <c r="Y219" s="80">
        <f>IF(AC219="Cancelled",0,T219+U219+V219+Q219+X219)</f>
        <v/>
      </c>
      <c r="Z219" s="80">
        <f>IF(AC219="Cancelled",-Q219,S219-Y219)</f>
        <v/>
      </c>
      <c r="AA219" s="81">
        <f>IF(OR(AC219="Cancelled",S219=0),0,Z219/S219)</f>
        <v/>
      </c>
      <c r="AB219" s="82">
        <f>IFERROR(S219/Q219,0)</f>
        <v/>
      </c>
      <c r="AC219" s="56" t="inlineStr">
        <is>
          <t>Delivered</t>
        </is>
      </c>
    </row>
    <row r="220" ht="14.25" customHeight="1" s="57">
      <c r="A220" s="56" t="inlineStr">
        <is>
          <t>ORD-00091</t>
        </is>
      </c>
      <c r="B220" s="79" t="n">
        <v>45869</v>
      </c>
      <c r="C220" s="56" t="n">
        <v>2025</v>
      </c>
      <c r="D220" s="56" t="n">
        <v>7</v>
      </c>
      <c r="E220" s="56" t="inlineStr">
        <is>
          <t>Saudi Arabia</t>
        </is>
      </c>
      <c r="F220" s="56" t="inlineStr">
        <is>
          <t>Jeddah</t>
        </is>
      </c>
      <c r="G220" s="56" t="inlineStr">
        <is>
          <t>Meta Ads</t>
        </is>
      </c>
      <c r="H220" s="56" t="inlineStr">
        <is>
          <t>Bundle Promo</t>
        </is>
      </c>
      <c r="I220" s="56" t="inlineStr">
        <is>
          <t>P006</t>
        </is>
      </c>
      <c r="J220" s="56" t="inlineStr">
        <is>
          <t>Posture Corrector</t>
        </is>
      </c>
      <c r="K220" s="56" t="inlineStr">
        <is>
          <t>Fitness</t>
        </is>
      </c>
      <c r="L220" s="56" t="inlineStr">
        <is>
          <t>Hangzhou Health Gear</t>
        </is>
      </c>
      <c r="M220" s="80" t="n">
        <v>31.61</v>
      </c>
      <c r="N220" s="80" t="n">
        <v>9.18</v>
      </c>
      <c r="O220" s="80" t="n">
        <v>4.07</v>
      </c>
      <c r="P220" s="80" t="n">
        <v>0.03</v>
      </c>
      <c r="Q220" s="80" t="n">
        <v>6.28</v>
      </c>
      <c r="R220" s="80" t="n">
        <v>1</v>
      </c>
      <c r="S220" s="80">
        <f>IF(AC220="Cancelled",0,M220*R220)</f>
        <v/>
      </c>
      <c r="T220" s="80">
        <f>IF(AC220="Cancelled",0,N220*R220)</f>
        <v/>
      </c>
      <c r="U220" s="80">
        <f>IF(AC220="Cancelled",0,O220*R220)</f>
        <v/>
      </c>
      <c r="V220" s="80">
        <f>IF(AC220="Cancelled",0,ROUND(P220*S220,2))</f>
        <v/>
      </c>
      <c r="W220" s="80" t="inlineStr">
        <is>
          <t>No</t>
        </is>
      </c>
      <c r="X220" s="80" t="n">
        <v>0</v>
      </c>
      <c r="Y220" s="80">
        <f>IF(AC220="Cancelled",0,T220+U220+V220+Q220+X220)</f>
        <v/>
      </c>
      <c r="Z220" s="80">
        <f>IF(AC220="Cancelled",-Q220,S220-Y220)</f>
        <v/>
      </c>
      <c r="AA220" s="81">
        <f>IF(OR(AC220="Cancelled",S220=0),0,Z220/S220)</f>
        <v/>
      </c>
      <c r="AB220" s="82">
        <f>IFERROR(S220/Q220,0)</f>
        <v/>
      </c>
      <c r="AC220" s="56" t="inlineStr">
        <is>
          <t>Delivered</t>
        </is>
      </c>
    </row>
    <row r="221" ht="14.25" customHeight="1" s="57">
      <c r="A221" s="56" t="inlineStr">
        <is>
          <t>ORD-00191</t>
        </is>
      </c>
      <c r="B221" s="79" t="n">
        <v>45870</v>
      </c>
      <c r="C221" s="56" t="n">
        <v>2025</v>
      </c>
      <c r="D221" s="56" t="n">
        <v>8</v>
      </c>
      <c r="E221" s="56" t="inlineStr">
        <is>
          <t>Kuwait</t>
        </is>
      </c>
      <c r="F221" s="56" t="inlineStr">
        <is>
          <t>Kuwait City</t>
        </is>
      </c>
      <c r="G221" s="56" t="inlineStr">
        <is>
          <t>Google Ads</t>
        </is>
      </c>
      <c r="H221" s="56" t="inlineStr">
        <is>
          <t>Retargeting</t>
        </is>
      </c>
      <c r="I221" s="56" t="inlineStr">
        <is>
          <t>P004</t>
        </is>
      </c>
      <c r="J221" s="56" t="inlineStr">
        <is>
          <t>Beauty Tool</t>
        </is>
      </c>
      <c r="K221" s="56" t="inlineStr">
        <is>
          <t>Beauty</t>
        </is>
      </c>
      <c r="L221" s="56" t="inlineStr">
        <is>
          <t>Ningbo Beauty Supply</t>
        </is>
      </c>
      <c r="M221" s="80" t="n">
        <v>28.49</v>
      </c>
      <c r="N221" s="80" t="n">
        <v>6.72</v>
      </c>
      <c r="O221" s="80" t="n">
        <v>4.33</v>
      </c>
      <c r="P221" s="80" t="n">
        <v>0.03</v>
      </c>
      <c r="Q221" s="80" t="n">
        <v>9.279999999999999</v>
      </c>
      <c r="R221" s="80" t="n">
        <v>2</v>
      </c>
      <c r="S221" s="80">
        <f>IF(AC221="Cancelled",0,M221*R221)</f>
        <v/>
      </c>
      <c r="T221" s="80">
        <f>IF(AC221="Cancelled",0,N221*R221)</f>
        <v/>
      </c>
      <c r="U221" s="80">
        <f>IF(AC221="Cancelled",0,O221*R221)</f>
        <v/>
      </c>
      <c r="V221" s="80">
        <f>IF(AC221="Cancelled",0,ROUND(P221*S221,2))</f>
        <v/>
      </c>
      <c r="W221" s="80" t="inlineStr">
        <is>
          <t>No</t>
        </is>
      </c>
      <c r="X221" s="80" t="n">
        <v>0</v>
      </c>
      <c r="Y221" s="80">
        <f>IF(AC221="Cancelled",0,T221+U221+V221+Q221+X221)</f>
        <v/>
      </c>
      <c r="Z221" s="80">
        <f>IF(AC221="Cancelled",-Q221,S221-Y221)</f>
        <v/>
      </c>
      <c r="AA221" s="81">
        <f>IF(OR(AC221="Cancelled",S221=0),0,Z221/S221)</f>
        <v/>
      </c>
      <c r="AB221" s="82">
        <f>IFERROR(S221/Q221,0)</f>
        <v/>
      </c>
      <c r="AC221" s="56" t="inlineStr">
        <is>
          <t>Delivered</t>
        </is>
      </c>
    </row>
    <row r="222" ht="14.25" customHeight="1" s="57">
      <c r="A222" s="56" t="inlineStr">
        <is>
          <t>ORD-00478</t>
        </is>
      </c>
      <c r="B222" s="79" t="n">
        <v>45871</v>
      </c>
      <c r="C222" s="56" t="n">
        <v>2025</v>
      </c>
      <c r="D222" s="56" t="n">
        <v>8</v>
      </c>
      <c r="E222" s="56" t="inlineStr">
        <is>
          <t>Saudi Arabia</t>
        </is>
      </c>
      <c r="F222" s="56" t="inlineStr">
        <is>
          <t>Riyadh</t>
        </is>
      </c>
      <c r="G222" s="56" t="inlineStr">
        <is>
          <t>Influencer</t>
        </is>
      </c>
      <c r="H222" s="56" t="inlineStr">
        <is>
          <t>Summer Sale</t>
        </is>
      </c>
      <c r="I222" s="56" t="inlineStr">
        <is>
          <t>P003</t>
        </is>
      </c>
      <c r="J222" s="56" t="inlineStr">
        <is>
          <t>LED Strip Lights</t>
        </is>
      </c>
      <c r="K222" s="56" t="inlineStr">
        <is>
          <t>Home Decor</t>
        </is>
      </c>
      <c r="L222" s="56" t="inlineStr">
        <is>
          <t>Yiwu Lighting Factory</t>
        </is>
      </c>
      <c r="M222" s="80" t="n">
        <v>23.9</v>
      </c>
      <c r="N222" s="80" t="n">
        <v>5.95</v>
      </c>
      <c r="O222" s="80" t="n">
        <v>3.56</v>
      </c>
      <c r="P222" s="80" t="n">
        <v>0.03</v>
      </c>
      <c r="Q222" s="80" t="n">
        <v>7.29</v>
      </c>
      <c r="R222" s="80" t="n">
        <v>2</v>
      </c>
      <c r="S222" s="80">
        <f>IF(AC222="Cancelled",0,M222*R222)</f>
        <v/>
      </c>
      <c r="T222" s="80">
        <f>IF(AC222="Cancelled",0,N222*R222)</f>
        <v/>
      </c>
      <c r="U222" s="80">
        <f>IF(AC222="Cancelled",0,O222*R222)</f>
        <v/>
      </c>
      <c r="V222" s="80">
        <f>IF(AC222="Cancelled",0,ROUND(P222*S222,2))</f>
        <v/>
      </c>
      <c r="W222" s="80" t="inlineStr">
        <is>
          <t>No</t>
        </is>
      </c>
      <c r="X222" s="80" t="n">
        <v>0</v>
      </c>
      <c r="Y222" s="80">
        <f>IF(AC222="Cancelled",0,T222+U222+V222+Q222+X222)</f>
        <v/>
      </c>
      <c r="Z222" s="80">
        <f>IF(AC222="Cancelled",-Q222,S222-Y222)</f>
        <v/>
      </c>
      <c r="AA222" s="81">
        <f>IF(OR(AC222="Cancelled",S222=0),0,Z222/S222)</f>
        <v/>
      </c>
      <c r="AB222" s="82">
        <f>IFERROR(S222/Q222,0)</f>
        <v/>
      </c>
      <c r="AC222" s="56" t="inlineStr">
        <is>
          <t>Delivered</t>
        </is>
      </c>
    </row>
    <row r="223" ht="14.25" customHeight="1" s="57">
      <c r="A223" s="56" t="inlineStr">
        <is>
          <t>ORD-00172</t>
        </is>
      </c>
      <c r="B223" s="79" t="n">
        <v>45873</v>
      </c>
      <c r="C223" s="56" t="n">
        <v>2025</v>
      </c>
      <c r="D223" s="56" t="n">
        <v>8</v>
      </c>
      <c r="E223" s="56" t="inlineStr">
        <is>
          <t>Saudi Arabia</t>
        </is>
      </c>
      <c r="F223" s="56" t="inlineStr">
        <is>
          <t>Jeddah</t>
        </is>
      </c>
      <c r="G223" s="56" t="inlineStr">
        <is>
          <t>Email</t>
        </is>
      </c>
      <c r="H223" s="56" t="inlineStr">
        <is>
          <t>Summer Sale</t>
        </is>
      </c>
      <c r="I223" s="56" t="inlineStr">
        <is>
          <t>P010</t>
        </is>
      </c>
      <c r="J223" s="56" t="inlineStr">
        <is>
          <t>Smart Water Bottle</t>
        </is>
      </c>
      <c r="K223" s="56" t="inlineStr">
        <is>
          <t>Lifestyle</t>
        </is>
      </c>
      <c r="L223" s="56" t="inlineStr">
        <is>
          <t>Shenzhen Smart Home</t>
        </is>
      </c>
      <c r="M223" s="80" t="n">
        <v>36.42</v>
      </c>
      <c r="N223" s="80" t="n">
        <v>10.2</v>
      </c>
      <c r="O223" s="80" t="n">
        <v>4.54</v>
      </c>
      <c r="P223" s="80" t="n">
        <v>0.03</v>
      </c>
      <c r="Q223" s="80" t="n">
        <v>15.97</v>
      </c>
      <c r="R223" s="80" t="n">
        <v>2</v>
      </c>
      <c r="S223" s="80">
        <f>IF(AC223="Cancelled",0,M223*R223)</f>
        <v/>
      </c>
      <c r="T223" s="80">
        <f>IF(AC223="Cancelled",0,N223*R223)</f>
        <v/>
      </c>
      <c r="U223" s="80">
        <f>IF(AC223="Cancelled",0,O223*R223)</f>
        <v/>
      </c>
      <c r="V223" s="80">
        <f>IF(AC223="Cancelled",0,ROUND(P223*S223,2))</f>
        <v/>
      </c>
      <c r="W223" s="80" t="inlineStr">
        <is>
          <t>No</t>
        </is>
      </c>
      <c r="X223" s="80" t="n">
        <v>0</v>
      </c>
      <c r="Y223" s="80">
        <f>IF(AC223="Cancelled",0,T223+U223+V223+Q223+X223)</f>
        <v/>
      </c>
      <c r="Z223" s="80">
        <f>IF(AC223="Cancelled",-Q223,S223-Y223)</f>
        <v/>
      </c>
      <c r="AA223" s="81">
        <f>IF(OR(AC223="Cancelled",S223=0),0,Z223/S223)</f>
        <v/>
      </c>
      <c r="AB223" s="82">
        <f>IFERROR(S223/Q223,0)</f>
        <v/>
      </c>
      <c r="AC223" s="56" t="inlineStr">
        <is>
          <t>Delivered</t>
        </is>
      </c>
    </row>
    <row r="224" ht="14.25" customHeight="1" s="57">
      <c r="A224" s="56" t="inlineStr">
        <is>
          <t>ORD-00312</t>
        </is>
      </c>
      <c r="B224" s="79" t="n">
        <v>45873</v>
      </c>
      <c r="C224" s="56" t="n">
        <v>2025</v>
      </c>
      <c r="D224" s="56" t="n">
        <v>8</v>
      </c>
      <c r="E224" s="56" t="inlineStr">
        <is>
          <t>Qatar</t>
        </is>
      </c>
      <c r="F224" s="56" t="inlineStr">
        <is>
          <t>Doha</t>
        </is>
      </c>
      <c r="G224" s="56" t="inlineStr">
        <is>
          <t>Meta Ads</t>
        </is>
      </c>
      <c r="H224" s="56" t="inlineStr">
        <is>
          <t>Bundle Promo</t>
        </is>
      </c>
      <c r="I224" s="56" t="inlineStr">
        <is>
          <t>P010</t>
        </is>
      </c>
      <c r="J224" s="56" t="inlineStr">
        <is>
          <t>Smart Water Bottle</t>
        </is>
      </c>
      <c r="K224" s="56" t="inlineStr">
        <is>
          <t>Lifestyle</t>
        </is>
      </c>
      <c r="L224" s="56" t="inlineStr">
        <is>
          <t>Shenzhen Smart Home</t>
        </is>
      </c>
      <c r="M224" s="80" t="n">
        <v>30.02</v>
      </c>
      <c r="N224" s="80" t="n">
        <v>9.58</v>
      </c>
      <c r="O224" s="80" t="n">
        <v>4.41</v>
      </c>
      <c r="P224" s="80" t="n">
        <v>0.03</v>
      </c>
      <c r="Q224" s="80" t="n">
        <v>8.01</v>
      </c>
      <c r="R224" s="80" t="n">
        <v>1</v>
      </c>
      <c r="S224" s="80">
        <f>IF(AC224="Cancelled",0,M224*R224)</f>
        <v/>
      </c>
      <c r="T224" s="80">
        <f>IF(AC224="Cancelled",0,N224*R224)</f>
        <v/>
      </c>
      <c r="U224" s="80">
        <f>IF(AC224="Cancelled",0,O224*R224)</f>
        <v/>
      </c>
      <c r="V224" s="80">
        <f>IF(AC224="Cancelled",0,ROUND(P224*S224,2))</f>
        <v/>
      </c>
      <c r="W224" s="80" t="inlineStr">
        <is>
          <t>No</t>
        </is>
      </c>
      <c r="X224" s="80" t="n">
        <v>0</v>
      </c>
      <c r="Y224" s="80">
        <f>IF(AC224="Cancelled",0,T224+U224+V224+Q224+X224)</f>
        <v/>
      </c>
      <c r="Z224" s="80">
        <f>IF(AC224="Cancelled",-Q224,S224-Y224)</f>
        <v/>
      </c>
      <c r="AA224" s="81">
        <f>IF(OR(AC224="Cancelled",S224=0),0,Z224/S224)</f>
        <v/>
      </c>
      <c r="AB224" s="82">
        <f>IFERROR(S224/Q224,0)</f>
        <v/>
      </c>
      <c r="AC224" s="56" t="inlineStr">
        <is>
          <t>Delivered</t>
        </is>
      </c>
    </row>
    <row r="225" ht="14.25" customHeight="1" s="57">
      <c r="A225" s="56" t="inlineStr">
        <is>
          <t>ORD-00108</t>
        </is>
      </c>
      <c r="B225" s="79" t="n">
        <v>45874</v>
      </c>
      <c r="C225" s="56" t="n">
        <v>2025</v>
      </c>
      <c r="D225" s="56" t="n">
        <v>8</v>
      </c>
      <c r="E225" s="56" t="inlineStr">
        <is>
          <t>Oman</t>
        </is>
      </c>
      <c r="F225" s="56" t="inlineStr">
        <is>
          <t>Muscat</t>
        </is>
      </c>
      <c r="G225" s="56" t="inlineStr">
        <is>
          <t>Meta Ads</t>
        </is>
      </c>
      <c r="H225" s="56" t="inlineStr">
        <is>
          <t>Launch Test</t>
        </is>
      </c>
      <c r="I225" s="56" t="inlineStr">
        <is>
          <t>P010</t>
        </is>
      </c>
      <c r="J225" s="56" t="inlineStr">
        <is>
          <t>Smart Water Bottle</t>
        </is>
      </c>
      <c r="K225" s="56" t="inlineStr">
        <is>
          <t>Lifestyle</t>
        </is>
      </c>
      <c r="L225" s="56" t="inlineStr">
        <is>
          <t>Shenzhen Smart Home</t>
        </is>
      </c>
      <c r="M225" s="80" t="n">
        <v>36.81</v>
      </c>
      <c r="N225" s="80" t="n">
        <v>10.23</v>
      </c>
      <c r="O225" s="80" t="n">
        <v>3.83</v>
      </c>
      <c r="P225" s="80" t="n">
        <v>0.03</v>
      </c>
      <c r="Q225" s="80" t="n">
        <v>12.21</v>
      </c>
      <c r="R225" s="80" t="n">
        <v>2</v>
      </c>
      <c r="S225" s="80">
        <f>IF(AC225="Cancelled",0,M225*R225)</f>
        <v/>
      </c>
      <c r="T225" s="80">
        <f>IF(AC225="Cancelled",0,N225*R225)</f>
        <v/>
      </c>
      <c r="U225" s="80">
        <f>IF(AC225="Cancelled",0,O225*R225)</f>
        <v/>
      </c>
      <c r="V225" s="80">
        <f>IF(AC225="Cancelled",0,ROUND(P225*S225,2))</f>
        <v/>
      </c>
      <c r="W225" s="80" t="inlineStr">
        <is>
          <t>No</t>
        </is>
      </c>
      <c r="X225" s="80" t="n">
        <v>0</v>
      </c>
      <c r="Y225" s="80">
        <f>IF(AC225="Cancelled",0,T225+U225+V225+Q225+X225)</f>
        <v/>
      </c>
      <c r="Z225" s="80">
        <f>IF(AC225="Cancelled",-Q225,S225-Y225)</f>
        <v/>
      </c>
      <c r="AA225" s="81">
        <f>IF(OR(AC225="Cancelled",S225=0),0,Z225/S225)</f>
        <v/>
      </c>
      <c r="AB225" s="82">
        <f>IFERROR(S225/Q225,0)</f>
        <v/>
      </c>
      <c r="AC225" s="56" t="inlineStr">
        <is>
          <t>Delivered</t>
        </is>
      </c>
    </row>
    <row r="226" ht="14.25" customHeight="1" s="57">
      <c r="A226" s="56" t="inlineStr">
        <is>
          <t>ORD-00160</t>
        </is>
      </c>
      <c r="B226" s="79" t="n">
        <v>45874</v>
      </c>
      <c r="C226" s="56" t="n">
        <v>2025</v>
      </c>
      <c r="D226" s="56" t="n">
        <v>8</v>
      </c>
      <c r="E226" s="56" t="inlineStr">
        <is>
          <t>Oman</t>
        </is>
      </c>
      <c r="F226" s="56" t="inlineStr">
        <is>
          <t>Muscat</t>
        </is>
      </c>
      <c r="G226" s="56" t="inlineStr">
        <is>
          <t>Meta Ads</t>
        </is>
      </c>
      <c r="H226" s="56" t="inlineStr">
        <is>
          <t>Launch Test</t>
        </is>
      </c>
      <c r="I226" s="56" t="inlineStr">
        <is>
          <t>P002</t>
        </is>
      </c>
      <c r="J226" s="56" t="inlineStr">
        <is>
          <t>Phone Case</t>
        </is>
      </c>
      <c r="K226" s="56" t="inlineStr">
        <is>
          <t>Accessories</t>
        </is>
      </c>
      <c r="L226" s="56" t="inlineStr">
        <is>
          <t>Guangzhou Cases Ltd.</t>
        </is>
      </c>
      <c r="M226" s="80" t="n">
        <v>14.67</v>
      </c>
      <c r="N226" s="80" t="n">
        <v>1.91</v>
      </c>
      <c r="O226" s="80" t="n">
        <v>1.86</v>
      </c>
      <c r="P226" s="80" t="n">
        <v>0.03</v>
      </c>
      <c r="Q226" s="80" t="n">
        <v>18.74</v>
      </c>
      <c r="R226" s="80" t="n">
        <v>2</v>
      </c>
      <c r="S226" s="80">
        <f>IF(AC226="Cancelled",0,M226*R226)</f>
        <v/>
      </c>
      <c r="T226" s="80">
        <f>IF(AC226="Cancelled",0,N226*R226)</f>
        <v/>
      </c>
      <c r="U226" s="80">
        <f>IF(AC226="Cancelled",0,O226*R226)</f>
        <v/>
      </c>
      <c r="V226" s="80">
        <f>IF(AC226="Cancelled",0,ROUND(P226*S226,2))</f>
        <v/>
      </c>
      <c r="W226" s="80" t="inlineStr">
        <is>
          <t>No</t>
        </is>
      </c>
      <c r="X226" s="80" t="n">
        <v>0</v>
      </c>
      <c r="Y226" s="80">
        <f>IF(AC226="Cancelled",0,T226+U226+V226+Q226+X226)</f>
        <v/>
      </c>
      <c r="Z226" s="80">
        <f>IF(AC226="Cancelled",-Q226,S226-Y226)</f>
        <v/>
      </c>
      <c r="AA226" s="81">
        <f>IF(OR(AC226="Cancelled",S226=0),0,Z226/S226)</f>
        <v/>
      </c>
      <c r="AB226" s="82">
        <f>IFERROR(S226/Q226,0)</f>
        <v/>
      </c>
      <c r="AC226" s="56" t="inlineStr">
        <is>
          <t>Delivered</t>
        </is>
      </c>
    </row>
    <row r="227" ht="14.25" customHeight="1" s="57">
      <c r="A227" s="56" t="inlineStr">
        <is>
          <t>ORD-00237</t>
        </is>
      </c>
      <c r="B227" s="79" t="n">
        <v>45876</v>
      </c>
      <c r="C227" s="56" t="n">
        <v>2025</v>
      </c>
      <c r="D227" s="56" t="n">
        <v>8</v>
      </c>
      <c r="E227" s="56" t="inlineStr">
        <is>
          <t>Saudi Arabia</t>
        </is>
      </c>
      <c r="F227" s="56" t="inlineStr">
        <is>
          <t>Riyadh</t>
        </is>
      </c>
      <c r="G227" s="56" t="inlineStr">
        <is>
          <t>Google Ads</t>
        </is>
      </c>
      <c r="H227" s="56" t="inlineStr">
        <is>
          <t>Retargeting</t>
        </is>
      </c>
      <c r="I227" s="56" t="inlineStr">
        <is>
          <t>P010</t>
        </is>
      </c>
      <c r="J227" s="56" t="inlineStr">
        <is>
          <t>Smart Water Bottle</t>
        </is>
      </c>
      <c r="K227" s="56" t="inlineStr">
        <is>
          <t>Lifestyle</t>
        </is>
      </c>
      <c r="L227" s="56" t="inlineStr">
        <is>
          <t>Shenzhen Smart Home</t>
        </is>
      </c>
      <c r="M227" s="80" t="n">
        <v>31.94</v>
      </c>
      <c r="N227" s="80" t="n">
        <v>10.06</v>
      </c>
      <c r="O227" s="80" t="n">
        <v>3.73</v>
      </c>
      <c r="P227" s="80" t="n">
        <v>0.03</v>
      </c>
      <c r="Q227" s="80" t="n">
        <v>15</v>
      </c>
      <c r="R227" s="80" t="n">
        <v>3</v>
      </c>
      <c r="S227" s="80">
        <f>IF(AC227="Cancelled",0,M227*R227)</f>
        <v/>
      </c>
      <c r="T227" s="80">
        <f>IF(AC227="Cancelled",0,N227*R227)</f>
        <v/>
      </c>
      <c r="U227" s="80">
        <f>IF(AC227="Cancelled",0,O227*R227)</f>
        <v/>
      </c>
      <c r="V227" s="80">
        <f>IF(AC227="Cancelled",0,ROUND(P227*S227,2))</f>
        <v/>
      </c>
      <c r="W227" s="80" t="inlineStr">
        <is>
          <t>No</t>
        </is>
      </c>
      <c r="X227" s="80" t="n">
        <v>0</v>
      </c>
      <c r="Y227" s="80">
        <f>IF(AC227="Cancelled",0,T227+U227+V227+Q227+X227)</f>
        <v/>
      </c>
      <c r="Z227" s="80">
        <f>IF(AC227="Cancelled",-Q227,S227-Y227)</f>
        <v/>
      </c>
      <c r="AA227" s="81">
        <f>IF(OR(AC227="Cancelled",S227=0),0,Z227/S227)</f>
        <v/>
      </c>
      <c r="AB227" s="82">
        <f>IFERROR(S227/Q227,0)</f>
        <v/>
      </c>
      <c r="AC227" s="56" t="inlineStr">
        <is>
          <t>Delivered</t>
        </is>
      </c>
    </row>
    <row r="228" ht="14.25" customHeight="1" s="57">
      <c r="A228" s="56" t="inlineStr">
        <is>
          <t>ORD-00029</t>
        </is>
      </c>
      <c r="B228" s="79" t="n">
        <v>45877</v>
      </c>
      <c r="C228" s="56" t="n">
        <v>2025</v>
      </c>
      <c r="D228" s="56" t="n">
        <v>8</v>
      </c>
      <c r="E228" s="56" t="inlineStr">
        <is>
          <t>Kuwait</t>
        </is>
      </c>
      <c r="F228" s="56" t="inlineStr">
        <is>
          <t>Kuwait City</t>
        </is>
      </c>
      <c r="G228" s="56" t="inlineStr">
        <is>
          <t>Email</t>
        </is>
      </c>
      <c r="H228" s="56" t="inlineStr">
        <is>
          <t>Launch Test</t>
        </is>
      </c>
      <c r="I228" s="56" t="inlineStr">
        <is>
          <t>P006</t>
        </is>
      </c>
      <c r="J228" s="56" t="inlineStr">
        <is>
          <t>Posture Corrector</t>
        </is>
      </c>
      <c r="K228" s="56" t="inlineStr">
        <is>
          <t>Fitness</t>
        </is>
      </c>
      <c r="L228" s="56" t="inlineStr">
        <is>
          <t>Hangzhou Health Gear</t>
        </is>
      </c>
      <c r="M228" s="80" t="n">
        <v>32.76</v>
      </c>
      <c r="N228" s="80" t="n">
        <v>9.67</v>
      </c>
      <c r="O228" s="80" t="n">
        <v>3.82</v>
      </c>
      <c r="P228" s="80" t="n">
        <v>0.03</v>
      </c>
      <c r="Q228" s="80" t="n">
        <v>13.02</v>
      </c>
      <c r="R228" s="80" t="n">
        <v>2</v>
      </c>
      <c r="S228" s="80">
        <f>IF(AC228="Cancelled",0,M228*R228)</f>
        <v/>
      </c>
      <c r="T228" s="80">
        <f>IF(AC228="Cancelled",0,N228*R228)</f>
        <v/>
      </c>
      <c r="U228" s="80">
        <f>IF(AC228="Cancelled",0,O228*R228)</f>
        <v/>
      </c>
      <c r="V228" s="80">
        <f>IF(AC228="Cancelled",0,ROUND(P228*S228,2))</f>
        <v/>
      </c>
      <c r="W228" s="80" t="inlineStr">
        <is>
          <t>No</t>
        </is>
      </c>
      <c r="X228" s="80" t="n">
        <v>0</v>
      </c>
      <c r="Y228" s="80">
        <f>IF(AC228="Cancelled",0,T228+U228+V228+Q228+X228)</f>
        <v/>
      </c>
      <c r="Z228" s="80">
        <f>IF(AC228="Cancelled",-Q228,S228-Y228)</f>
        <v/>
      </c>
      <c r="AA228" s="81">
        <f>IF(OR(AC228="Cancelled",S228=0),0,Z228/S228)</f>
        <v/>
      </c>
      <c r="AB228" s="82">
        <f>IFERROR(S228/Q228,0)</f>
        <v/>
      </c>
      <c r="AC228" s="56" t="inlineStr">
        <is>
          <t>Delivered</t>
        </is>
      </c>
    </row>
    <row r="229" ht="14.25" customHeight="1" s="57">
      <c r="A229" s="56" t="inlineStr">
        <is>
          <t>ORD-00061</t>
        </is>
      </c>
      <c r="B229" s="79" t="n">
        <v>45877</v>
      </c>
      <c r="C229" s="56" t="n">
        <v>2025</v>
      </c>
      <c r="D229" s="56" t="n">
        <v>8</v>
      </c>
      <c r="E229" s="56" t="inlineStr">
        <is>
          <t>Oman</t>
        </is>
      </c>
      <c r="F229" s="56" t="inlineStr">
        <is>
          <t>Muscat</t>
        </is>
      </c>
      <c r="G229" s="56" t="inlineStr">
        <is>
          <t>Google Ads</t>
        </is>
      </c>
      <c r="H229" s="56" t="inlineStr">
        <is>
          <t>Retargeting</t>
        </is>
      </c>
      <c r="I229" s="56" t="inlineStr">
        <is>
          <t>P001</t>
        </is>
      </c>
      <c r="J229" s="56" t="inlineStr">
        <is>
          <t>Wireless Earbuds</t>
        </is>
      </c>
      <c r="K229" s="56" t="inlineStr">
        <is>
          <t>Electronics</t>
        </is>
      </c>
      <c r="L229" s="56" t="inlineStr">
        <is>
          <t>Shenzhen Audio Co.</t>
        </is>
      </c>
      <c r="M229" s="80" t="n">
        <v>40.27</v>
      </c>
      <c r="N229" s="80" t="n">
        <v>8.56</v>
      </c>
      <c r="O229" s="80" t="n">
        <v>3.96</v>
      </c>
      <c r="P229" s="80" t="n">
        <v>0.03</v>
      </c>
      <c r="Q229" s="80" t="n">
        <v>2.5</v>
      </c>
      <c r="R229" s="80" t="n">
        <v>1</v>
      </c>
      <c r="S229" s="80">
        <f>IF(AC229="Cancelled",0,M229*R229)</f>
        <v/>
      </c>
      <c r="T229" s="80">
        <f>IF(AC229="Cancelled",0,N229*R229)</f>
        <v/>
      </c>
      <c r="U229" s="80">
        <f>IF(AC229="Cancelled",0,O229*R229)</f>
        <v/>
      </c>
      <c r="V229" s="80">
        <f>IF(AC229="Cancelled",0,ROUND(P229*S229,2))</f>
        <v/>
      </c>
      <c r="W229" s="80" t="inlineStr">
        <is>
          <t>No</t>
        </is>
      </c>
      <c r="X229" s="80" t="n">
        <v>0</v>
      </c>
      <c r="Y229" s="80">
        <f>IF(AC229="Cancelled",0,T229+U229+V229+Q229+X229)</f>
        <v/>
      </c>
      <c r="Z229" s="80">
        <f>IF(AC229="Cancelled",-Q229,S229-Y229)</f>
        <v/>
      </c>
      <c r="AA229" s="81">
        <f>IF(OR(AC229="Cancelled",S229=0),0,Z229/S229)</f>
        <v/>
      </c>
      <c r="AB229" s="82">
        <f>IFERROR(S229/Q229,0)</f>
        <v/>
      </c>
      <c r="AC229" s="56" t="inlineStr">
        <is>
          <t>Delivered</t>
        </is>
      </c>
    </row>
    <row r="230" ht="14.25" customHeight="1" s="57">
      <c r="A230" s="56" t="inlineStr">
        <is>
          <t>ORD-00159</t>
        </is>
      </c>
      <c r="B230" s="79" t="n">
        <v>45877</v>
      </c>
      <c r="C230" s="56" t="n">
        <v>2025</v>
      </c>
      <c r="D230" s="56" t="n">
        <v>8</v>
      </c>
      <c r="E230" s="56" t="inlineStr">
        <is>
          <t>Oman</t>
        </is>
      </c>
      <c r="F230" s="56" t="inlineStr">
        <is>
          <t>Muscat</t>
        </is>
      </c>
      <c r="G230" s="56" t="inlineStr">
        <is>
          <t>Influencer</t>
        </is>
      </c>
      <c r="H230" s="56" t="inlineStr">
        <is>
          <t>Retargeting</t>
        </is>
      </c>
      <c r="I230" s="56" t="inlineStr">
        <is>
          <t>P008</t>
        </is>
      </c>
      <c r="J230" s="56" t="inlineStr">
        <is>
          <t>Portable Blender</t>
        </is>
      </c>
      <c r="K230" s="56" t="inlineStr">
        <is>
          <t>Kitchen</t>
        </is>
      </c>
      <c r="L230" s="56" t="inlineStr">
        <is>
          <t>Foshan Appliances</t>
        </is>
      </c>
      <c r="M230" s="80" t="n">
        <v>49.69</v>
      </c>
      <c r="N230" s="80" t="n">
        <v>17.19</v>
      </c>
      <c r="O230" s="80" t="n">
        <v>5.81</v>
      </c>
      <c r="P230" s="80" t="n">
        <v>0.03</v>
      </c>
      <c r="Q230" s="80" t="n">
        <v>5.29</v>
      </c>
      <c r="R230" s="80" t="n">
        <v>2</v>
      </c>
      <c r="S230" s="80">
        <f>IF(AC230="Cancelled",0,M230*R230)</f>
        <v/>
      </c>
      <c r="T230" s="80">
        <f>IF(AC230="Cancelled",0,N230*R230)</f>
        <v/>
      </c>
      <c r="U230" s="80">
        <f>IF(AC230="Cancelled",0,O230*R230)</f>
        <v/>
      </c>
      <c r="V230" s="80">
        <f>IF(AC230="Cancelled",0,ROUND(P230*S230,2))</f>
        <v/>
      </c>
      <c r="W230" s="80" t="inlineStr">
        <is>
          <t>No</t>
        </is>
      </c>
      <c r="X230" s="80" t="n">
        <v>0</v>
      </c>
      <c r="Y230" s="80">
        <f>IF(AC230="Cancelled",0,T230+U230+V230+Q230+X230)</f>
        <v/>
      </c>
      <c r="Z230" s="80">
        <f>IF(AC230="Cancelled",-Q230,S230-Y230)</f>
        <v/>
      </c>
      <c r="AA230" s="81">
        <f>IF(OR(AC230="Cancelled",S230=0),0,Z230/S230)</f>
        <v/>
      </c>
      <c r="AB230" s="82">
        <f>IFERROR(S230/Q230,0)</f>
        <v/>
      </c>
      <c r="AC230" s="56" t="inlineStr">
        <is>
          <t>Delivered</t>
        </is>
      </c>
    </row>
    <row r="231" ht="14.25" customHeight="1" s="57">
      <c r="A231" s="56" t="inlineStr">
        <is>
          <t>ORD-00435</t>
        </is>
      </c>
      <c r="B231" s="79" t="n">
        <v>45877</v>
      </c>
      <c r="C231" s="56" t="n">
        <v>2025</v>
      </c>
      <c r="D231" s="56" t="n">
        <v>8</v>
      </c>
      <c r="E231" s="56" t="inlineStr">
        <is>
          <t>UAE</t>
        </is>
      </c>
      <c r="F231" s="56" t="inlineStr">
        <is>
          <t>Sharjah</t>
        </is>
      </c>
      <c r="G231" s="56" t="inlineStr">
        <is>
          <t>TikTok Ads</t>
        </is>
      </c>
      <c r="H231" s="56" t="inlineStr">
        <is>
          <t>Summer Sale</t>
        </is>
      </c>
      <c r="I231" s="56" t="inlineStr">
        <is>
          <t>P004</t>
        </is>
      </c>
      <c r="J231" s="56" t="inlineStr">
        <is>
          <t>Beauty Tool</t>
        </is>
      </c>
      <c r="K231" s="56" t="inlineStr">
        <is>
          <t>Beauty</t>
        </is>
      </c>
      <c r="L231" s="56" t="inlineStr">
        <is>
          <t>Ningbo Beauty Supply</t>
        </is>
      </c>
      <c r="M231" s="80" t="n">
        <v>32.19</v>
      </c>
      <c r="N231" s="80" t="n">
        <v>7.03</v>
      </c>
      <c r="O231" s="80" t="n">
        <v>4.32</v>
      </c>
      <c r="P231" s="80" t="n">
        <v>0.03</v>
      </c>
      <c r="Q231" s="80" t="n">
        <v>7.06</v>
      </c>
      <c r="R231" s="80" t="n">
        <v>1</v>
      </c>
      <c r="S231" s="80">
        <f>IF(AC231="Cancelled",0,M231*R231)</f>
        <v/>
      </c>
      <c r="T231" s="80">
        <f>IF(AC231="Cancelled",0,N231*R231)</f>
        <v/>
      </c>
      <c r="U231" s="80">
        <f>IF(AC231="Cancelled",0,O231*R231)</f>
        <v/>
      </c>
      <c r="V231" s="80">
        <f>IF(AC231="Cancelled",0,ROUND(P231*S231,2))</f>
        <v/>
      </c>
      <c r="W231" s="80" t="inlineStr">
        <is>
          <t>Yes</t>
        </is>
      </c>
      <c r="X231" s="80" t="n">
        <v>25.8</v>
      </c>
      <c r="Y231" s="80">
        <f>IF(AC231="Cancelled",0,T231+U231+V231+Q231+X231)</f>
        <v/>
      </c>
      <c r="Z231" s="80">
        <f>IF(AC231="Cancelled",-Q231,S231-Y231)</f>
        <v/>
      </c>
      <c r="AA231" s="81">
        <f>IF(OR(AC231="Cancelled",S231=0),0,Z231/S231)</f>
        <v/>
      </c>
      <c r="AB231" s="82">
        <f>IFERROR(S231/Q231,0)</f>
        <v/>
      </c>
      <c r="AC231" s="56" t="inlineStr">
        <is>
          <t>Refunded</t>
        </is>
      </c>
    </row>
    <row r="232" ht="14.25" customHeight="1" s="57">
      <c r="A232" s="56" t="inlineStr">
        <is>
          <t>ORD-00116</t>
        </is>
      </c>
      <c r="B232" s="79" t="n">
        <v>45878</v>
      </c>
      <c r="C232" s="56" t="n">
        <v>2025</v>
      </c>
      <c r="D232" s="56" t="n">
        <v>8</v>
      </c>
      <c r="E232" s="56" t="inlineStr">
        <is>
          <t>UAE</t>
        </is>
      </c>
      <c r="F232" s="56" t="inlineStr">
        <is>
          <t>Sharjah</t>
        </is>
      </c>
      <c r="G232" s="56" t="inlineStr">
        <is>
          <t>Organic Search</t>
        </is>
      </c>
      <c r="H232" s="56" t="inlineStr">
        <is>
          <t>Retargeting</t>
        </is>
      </c>
      <c r="I232" s="56" t="inlineStr">
        <is>
          <t>P002</t>
        </is>
      </c>
      <c r="J232" s="56" t="inlineStr">
        <is>
          <t>Phone Case</t>
        </is>
      </c>
      <c r="K232" s="56" t="inlineStr">
        <is>
          <t>Accessories</t>
        </is>
      </c>
      <c r="L232" s="56" t="inlineStr">
        <is>
          <t>Guangzhou Cases Ltd.</t>
        </is>
      </c>
      <c r="M232" s="80" t="n">
        <v>16.34</v>
      </c>
      <c r="N232" s="80" t="n">
        <v>1.92</v>
      </c>
      <c r="O232" s="80" t="n">
        <v>2.12</v>
      </c>
      <c r="P232" s="80" t="n">
        <v>0.03</v>
      </c>
      <c r="Q232" s="80" t="n">
        <v>0</v>
      </c>
      <c r="R232" s="80" t="n">
        <v>1</v>
      </c>
      <c r="S232" s="80">
        <f>IF(AC232="Cancelled",0,M232*R232)</f>
        <v/>
      </c>
      <c r="T232" s="80">
        <f>IF(AC232="Cancelled",0,N232*R232)</f>
        <v/>
      </c>
      <c r="U232" s="80">
        <f>IF(AC232="Cancelled",0,O232*R232)</f>
        <v/>
      </c>
      <c r="V232" s="80">
        <f>IF(AC232="Cancelled",0,ROUND(P232*S232,2))</f>
        <v/>
      </c>
      <c r="W232" s="80" t="inlineStr">
        <is>
          <t>No</t>
        </is>
      </c>
      <c r="X232" s="80" t="n">
        <v>0</v>
      </c>
      <c r="Y232" s="80">
        <f>IF(AC232="Cancelled",0,T232+U232+V232+Q232+X232)</f>
        <v/>
      </c>
      <c r="Z232" s="80">
        <f>IF(AC232="Cancelled",-Q232,S232-Y232)</f>
        <v/>
      </c>
      <c r="AA232" s="81">
        <f>IF(OR(AC232="Cancelled",S232=0),0,Z232/S232)</f>
        <v/>
      </c>
      <c r="AB232" s="82">
        <f>IFERROR(S232/Q232,0)</f>
        <v/>
      </c>
      <c r="AC232" s="56" t="inlineStr">
        <is>
          <t>Delivered</t>
        </is>
      </c>
    </row>
    <row r="233" ht="14.25" customHeight="1" s="57">
      <c r="A233" s="56" t="inlineStr">
        <is>
          <t>ORD-00462</t>
        </is>
      </c>
      <c r="B233" s="79" t="n">
        <v>45879</v>
      </c>
      <c r="C233" s="56" t="n">
        <v>2025</v>
      </c>
      <c r="D233" s="56" t="n">
        <v>8</v>
      </c>
      <c r="E233" s="56" t="inlineStr">
        <is>
          <t>Saudi Arabia</t>
        </is>
      </c>
      <c r="F233" s="56" t="inlineStr">
        <is>
          <t>Riyadh</t>
        </is>
      </c>
      <c r="G233" s="56" t="inlineStr">
        <is>
          <t>Google Ads</t>
        </is>
      </c>
      <c r="H233" s="56" t="inlineStr">
        <is>
          <t>New Creative A/B</t>
        </is>
      </c>
      <c r="I233" s="56" t="inlineStr">
        <is>
          <t>P003</t>
        </is>
      </c>
      <c r="J233" s="56" t="inlineStr">
        <is>
          <t>LED Strip Lights</t>
        </is>
      </c>
      <c r="K233" s="56" t="inlineStr">
        <is>
          <t>Home Decor</t>
        </is>
      </c>
      <c r="L233" s="56" t="inlineStr">
        <is>
          <t>Yiwu Lighting Factory</t>
        </is>
      </c>
      <c r="M233" s="80" t="n">
        <v>25.14</v>
      </c>
      <c r="N233" s="80" t="n">
        <v>5.9</v>
      </c>
      <c r="O233" s="80" t="n">
        <v>3.87</v>
      </c>
      <c r="P233" s="80" t="n">
        <v>0.03</v>
      </c>
      <c r="Q233" s="80" t="n">
        <v>5.8</v>
      </c>
      <c r="R233" s="80" t="n">
        <v>1</v>
      </c>
      <c r="S233" s="80">
        <f>IF(AC233="Cancelled",0,M233*R233)</f>
        <v/>
      </c>
      <c r="T233" s="80">
        <f>IF(AC233="Cancelled",0,N233*R233)</f>
        <v/>
      </c>
      <c r="U233" s="80">
        <f>IF(AC233="Cancelled",0,O233*R233)</f>
        <v/>
      </c>
      <c r="V233" s="80">
        <f>IF(AC233="Cancelled",0,ROUND(P233*S233,2))</f>
        <v/>
      </c>
      <c r="W233" s="80" t="inlineStr">
        <is>
          <t>No</t>
        </is>
      </c>
      <c r="X233" s="80" t="n">
        <v>0</v>
      </c>
      <c r="Y233" s="80">
        <f>IF(AC233="Cancelled",0,T233+U233+V233+Q233+X233)</f>
        <v/>
      </c>
      <c r="Z233" s="80">
        <f>IF(AC233="Cancelled",-Q233,S233-Y233)</f>
        <v/>
      </c>
      <c r="AA233" s="81">
        <f>IF(OR(AC233="Cancelled",S233=0),0,Z233/S233)</f>
        <v/>
      </c>
      <c r="AB233" s="82">
        <f>IFERROR(S233/Q233,0)</f>
        <v/>
      </c>
      <c r="AC233" s="56" t="inlineStr">
        <is>
          <t>Delivered</t>
        </is>
      </c>
    </row>
    <row r="234" ht="14.25" customHeight="1" s="57">
      <c r="A234" s="56" t="inlineStr">
        <is>
          <t>ORD-00015</t>
        </is>
      </c>
      <c r="B234" s="79" t="n">
        <v>45880</v>
      </c>
      <c r="C234" s="56" t="n">
        <v>2025</v>
      </c>
      <c r="D234" s="56" t="n">
        <v>8</v>
      </c>
      <c r="E234" s="56" t="inlineStr">
        <is>
          <t>Saudi Arabia</t>
        </is>
      </c>
      <c r="F234" s="56" t="inlineStr">
        <is>
          <t>Jeddah</t>
        </is>
      </c>
      <c r="G234" s="56" t="inlineStr">
        <is>
          <t>Organic Search</t>
        </is>
      </c>
      <c r="H234" s="56" t="inlineStr">
        <is>
          <t>Summer Sale</t>
        </is>
      </c>
      <c r="I234" s="56" t="inlineStr">
        <is>
          <t>P004</t>
        </is>
      </c>
      <c r="J234" s="56" t="inlineStr">
        <is>
          <t>Beauty Tool</t>
        </is>
      </c>
      <c r="K234" s="56" t="inlineStr">
        <is>
          <t>Beauty</t>
        </is>
      </c>
      <c r="L234" s="56" t="inlineStr">
        <is>
          <t>Ningbo Beauty Supply</t>
        </is>
      </c>
      <c r="M234" s="80" t="n">
        <v>33.02</v>
      </c>
      <c r="N234" s="80" t="n">
        <v>7.35</v>
      </c>
      <c r="O234" s="80" t="n">
        <v>5.13</v>
      </c>
      <c r="P234" s="80" t="n">
        <v>0.03</v>
      </c>
      <c r="Q234" s="80" t="n">
        <v>0</v>
      </c>
      <c r="R234" s="80" t="n">
        <v>3</v>
      </c>
      <c r="S234" s="80">
        <f>IF(AC234="Cancelled",0,M234*R234)</f>
        <v/>
      </c>
      <c r="T234" s="80">
        <f>IF(AC234="Cancelled",0,N234*R234)</f>
        <v/>
      </c>
      <c r="U234" s="80">
        <f>IF(AC234="Cancelled",0,O234*R234)</f>
        <v/>
      </c>
      <c r="V234" s="80">
        <f>IF(AC234="Cancelled",0,ROUND(P234*S234,2))</f>
        <v/>
      </c>
      <c r="W234" s="80" t="inlineStr">
        <is>
          <t>No</t>
        </is>
      </c>
      <c r="X234" s="80" t="n">
        <v>0</v>
      </c>
      <c r="Y234" s="80">
        <f>IF(AC234="Cancelled",0,T234+U234+V234+Q234+X234)</f>
        <v/>
      </c>
      <c r="Z234" s="80">
        <f>IF(AC234="Cancelled",-Q234,S234-Y234)</f>
        <v/>
      </c>
      <c r="AA234" s="81">
        <f>IF(OR(AC234="Cancelled",S234=0),0,Z234/S234)</f>
        <v/>
      </c>
      <c r="AB234" s="82">
        <f>IFERROR(S234/Q234,0)</f>
        <v/>
      </c>
      <c r="AC234" s="56" t="inlineStr">
        <is>
          <t>Delivered</t>
        </is>
      </c>
    </row>
    <row r="235" ht="14.25" customHeight="1" s="57">
      <c r="A235" s="56" t="inlineStr">
        <is>
          <t>ORD-00102</t>
        </is>
      </c>
      <c r="B235" s="79" t="n">
        <v>45880</v>
      </c>
      <c r="C235" s="56" t="n">
        <v>2025</v>
      </c>
      <c r="D235" s="56" t="n">
        <v>8</v>
      </c>
      <c r="E235" s="56" t="inlineStr">
        <is>
          <t>Saudi Arabia</t>
        </is>
      </c>
      <c r="F235" s="56" t="inlineStr">
        <is>
          <t>Jeddah</t>
        </is>
      </c>
      <c r="G235" s="56" t="inlineStr">
        <is>
          <t>TikTok Ads</t>
        </is>
      </c>
      <c r="H235" s="56" t="inlineStr">
        <is>
          <t>New Creative A/B</t>
        </is>
      </c>
      <c r="I235" s="56" t="inlineStr">
        <is>
          <t>P003</t>
        </is>
      </c>
      <c r="J235" s="56" t="inlineStr">
        <is>
          <t>LED Strip Lights</t>
        </is>
      </c>
      <c r="K235" s="56" t="inlineStr">
        <is>
          <t>Home Decor</t>
        </is>
      </c>
      <c r="L235" s="56" t="inlineStr">
        <is>
          <t>Yiwu Lighting Factory</t>
        </is>
      </c>
      <c r="M235" s="80" t="n">
        <v>23.27</v>
      </c>
      <c r="N235" s="80" t="n">
        <v>6.47</v>
      </c>
      <c r="O235" s="80" t="n">
        <v>3.83</v>
      </c>
      <c r="P235" s="80" t="n">
        <v>0.03</v>
      </c>
      <c r="Q235" s="80" t="n">
        <v>17.34</v>
      </c>
      <c r="R235" s="80" t="n">
        <v>2</v>
      </c>
      <c r="S235" s="80">
        <f>IF(AC235="Cancelled",0,M235*R235)</f>
        <v/>
      </c>
      <c r="T235" s="80">
        <f>IF(AC235="Cancelled",0,N235*R235)</f>
        <v/>
      </c>
      <c r="U235" s="80">
        <f>IF(AC235="Cancelled",0,O235*R235)</f>
        <v/>
      </c>
      <c r="V235" s="80">
        <f>IF(AC235="Cancelled",0,ROUND(P235*S235,2))</f>
        <v/>
      </c>
      <c r="W235" s="80" t="inlineStr">
        <is>
          <t>No</t>
        </is>
      </c>
      <c r="X235" s="80" t="n">
        <v>0</v>
      </c>
      <c r="Y235" s="80">
        <f>IF(AC235="Cancelled",0,T235+U235+V235+Q235+X235)</f>
        <v/>
      </c>
      <c r="Z235" s="80">
        <f>IF(AC235="Cancelled",-Q235,S235-Y235)</f>
        <v/>
      </c>
      <c r="AA235" s="81">
        <f>IF(OR(AC235="Cancelled",S235=0),0,Z235/S235)</f>
        <v/>
      </c>
      <c r="AB235" s="82">
        <f>IFERROR(S235/Q235,0)</f>
        <v/>
      </c>
      <c r="AC235" s="56" t="inlineStr">
        <is>
          <t>Delivered</t>
        </is>
      </c>
    </row>
    <row r="236" ht="14.25" customHeight="1" s="57">
      <c r="A236" s="56" t="inlineStr">
        <is>
          <t>ORD-00166</t>
        </is>
      </c>
      <c r="B236" s="79" t="n">
        <v>45882</v>
      </c>
      <c r="C236" s="56" t="n">
        <v>2025</v>
      </c>
      <c r="D236" s="56" t="n">
        <v>8</v>
      </c>
      <c r="E236" s="56" t="inlineStr">
        <is>
          <t>UAE</t>
        </is>
      </c>
      <c r="F236" s="56" t="inlineStr">
        <is>
          <t>Abu Dhabi</t>
        </is>
      </c>
      <c r="G236" s="56" t="inlineStr">
        <is>
          <t>TikTok Ads</t>
        </is>
      </c>
      <c r="H236" s="56" t="inlineStr">
        <is>
          <t>Summer Sale</t>
        </is>
      </c>
      <c r="I236" s="56" t="inlineStr">
        <is>
          <t>P004</t>
        </is>
      </c>
      <c r="J236" s="56" t="inlineStr">
        <is>
          <t>Beauty Tool</t>
        </is>
      </c>
      <c r="K236" s="56" t="inlineStr">
        <is>
          <t>Beauty</t>
        </is>
      </c>
      <c r="L236" s="56" t="inlineStr">
        <is>
          <t>Ningbo Beauty Supply</t>
        </is>
      </c>
      <c r="M236" s="80" t="n">
        <v>33.39</v>
      </c>
      <c r="N236" s="80" t="n">
        <v>7.25</v>
      </c>
      <c r="O236" s="80" t="n">
        <v>4.27</v>
      </c>
      <c r="P236" s="80" t="n">
        <v>0.03</v>
      </c>
      <c r="Q236" s="80" t="n">
        <v>10.14</v>
      </c>
      <c r="R236" s="80" t="n">
        <v>1</v>
      </c>
      <c r="S236" s="80">
        <f>IF(AC236="Cancelled",0,M236*R236)</f>
        <v/>
      </c>
      <c r="T236" s="80">
        <f>IF(AC236="Cancelled",0,N236*R236)</f>
        <v/>
      </c>
      <c r="U236" s="80">
        <f>IF(AC236="Cancelled",0,O236*R236)</f>
        <v/>
      </c>
      <c r="V236" s="80">
        <f>IF(AC236="Cancelled",0,ROUND(P236*S236,2))</f>
        <v/>
      </c>
      <c r="W236" s="80" t="inlineStr">
        <is>
          <t>No</t>
        </is>
      </c>
      <c r="X236" s="80" t="n">
        <v>0</v>
      </c>
      <c r="Y236" s="80">
        <f>IF(AC236="Cancelled",0,T236+U236+V236+Q236+X236)</f>
        <v/>
      </c>
      <c r="Z236" s="80">
        <f>IF(AC236="Cancelled",-Q236,S236-Y236)</f>
        <v/>
      </c>
      <c r="AA236" s="81">
        <f>IF(OR(AC236="Cancelled",S236=0),0,Z236/S236)</f>
        <v/>
      </c>
      <c r="AB236" s="82">
        <f>IFERROR(S236/Q236,0)</f>
        <v/>
      </c>
      <c r="AC236" s="56" t="inlineStr">
        <is>
          <t>Delivered</t>
        </is>
      </c>
    </row>
    <row r="237" ht="14.25" customHeight="1" s="57">
      <c r="A237" s="56" t="inlineStr">
        <is>
          <t>ORD-00262</t>
        </is>
      </c>
      <c r="B237" s="79" t="n">
        <v>45882</v>
      </c>
      <c r="C237" s="56" t="n">
        <v>2025</v>
      </c>
      <c r="D237" s="56" t="n">
        <v>8</v>
      </c>
      <c r="E237" s="56" t="inlineStr">
        <is>
          <t>Kuwait</t>
        </is>
      </c>
      <c r="F237" s="56" t="inlineStr">
        <is>
          <t>Kuwait City</t>
        </is>
      </c>
      <c r="G237" s="56" t="inlineStr">
        <is>
          <t>TikTok Ads</t>
        </is>
      </c>
      <c r="H237" s="56" t="inlineStr">
        <is>
          <t>Bundle Promo</t>
        </is>
      </c>
      <c r="I237" s="56" t="inlineStr">
        <is>
          <t>P007</t>
        </is>
      </c>
      <c r="J237" s="56" t="inlineStr">
        <is>
          <t>Pet Grooming Glove</t>
        </is>
      </c>
      <c r="K237" s="56" t="inlineStr">
        <is>
          <t>Pets</t>
        </is>
      </c>
      <c r="L237" s="56" t="inlineStr">
        <is>
          <t>Yiwu Pet Products</t>
        </is>
      </c>
      <c r="M237" s="80" t="n">
        <v>21.16</v>
      </c>
      <c r="N237" s="80" t="n">
        <v>3.71</v>
      </c>
      <c r="O237" s="80" t="n">
        <v>2.35</v>
      </c>
      <c r="P237" s="80" t="n">
        <v>0.03</v>
      </c>
      <c r="Q237" s="80" t="n">
        <v>6.45</v>
      </c>
      <c r="R237" s="80" t="n">
        <v>2</v>
      </c>
      <c r="S237" s="80">
        <f>IF(AC237="Cancelled",0,M237*R237)</f>
        <v/>
      </c>
      <c r="T237" s="80">
        <f>IF(AC237="Cancelled",0,N237*R237)</f>
        <v/>
      </c>
      <c r="U237" s="80">
        <f>IF(AC237="Cancelled",0,O237*R237)</f>
        <v/>
      </c>
      <c r="V237" s="80">
        <f>IF(AC237="Cancelled",0,ROUND(P237*S237,2))</f>
        <v/>
      </c>
      <c r="W237" s="80" t="inlineStr">
        <is>
          <t>Yes</t>
        </is>
      </c>
      <c r="X237" s="80" t="n">
        <v>22.63</v>
      </c>
      <c r="Y237" s="80">
        <f>IF(AC237="Cancelled",0,T237+U237+V237+Q237+X237)</f>
        <v/>
      </c>
      <c r="Z237" s="80">
        <f>IF(AC237="Cancelled",-Q237,S237-Y237)</f>
        <v/>
      </c>
      <c r="AA237" s="81">
        <f>IF(OR(AC237="Cancelled",S237=0),0,Z237/S237)</f>
        <v/>
      </c>
      <c r="AB237" s="82">
        <f>IFERROR(S237/Q237,0)</f>
        <v/>
      </c>
      <c r="AC237" s="56" t="inlineStr">
        <is>
          <t>Refunded</t>
        </is>
      </c>
    </row>
    <row r="238" ht="14.25" customHeight="1" s="57">
      <c r="A238" s="56" t="inlineStr">
        <is>
          <t>ORD-00146</t>
        </is>
      </c>
      <c r="B238" s="79" t="n">
        <v>45883</v>
      </c>
      <c r="C238" s="56" t="n">
        <v>2025</v>
      </c>
      <c r="D238" s="56" t="n">
        <v>8</v>
      </c>
      <c r="E238" s="56" t="inlineStr">
        <is>
          <t>Oman</t>
        </is>
      </c>
      <c r="F238" s="56" t="inlineStr">
        <is>
          <t>Muscat</t>
        </is>
      </c>
      <c r="G238" s="56" t="inlineStr">
        <is>
          <t>TikTok Ads</t>
        </is>
      </c>
      <c r="H238" s="56" t="inlineStr">
        <is>
          <t>Launch Test</t>
        </is>
      </c>
      <c r="I238" s="56" t="inlineStr">
        <is>
          <t>P010</t>
        </is>
      </c>
      <c r="J238" s="56" t="inlineStr">
        <is>
          <t>Smart Water Bottle</t>
        </is>
      </c>
      <c r="K238" s="56" t="inlineStr">
        <is>
          <t>Lifestyle</t>
        </is>
      </c>
      <c r="L238" s="56" t="inlineStr">
        <is>
          <t>Shenzhen Smart Home</t>
        </is>
      </c>
      <c r="M238" s="80" t="n">
        <v>32.59</v>
      </c>
      <c r="N238" s="80" t="n">
        <v>10.12</v>
      </c>
      <c r="O238" s="80" t="n">
        <v>4.48</v>
      </c>
      <c r="P238" s="80" t="n">
        <v>0.03</v>
      </c>
      <c r="Q238" s="80" t="n">
        <v>5.33</v>
      </c>
      <c r="R238" s="80" t="n">
        <v>1</v>
      </c>
      <c r="S238" s="80">
        <f>IF(AC238="Cancelled",0,M238*R238)</f>
        <v/>
      </c>
      <c r="T238" s="80">
        <f>IF(AC238="Cancelled",0,N238*R238)</f>
        <v/>
      </c>
      <c r="U238" s="80">
        <f>IF(AC238="Cancelled",0,O238*R238)</f>
        <v/>
      </c>
      <c r="V238" s="80">
        <f>IF(AC238="Cancelled",0,ROUND(P238*S238,2))</f>
        <v/>
      </c>
      <c r="W238" s="80" t="inlineStr">
        <is>
          <t>No</t>
        </is>
      </c>
      <c r="X238" s="80" t="n">
        <v>0</v>
      </c>
      <c r="Y238" s="80">
        <f>IF(AC238="Cancelled",0,T238+U238+V238+Q238+X238)</f>
        <v/>
      </c>
      <c r="Z238" s="80">
        <f>IF(AC238="Cancelled",-Q238,S238-Y238)</f>
        <v/>
      </c>
      <c r="AA238" s="81">
        <f>IF(OR(AC238="Cancelled",S238=0),0,Z238/S238)</f>
        <v/>
      </c>
      <c r="AB238" s="82">
        <f>IFERROR(S238/Q238,0)</f>
        <v/>
      </c>
      <c r="AC238" s="56" t="inlineStr">
        <is>
          <t>Delivered</t>
        </is>
      </c>
    </row>
    <row r="239" ht="14.25" customHeight="1" s="57">
      <c r="A239" s="56" t="inlineStr">
        <is>
          <t>ORD-00072</t>
        </is>
      </c>
      <c r="B239" s="79" t="n">
        <v>45884</v>
      </c>
      <c r="C239" s="56" t="n">
        <v>2025</v>
      </c>
      <c r="D239" s="56" t="n">
        <v>8</v>
      </c>
      <c r="E239" s="56" t="inlineStr">
        <is>
          <t>UAE</t>
        </is>
      </c>
      <c r="F239" s="56" t="inlineStr">
        <is>
          <t>Dubai</t>
        </is>
      </c>
      <c r="G239" s="56" t="inlineStr">
        <is>
          <t>TikTok Ads</t>
        </is>
      </c>
      <c r="H239" s="56" t="inlineStr">
        <is>
          <t>Summer Sale</t>
        </is>
      </c>
      <c r="I239" s="56" t="inlineStr">
        <is>
          <t>P009</t>
        </is>
      </c>
      <c r="J239" s="56" t="inlineStr">
        <is>
          <t>Car Vacuum Cleaner</t>
        </is>
      </c>
      <c r="K239" s="56" t="inlineStr">
        <is>
          <t>Automotive</t>
        </is>
      </c>
      <c r="L239" s="56" t="inlineStr">
        <is>
          <t>Dongguan Auto Tools</t>
        </is>
      </c>
      <c r="M239" s="80" t="n">
        <v>45.74</v>
      </c>
      <c r="N239" s="80" t="n">
        <v>14.3</v>
      </c>
      <c r="O239" s="80" t="n">
        <v>6.35</v>
      </c>
      <c r="P239" s="80" t="n">
        <v>0.03</v>
      </c>
      <c r="Q239" s="80" t="n">
        <v>6.72</v>
      </c>
      <c r="R239" s="80" t="n">
        <v>1</v>
      </c>
      <c r="S239" s="80">
        <f>IF(AC239="Cancelled",0,M239*R239)</f>
        <v/>
      </c>
      <c r="T239" s="80">
        <f>IF(AC239="Cancelled",0,N239*R239)</f>
        <v/>
      </c>
      <c r="U239" s="80">
        <f>IF(AC239="Cancelled",0,O239*R239)</f>
        <v/>
      </c>
      <c r="V239" s="80">
        <f>IF(AC239="Cancelled",0,ROUND(P239*S239,2))</f>
        <v/>
      </c>
      <c r="W239" s="80" t="inlineStr">
        <is>
          <t>No</t>
        </is>
      </c>
      <c r="X239" s="80" t="n">
        <v>0</v>
      </c>
      <c r="Y239" s="80">
        <f>IF(AC239="Cancelled",0,T239+U239+V239+Q239+X239)</f>
        <v/>
      </c>
      <c r="Z239" s="80">
        <f>IF(AC239="Cancelled",-Q239,S239-Y239)</f>
        <v/>
      </c>
      <c r="AA239" s="81">
        <f>IF(OR(AC239="Cancelled",S239=0),0,Z239/S239)</f>
        <v/>
      </c>
      <c r="AB239" s="82">
        <f>IFERROR(S239/Q239,0)</f>
        <v/>
      </c>
      <c r="AC239" s="56" t="inlineStr">
        <is>
          <t>Delivered</t>
        </is>
      </c>
    </row>
    <row r="240" ht="14.25" customHeight="1" s="57">
      <c r="A240" s="56" t="inlineStr">
        <is>
          <t>ORD-00347</t>
        </is>
      </c>
      <c r="B240" s="79" t="n">
        <v>45884</v>
      </c>
      <c r="C240" s="56" t="n">
        <v>2025</v>
      </c>
      <c r="D240" s="56" t="n">
        <v>8</v>
      </c>
      <c r="E240" s="56" t="inlineStr">
        <is>
          <t>Saudi Arabia</t>
        </is>
      </c>
      <c r="F240" s="56" t="inlineStr">
        <is>
          <t>Jeddah</t>
        </is>
      </c>
      <c r="G240" s="56" t="inlineStr">
        <is>
          <t>Organic Search</t>
        </is>
      </c>
      <c r="H240" s="56" t="inlineStr">
        <is>
          <t>Bundle Promo</t>
        </is>
      </c>
      <c r="I240" s="56" t="inlineStr">
        <is>
          <t>P007</t>
        </is>
      </c>
      <c r="J240" s="56" t="inlineStr">
        <is>
          <t>Pet Grooming Glove</t>
        </is>
      </c>
      <c r="K240" s="56" t="inlineStr">
        <is>
          <t>Pets</t>
        </is>
      </c>
      <c r="L240" s="56" t="inlineStr">
        <is>
          <t>Yiwu Pet Products</t>
        </is>
      </c>
      <c r="M240" s="80" t="n">
        <v>19.16</v>
      </c>
      <c r="N240" s="80" t="n">
        <v>3.78</v>
      </c>
      <c r="O240" s="80" t="n">
        <v>2.71</v>
      </c>
      <c r="P240" s="80" t="n">
        <v>0.03</v>
      </c>
      <c r="Q240" s="80" t="n">
        <v>0</v>
      </c>
      <c r="R240" s="80" t="n">
        <v>1</v>
      </c>
      <c r="S240" s="80">
        <f>IF(AC240="Cancelled",0,M240*R240)</f>
        <v/>
      </c>
      <c r="T240" s="80">
        <f>IF(AC240="Cancelled",0,N240*R240)</f>
        <v/>
      </c>
      <c r="U240" s="80">
        <f>IF(AC240="Cancelled",0,O240*R240)</f>
        <v/>
      </c>
      <c r="V240" s="80">
        <f>IF(AC240="Cancelled",0,ROUND(P240*S240,2))</f>
        <v/>
      </c>
      <c r="W240" s="80" t="inlineStr">
        <is>
          <t>No</t>
        </is>
      </c>
      <c r="X240" s="80" t="n">
        <v>0</v>
      </c>
      <c r="Y240" s="80">
        <f>IF(AC240="Cancelled",0,T240+U240+V240+Q240+X240)</f>
        <v/>
      </c>
      <c r="Z240" s="80">
        <f>IF(AC240="Cancelled",-Q240,S240-Y240)</f>
        <v/>
      </c>
      <c r="AA240" s="81">
        <f>IF(OR(AC240="Cancelled",S240=0),0,Z240/S240)</f>
        <v/>
      </c>
      <c r="AB240" s="82">
        <f>IFERROR(S240/Q240,0)</f>
        <v/>
      </c>
      <c r="AC240" s="56" t="inlineStr">
        <is>
          <t>Delivered</t>
        </is>
      </c>
    </row>
    <row r="241" ht="14.25" customHeight="1" s="57">
      <c r="A241" s="56" t="inlineStr">
        <is>
          <t>ORD-00075</t>
        </is>
      </c>
      <c r="B241" s="79" t="n">
        <v>45885</v>
      </c>
      <c r="C241" s="56" t="n">
        <v>2025</v>
      </c>
      <c r="D241" s="56" t="n">
        <v>8</v>
      </c>
      <c r="E241" s="56" t="inlineStr">
        <is>
          <t>Saudi Arabia</t>
        </is>
      </c>
      <c r="F241" s="56" t="inlineStr">
        <is>
          <t>Jeddah</t>
        </is>
      </c>
      <c r="G241" s="56" t="inlineStr">
        <is>
          <t>TikTok Ads</t>
        </is>
      </c>
      <c r="H241" s="56" t="inlineStr">
        <is>
          <t>Retargeting</t>
        </is>
      </c>
      <c r="I241" s="56" t="inlineStr">
        <is>
          <t>P006</t>
        </is>
      </c>
      <c r="J241" s="56" t="inlineStr">
        <is>
          <t>Posture Corrector</t>
        </is>
      </c>
      <c r="K241" s="56" t="inlineStr">
        <is>
          <t>Fitness</t>
        </is>
      </c>
      <c r="L241" s="56" t="inlineStr">
        <is>
          <t>Hangzhou Health Gear</t>
        </is>
      </c>
      <c r="M241" s="80" t="n">
        <v>36.74</v>
      </c>
      <c r="N241" s="80" t="n">
        <v>9.33</v>
      </c>
      <c r="O241" s="80" t="n">
        <v>3.65</v>
      </c>
      <c r="P241" s="80" t="n">
        <v>0.03</v>
      </c>
      <c r="Q241" s="80" t="n">
        <v>16.47</v>
      </c>
      <c r="R241" s="80" t="n">
        <v>2</v>
      </c>
      <c r="S241" s="80">
        <f>IF(AC241="Cancelled",0,M241*R241)</f>
        <v/>
      </c>
      <c r="T241" s="80">
        <f>IF(AC241="Cancelled",0,N241*R241)</f>
        <v/>
      </c>
      <c r="U241" s="80">
        <f>IF(AC241="Cancelled",0,O241*R241)</f>
        <v/>
      </c>
      <c r="V241" s="80">
        <f>IF(AC241="Cancelled",0,ROUND(P241*S241,2))</f>
        <v/>
      </c>
      <c r="W241" s="80" t="inlineStr">
        <is>
          <t>No</t>
        </is>
      </c>
      <c r="X241" s="80" t="n">
        <v>0</v>
      </c>
      <c r="Y241" s="80">
        <f>IF(AC241="Cancelled",0,T241+U241+V241+Q241+X241)</f>
        <v/>
      </c>
      <c r="Z241" s="80">
        <f>IF(AC241="Cancelled",-Q241,S241-Y241)</f>
        <v/>
      </c>
      <c r="AA241" s="81">
        <f>IF(OR(AC241="Cancelled",S241=0),0,Z241/S241)</f>
        <v/>
      </c>
      <c r="AB241" s="82">
        <f>IFERROR(S241/Q241,0)</f>
        <v/>
      </c>
      <c r="AC241" s="56" t="inlineStr">
        <is>
          <t>Delivered</t>
        </is>
      </c>
    </row>
    <row r="242" ht="14.25" customHeight="1" s="57">
      <c r="A242" s="56" t="inlineStr">
        <is>
          <t>ORD-00279</t>
        </is>
      </c>
      <c r="B242" s="79" t="n">
        <v>45887</v>
      </c>
      <c r="C242" s="56" t="n">
        <v>2025</v>
      </c>
      <c r="D242" s="56" t="n">
        <v>8</v>
      </c>
      <c r="E242" s="56" t="inlineStr">
        <is>
          <t>UAE</t>
        </is>
      </c>
      <c r="F242" s="56" t="inlineStr">
        <is>
          <t>Abu Dhabi</t>
        </is>
      </c>
      <c r="G242" s="56" t="inlineStr">
        <is>
          <t>Email</t>
        </is>
      </c>
      <c r="H242" s="56" t="inlineStr">
        <is>
          <t>Launch Test</t>
        </is>
      </c>
      <c r="I242" s="56" t="inlineStr">
        <is>
          <t>P003</t>
        </is>
      </c>
      <c r="J242" s="56" t="inlineStr">
        <is>
          <t>LED Strip Lights</t>
        </is>
      </c>
      <c r="K242" s="56" t="inlineStr">
        <is>
          <t>Home Decor</t>
        </is>
      </c>
      <c r="L242" s="56" t="inlineStr">
        <is>
          <t>Yiwu Lighting Factory</t>
        </is>
      </c>
      <c r="M242" s="80" t="n">
        <v>24.39</v>
      </c>
      <c r="N242" s="80" t="n">
        <v>5.85</v>
      </c>
      <c r="O242" s="80" t="n">
        <v>3.26</v>
      </c>
      <c r="P242" s="80" t="n">
        <v>0.03</v>
      </c>
      <c r="Q242" s="80" t="n">
        <v>12.43</v>
      </c>
      <c r="R242" s="80" t="n">
        <v>2</v>
      </c>
      <c r="S242" s="80">
        <f>IF(AC242="Cancelled",0,M242*R242)</f>
        <v/>
      </c>
      <c r="T242" s="80">
        <f>IF(AC242="Cancelled",0,N242*R242)</f>
        <v/>
      </c>
      <c r="U242" s="80">
        <f>IF(AC242="Cancelled",0,O242*R242)</f>
        <v/>
      </c>
      <c r="V242" s="80">
        <f>IF(AC242="Cancelled",0,ROUND(P242*S242,2))</f>
        <v/>
      </c>
      <c r="W242" s="80" t="inlineStr">
        <is>
          <t>No</t>
        </is>
      </c>
      <c r="X242" s="80" t="n">
        <v>0</v>
      </c>
      <c r="Y242" s="80">
        <f>IF(AC242="Cancelled",0,T242+U242+V242+Q242+X242)</f>
        <v/>
      </c>
      <c r="Z242" s="80">
        <f>IF(AC242="Cancelled",-Q242,S242-Y242)</f>
        <v/>
      </c>
      <c r="AA242" s="81">
        <f>IF(OR(AC242="Cancelled",S242=0),0,Z242/S242)</f>
        <v/>
      </c>
      <c r="AB242" s="82">
        <f>IFERROR(S242/Q242,0)</f>
        <v/>
      </c>
      <c r="AC242" s="56" t="inlineStr">
        <is>
          <t>Delivered</t>
        </is>
      </c>
    </row>
    <row r="243" ht="14.25" customHeight="1" s="57">
      <c r="A243" s="56" t="inlineStr">
        <is>
          <t>ORD-00005</t>
        </is>
      </c>
      <c r="B243" s="79" t="n">
        <v>45888</v>
      </c>
      <c r="C243" s="56" t="n">
        <v>2025</v>
      </c>
      <c r="D243" s="56" t="n">
        <v>8</v>
      </c>
      <c r="E243" s="56" t="inlineStr">
        <is>
          <t>UAE</t>
        </is>
      </c>
      <c r="F243" s="56" t="inlineStr">
        <is>
          <t>Abu Dhabi</t>
        </is>
      </c>
      <c r="G243" s="56" t="inlineStr">
        <is>
          <t>Google Ads</t>
        </is>
      </c>
      <c r="H243" s="56" t="inlineStr">
        <is>
          <t>Launch Test</t>
        </is>
      </c>
      <c r="I243" s="56" t="inlineStr">
        <is>
          <t>P007</t>
        </is>
      </c>
      <c r="J243" s="56" t="inlineStr">
        <is>
          <t>Pet Grooming Glove</t>
        </is>
      </c>
      <c r="K243" s="56" t="inlineStr">
        <is>
          <t>Pets</t>
        </is>
      </c>
      <c r="L243" s="56" t="inlineStr">
        <is>
          <t>Yiwu Pet Products</t>
        </is>
      </c>
      <c r="M243" s="80" t="n">
        <v>20.2</v>
      </c>
      <c r="N243" s="80" t="n">
        <v>3.71</v>
      </c>
      <c r="O243" s="80" t="n">
        <v>2.86</v>
      </c>
      <c r="P243" s="80" t="n">
        <v>0.03</v>
      </c>
      <c r="Q243" s="80" t="n">
        <v>6.53</v>
      </c>
      <c r="R243" s="80" t="n">
        <v>2</v>
      </c>
      <c r="S243" s="80">
        <f>IF(AC243="Cancelled",0,M243*R243)</f>
        <v/>
      </c>
      <c r="T243" s="80">
        <f>IF(AC243="Cancelled",0,N243*R243)</f>
        <v/>
      </c>
      <c r="U243" s="80">
        <f>IF(AC243="Cancelled",0,O243*R243)</f>
        <v/>
      </c>
      <c r="V243" s="80">
        <f>IF(AC243="Cancelled",0,ROUND(P243*S243,2))</f>
        <v/>
      </c>
      <c r="W243" s="80" t="inlineStr">
        <is>
          <t>No</t>
        </is>
      </c>
      <c r="X243" s="80" t="n">
        <v>0</v>
      </c>
      <c r="Y243" s="80">
        <f>IF(AC243="Cancelled",0,T243+U243+V243+Q243+X243)</f>
        <v/>
      </c>
      <c r="Z243" s="80">
        <f>IF(AC243="Cancelled",-Q243,S243-Y243)</f>
        <v/>
      </c>
      <c r="AA243" s="81">
        <f>IF(OR(AC243="Cancelled",S243=0),0,Z243/S243)</f>
        <v/>
      </c>
      <c r="AB243" s="82">
        <f>IFERROR(S243/Q243,0)</f>
        <v/>
      </c>
      <c r="AC243" s="56" t="inlineStr">
        <is>
          <t>Delivered</t>
        </is>
      </c>
    </row>
    <row r="244" ht="14.25" customHeight="1" s="57">
      <c r="A244" s="56" t="inlineStr">
        <is>
          <t>ORD-00205</t>
        </is>
      </c>
      <c r="B244" s="79" t="n">
        <v>45891</v>
      </c>
      <c r="C244" s="56" t="n">
        <v>2025</v>
      </c>
      <c r="D244" s="56" t="n">
        <v>8</v>
      </c>
      <c r="E244" s="56" t="inlineStr">
        <is>
          <t>UAE</t>
        </is>
      </c>
      <c r="F244" s="56" t="inlineStr">
        <is>
          <t>Sharjah</t>
        </is>
      </c>
      <c r="G244" s="56" t="inlineStr">
        <is>
          <t>Meta Ads</t>
        </is>
      </c>
      <c r="H244" s="56" t="inlineStr">
        <is>
          <t>Summer Sale</t>
        </is>
      </c>
      <c r="I244" s="56" t="inlineStr">
        <is>
          <t>P008</t>
        </is>
      </c>
      <c r="J244" s="56" t="inlineStr">
        <is>
          <t>Portable Blender</t>
        </is>
      </c>
      <c r="K244" s="56" t="inlineStr">
        <is>
          <t>Kitchen</t>
        </is>
      </c>
      <c r="L244" s="56" t="inlineStr">
        <is>
          <t>Foshan Appliances</t>
        </is>
      </c>
      <c r="M244" s="80" t="n">
        <v>50.96</v>
      </c>
      <c r="N244" s="80" t="n">
        <v>16.65</v>
      </c>
      <c r="O244" s="80" t="n">
        <v>5.78</v>
      </c>
      <c r="P244" s="80" t="n">
        <v>0.03</v>
      </c>
      <c r="Q244" s="80" t="n">
        <v>20.5</v>
      </c>
      <c r="R244" s="80" t="n">
        <v>2</v>
      </c>
      <c r="S244" s="80">
        <f>IF(AC244="Cancelled",0,M244*R244)</f>
        <v/>
      </c>
      <c r="T244" s="80">
        <f>IF(AC244="Cancelled",0,N244*R244)</f>
        <v/>
      </c>
      <c r="U244" s="80">
        <f>IF(AC244="Cancelled",0,O244*R244)</f>
        <v/>
      </c>
      <c r="V244" s="80">
        <f>IF(AC244="Cancelled",0,ROUND(P244*S244,2))</f>
        <v/>
      </c>
      <c r="W244" s="80" t="inlineStr">
        <is>
          <t>No</t>
        </is>
      </c>
      <c r="X244" s="80" t="n">
        <v>0</v>
      </c>
      <c r="Y244" s="80">
        <f>IF(AC244="Cancelled",0,T244+U244+V244+Q244+X244)</f>
        <v/>
      </c>
      <c r="Z244" s="80">
        <f>IF(AC244="Cancelled",-Q244,S244-Y244)</f>
        <v/>
      </c>
      <c r="AA244" s="81">
        <f>IF(OR(AC244="Cancelled",S244=0),0,Z244/S244)</f>
        <v/>
      </c>
      <c r="AB244" s="82">
        <f>IFERROR(S244/Q244,0)</f>
        <v/>
      </c>
      <c r="AC244" s="56" t="inlineStr">
        <is>
          <t>Delivered</t>
        </is>
      </c>
    </row>
    <row r="245" ht="14.25" customHeight="1" s="57">
      <c r="A245" s="56" t="inlineStr">
        <is>
          <t>ORD-00053</t>
        </is>
      </c>
      <c r="B245" s="79" t="n">
        <v>45893</v>
      </c>
      <c r="C245" s="56" t="n">
        <v>2025</v>
      </c>
      <c r="D245" s="56" t="n">
        <v>8</v>
      </c>
      <c r="E245" s="56" t="inlineStr">
        <is>
          <t>Kuwait</t>
        </is>
      </c>
      <c r="F245" s="56" t="inlineStr">
        <is>
          <t>Kuwait City</t>
        </is>
      </c>
      <c r="G245" s="56" t="inlineStr">
        <is>
          <t>Meta Ads</t>
        </is>
      </c>
      <c r="H245" s="56" t="inlineStr">
        <is>
          <t>Launch Test</t>
        </is>
      </c>
      <c r="I245" s="56" t="inlineStr">
        <is>
          <t>P003</t>
        </is>
      </c>
      <c r="J245" s="56" t="inlineStr">
        <is>
          <t>LED Strip Lights</t>
        </is>
      </c>
      <c r="K245" s="56" t="inlineStr">
        <is>
          <t>Home Decor</t>
        </is>
      </c>
      <c r="L245" s="56" t="inlineStr">
        <is>
          <t>Yiwu Lighting Factory</t>
        </is>
      </c>
      <c r="M245" s="80" t="n">
        <v>25.03</v>
      </c>
      <c r="N245" s="80" t="n">
        <v>6.38</v>
      </c>
      <c r="O245" s="80" t="n">
        <v>3.21</v>
      </c>
      <c r="P245" s="80" t="n">
        <v>0.03</v>
      </c>
      <c r="Q245" s="80" t="n">
        <v>4.6</v>
      </c>
      <c r="R245" s="80" t="n">
        <v>1</v>
      </c>
      <c r="S245" s="80">
        <f>IF(AC245="Cancelled",0,M245*R245)</f>
        <v/>
      </c>
      <c r="T245" s="80">
        <f>IF(AC245="Cancelled",0,N245*R245)</f>
        <v/>
      </c>
      <c r="U245" s="80">
        <f>IF(AC245="Cancelled",0,O245*R245)</f>
        <v/>
      </c>
      <c r="V245" s="80">
        <f>IF(AC245="Cancelled",0,ROUND(P245*S245,2))</f>
        <v/>
      </c>
      <c r="W245" s="80" t="inlineStr">
        <is>
          <t>No</t>
        </is>
      </c>
      <c r="X245" s="80" t="n">
        <v>0</v>
      </c>
      <c r="Y245" s="80">
        <f>IF(AC245="Cancelled",0,T245+U245+V245+Q245+X245)</f>
        <v/>
      </c>
      <c r="Z245" s="80">
        <f>IF(AC245="Cancelled",-Q245,S245-Y245)</f>
        <v/>
      </c>
      <c r="AA245" s="81">
        <f>IF(OR(AC245="Cancelled",S245=0),0,Z245/S245)</f>
        <v/>
      </c>
      <c r="AB245" s="82">
        <f>IFERROR(S245/Q245,0)</f>
        <v/>
      </c>
      <c r="AC245" s="56" t="inlineStr">
        <is>
          <t>Delivered</t>
        </is>
      </c>
    </row>
    <row r="246" ht="14.25" customHeight="1" s="57">
      <c r="A246" s="56" t="inlineStr">
        <is>
          <t>ORD-00132</t>
        </is>
      </c>
      <c r="B246" s="79" t="n">
        <v>45893</v>
      </c>
      <c r="C246" s="56" t="n">
        <v>2025</v>
      </c>
      <c r="D246" s="56" t="n">
        <v>8</v>
      </c>
      <c r="E246" s="56" t="inlineStr">
        <is>
          <t>UAE</t>
        </is>
      </c>
      <c r="F246" s="56" t="inlineStr">
        <is>
          <t>Abu Dhabi</t>
        </is>
      </c>
      <c r="G246" s="56" t="inlineStr">
        <is>
          <t>Influencer</t>
        </is>
      </c>
      <c r="H246" s="56" t="inlineStr">
        <is>
          <t>New Creative A/B</t>
        </is>
      </c>
      <c r="I246" s="56" t="inlineStr">
        <is>
          <t>P007</t>
        </is>
      </c>
      <c r="J246" s="56" t="inlineStr">
        <is>
          <t>Pet Grooming Glove</t>
        </is>
      </c>
      <c r="K246" s="56" t="inlineStr">
        <is>
          <t>Pets</t>
        </is>
      </c>
      <c r="L246" s="56" t="inlineStr">
        <is>
          <t>Yiwu Pet Products</t>
        </is>
      </c>
      <c r="M246" s="80" t="n">
        <v>18.11</v>
      </c>
      <c r="N246" s="80" t="n">
        <v>3.77</v>
      </c>
      <c r="O246" s="80" t="n">
        <v>2.39</v>
      </c>
      <c r="P246" s="80" t="n">
        <v>0.03</v>
      </c>
      <c r="Q246" s="80" t="n">
        <v>5.07</v>
      </c>
      <c r="R246" s="80" t="n">
        <v>1</v>
      </c>
      <c r="S246" s="80">
        <f>IF(AC246="Cancelled",0,M246*R246)</f>
        <v/>
      </c>
      <c r="T246" s="80">
        <f>IF(AC246="Cancelled",0,N246*R246)</f>
        <v/>
      </c>
      <c r="U246" s="80">
        <f>IF(AC246="Cancelled",0,O246*R246)</f>
        <v/>
      </c>
      <c r="V246" s="80">
        <f>IF(AC246="Cancelled",0,ROUND(P246*S246,2))</f>
        <v/>
      </c>
      <c r="W246" s="80" t="inlineStr">
        <is>
          <t>Yes</t>
        </is>
      </c>
      <c r="X246" s="80" t="n">
        <v>9.68</v>
      </c>
      <c r="Y246" s="80">
        <f>IF(AC246="Cancelled",0,T246+U246+V246+Q246+X246)</f>
        <v/>
      </c>
      <c r="Z246" s="80">
        <f>IF(AC246="Cancelled",-Q246,S246-Y246)</f>
        <v/>
      </c>
      <c r="AA246" s="81">
        <f>IF(OR(AC246="Cancelled",S246=0),0,Z246/S246)</f>
        <v/>
      </c>
      <c r="AB246" s="82">
        <f>IFERROR(S246/Q246,0)</f>
        <v/>
      </c>
      <c r="AC246" s="56" t="inlineStr">
        <is>
          <t>Refunded</t>
        </is>
      </c>
    </row>
    <row r="247" ht="14.25" customHeight="1" s="57">
      <c r="A247" s="56" t="inlineStr">
        <is>
          <t>ORD-00265</t>
        </is>
      </c>
      <c r="B247" s="79" t="n">
        <v>45893</v>
      </c>
      <c r="C247" s="56" t="n">
        <v>2025</v>
      </c>
      <c r="D247" s="56" t="n">
        <v>8</v>
      </c>
      <c r="E247" s="56" t="inlineStr">
        <is>
          <t>Kuwait</t>
        </is>
      </c>
      <c r="F247" s="56" t="inlineStr">
        <is>
          <t>Kuwait City</t>
        </is>
      </c>
      <c r="G247" s="56" t="inlineStr">
        <is>
          <t>Meta Ads</t>
        </is>
      </c>
      <c r="H247" s="56" t="inlineStr">
        <is>
          <t>New Creative A/B</t>
        </is>
      </c>
      <c r="I247" s="56" t="inlineStr">
        <is>
          <t>P006</t>
        </is>
      </c>
      <c r="J247" s="56" t="inlineStr">
        <is>
          <t>Posture Corrector</t>
        </is>
      </c>
      <c r="K247" s="56" t="inlineStr">
        <is>
          <t>Fitness</t>
        </is>
      </c>
      <c r="L247" s="56" t="inlineStr">
        <is>
          <t>Hangzhou Health Gear</t>
        </is>
      </c>
      <c r="M247" s="80" t="n">
        <v>36.37</v>
      </c>
      <c r="N247" s="80" t="n">
        <v>8.57</v>
      </c>
      <c r="O247" s="80" t="n">
        <v>3.64</v>
      </c>
      <c r="P247" s="80" t="n">
        <v>0.03</v>
      </c>
      <c r="Q247" s="80" t="n">
        <v>6.33</v>
      </c>
      <c r="R247" s="80" t="n">
        <v>1</v>
      </c>
      <c r="S247" s="80">
        <f>IF(AC247="Cancelled",0,M247*R247)</f>
        <v/>
      </c>
      <c r="T247" s="80">
        <f>IF(AC247="Cancelled",0,N247*R247)</f>
        <v/>
      </c>
      <c r="U247" s="80">
        <f>IF(AC247="Cancelled",0,O247*R247)</f>
        <v/>
      </c>
      <c r="V247" s="80">
        <f>IF(AC247="Cancelled",0,ROUND(P247*S247,2))</f>
        <v/>
      </c>
      <c r="W247" s="80" t="inlineStr">
        <is>
          <t>No</t>
        </is>
      </c>
      <c r="X247" s="80" t="n">
        <v>0</v>
      </c>
      <c r="Y247" s="80">
        <f>IF(AC247="Cancelled",0,T247+U247+V247+Q247+X247)</f>
        <v/>
      </c>
      <c r="Z247" s="80">
        <f>IF(AC247="Cancelled",-Q247,S247-Y247)</f>
        <v/>
      </c>
      <c r="AA247" s="81">
        <f>IF(OR(AC247="Cancelled",S247=0),0,Z247/S247)</f>
        <v/>
      </c>
      <c r="AB247" s="82">
        <f>IFERROR(S247/Q247,0)</f>
        <v/>
      </c>
      <c r="AC247" s="56" t="inlineStr">
        <is>
          <t>Delivered</t>
        </is>
      </c>
    </row>
    <row r="248" ht="14.25" customHeight="1" s="57">
      <c r="A248" s="56" t="inlineStr">
        <is>
          <t>ORD-00342</t>
        </is>
      </c>
      <c r="B248" s="79" t="n">
        <v>45893</v>
      </c>
      <c r="C248" s="56" t="n">
        <v>2025</v>
      </c>
      <c r="D248" s="56" t="n">
        <v>8</v>
      </c>
      <c r="E248" s="56" t="inlineStr">
        <is>
          <t>Kuwait</t>
        </is>
      </c>
      <c r="F248" s="56" t="inlineStr">
        <is>
          <t>Kuwait City</t>
        </is>
      </c>
      <c r="G248" s="56" t="inlineStr">
        <is>
          <t>Google Ads</t>
        </is>
      </c>
      <c r="H248" s="56" t="inlineStr">
        <is>
          <t>Summer Sale</t>
        </is>
      </c>
      <c r="I248" s="56" t="inlineStr">
        <is>
          <t>P007</t>
        </is>
      </c>
      <c r="J248" s="56" t="inlineStr">
        <is>
          <t>Pet Grooming Glove</t>
        </is>
      </c>
      <c r="K248" s="56" t="inlineStr">
        <is>
          <t>Pets</t>
        </is>
      </c>
      <c r="L248" s="56" t="inlineStr">
        <is>
          <t>Yiwu Pet Products</t>
        </is>
      </c>
      <c r="M248" s="80" t="n">
        <v>20.21</v>
      </c>
      <c r="N248" s="80" t="n">
        <v>3.43</v>
      </c>
      <c r="O248" s="80" t="n">
        <v>2.6</v>
      </c>
      <c r="P248" s="80" t="n">
        <v>0.03</v>
      </c>
      <c r="Q248" s="80" t="n">
        <v>6.97</v>
      </c>
      <c r="R248" s="80" t="n">
        <v>1</v>
      </c>
      <c r="S248" s="80">
        <f>IF(AC248="Cancelled",0,M248*R248)</f>
        <v/>
      </c>
      <c r="T248" s="80">
        <f>IF(AC248="Cancelled",0,N248*R248)</f>
        <v/>
      </c>
      <c r="U248" s="80">
        <f>IF(AC248="Cancelled",0,O248*R248)</f>
        <v/>
      </c>
      <c r="V248" s="80">
        <f>IF(AC248="Cancelled",0,ROUND(P248*S248,2))</f>
        <v/>
      </c>
      <c r="W248" s="80" t="inlineStr">
        <is>
          <t>No</t>
        </is>
      </c>
      <c r="X248" s="80" t="n">
        <v>0</v>
      </c>
      <c r="Y248" s="80">
        <f>IF(AC248="Cancelled",0,T248+U248+V248+Q248+X248)</f>
        <v/>
      </c>
      <c r="Z248" s="80">
        <f>IF(AC248="Cancelled",-Q248,S248-Y248)</f>
        <v/>
      </c>
      <c r="AA248" s="81">
        <f>IF(OR(AC248="Cancelled",S248=0),0,Z248/S248)</f>
        <v/>
      </c>
      <c r="AB248" s="82">
        <f>IFERROR(S248/Q248,0)</f>
        <v/>
      </c>
      <c r="AC248" s="56" t="inlineStr">
        <is>
          <t>Delivered</t>
        </is>
      </c>
    </row>
    <row r="249" ht="14.25" customHeight="1" s="57">
      <c r="A249" s="56" t="inlineStr">
        <is>
          <t>ORD-00288</t>
        </is>
      </c>
      <c r="B249" s="79" t="n">
        <v>45894</v>
      </c>
      <c r="C249" s="56" t="n">
        <v>2025</v>
      </c>
      <c r="D249" s="56" t="n">
        <v>8</v>
      </c>
      <c r="E249" s="56" t="inlineStr">
        <is>
          <t>Qatar</t>
        </is>
      </c>
      <c r="F249" s="56" t="inlineStr">
        <is>
          <t>Doha</t>
        </is>
      </c>
      <c r="G249" s="56" t="inlineStr">
        <is>
          <t>TikTok Ads</t>
        </is>
      </c>
      <c r="H249" s="56" t="inlineStr">
        <is>
          <t>New Creative A/B</t>
        </is>
      </c>
      <c r="I249" s="56" t="inlineStr">
        <is>
          <t>P007</t>
        </is>
      </c>
      <c r="J249" s="56" t="inlineStr">
        <is>
          <t>Pet Grooming Glove</t>
        </is>
      </c>
      <c r="K249" s="56" t="inlineStr">
        <is>
          <t>Pets</t>
        </is>
      </c>
      <c r="L249" s="56" t="inlineStr">
        <is>
          <t>Yiwu Pet Products</t>
        </is>
      </c>
      <c r="M249" s="80" t="n">
        <v>21.18</v>
      </c>
      <c r="N249" s="80" t="n">
        <v>3.51</v>
      </c>
      <c r="O249" s="80" t="n">
        <v>2.65</v>
      </c>
      <c r="P249" s="80" t="n">
        <v>0.03</v>
      </c>
      <c r="Q249" s="80" t="n">
        <v>10.73</v>
      </c>
      <c r="R249" s="80" t="n">
        <v>3</v>
      </c>
      <c r="S249" s="80">
        <f>IF(AC249="Cancelled",0,M249*R249)</f>
        <v/>
      </c>
      <c r="T249" s="80">
        <f>IF(AC249="Cancelled",0,N249*R249)</f>
        <v/>
      </c>
      <c r="U249" s="80">
        <f>IF(AC249="Cancelled",0,O249*R249)</f>
        <v/>
      </c>
      <c r="V249" s="80">
        <f>IF(AC249="Cancelled",0,ROUND(P249*S249,2))</f>
        <v/>
      </c>
      <c r="W249" s="80" t="inlineStr">
        <is>
          <t>No</t>
        </is>
      </c>
      <c r="X249" s="80" t="n">
        <v>0</v>
      </c>
      <c r="Y249" s="80">
        <f>IF(AC249="Cancelled",0,T249+U249+V249+Q249+X249)</f>
        <v/>
      </c>
      <c r="Z249" s="80">
        <f>IF(AC249="Cancelled",-Q249,S249-Y249)</f>
        <v/>
      </c>
      <c r="AA249" s="81">
        <f>IF(OR(AC249="Cancelled",S249=0),0,Z249/S249)</f>
        <v/>
      </c>
      <c r="AB249" s="82">
        <f>IFERROR(S249/Q249,0)</f>
        <v/>
      </c>
      <c r="AC249" s="56" t="inlineStr">
        <is>
          <t>Delivered</t>
        </is>
      </c>
    </row>
    <row r="250" ht="14.25" customHeight="1" s="57">
      <c r="A250" s="56" t="inlineStr">
        <is>
          <t>ORD-00383</t>
        </is>
      </c>
      <c r="B250" s="79" t="n">
        <v>45894</v>
      </c>
      <c r="C250" s="56" t="n">
        <v>2025</v>
      </c>
      <c r="D250" s="56" t="n">
        <v>8</v>
      </c>
      <c r="E250" s="56" t="inlineStr">
        <is>
          <t>UAE</t>
        </is>
      </c>
      <c r="F250" s="56" t="inlineStr">
        <is>
          <t>Sharjah</t>
        </is>
      </c>
      <c r="G250" s="56" t="inlineStr">
        <is>
          <t>Influencer</t>
        </is>
      </c>
      <c r="H250" s="56" t="inlineStr">
        <is>
          <t>Launch Test</t>
        </is>
      </c>
      <c r="I250" s="56" t="inlineStr">
        <is>
          <t>P009</t>
        </is>
      </c>
      <c r="J250" s="56" t="inlineStr">
        <is>
          <t>Car Vacuum Cleaner</t>
        </is>
      </c>
      <c r="K250" s="56" t="inlineStr">
        <is>
          <t>Automotive</t>
        </is>
      </c>
      <c r="L250" s="56" t="inlineStr">
        <is>
          <t>Dongguan Auto Tools</t>
        </is>
      </c>
      <c r="M250" s="80" t="n">
        <v>49.53</v>
      </c>
      <c r="N250" s="80" t="n">
        <v>14.53</v>
      </c>
      <c r="O250" s="80" t="n">
        <v>6.87</v>
      </c>
      <c r="P250" s="80" t="n">
        <v>0.03</v>
      </c>
      <c r="Q250" s="80" t="n">
        <v>6.81</v>
      </c>
      <c r="R250" s="80" t="n">
        <v>1</v>
      </c>
      <c r="S250" s="80">
        <f>IF(AC250="Cancelled",0,M250*R250)</f>
        <v/>
      </c>
      <c r="T250" s="80">
        <f>IF(AC250="Cancelled",0,N250*R250)</f>
        <v/>
      </c>
      <c r="U250" s="80">
        <f>IF(AC250="Cancelled",0,O250*R250)</f>
        <v/>
      </c>
      <c r="V250" s="80">
        <f>IF(AC250="Cancelled",0,ROUND(P250*S250,2))</f>
        <v/>
      </c>
      <c r="W250" s="80" t="inlineStr">
        <is>
          <t>No</t>
        </is>
      </c>
      <c r="X250" s="80" t="n">
        <v>0</v>
      </c>
      <c r="Y250" s="80">
        <f>IF(AC250="Cancelled",0,T250+U250+V250+Q250+X250)</f>
        <v/>
      </c>
      <c r="Z250" s="80">
        <f>IF(AC250="Cancelled",-Q250,S250-Y250)</f>
        <v/>
      </c>
      <c r="AA250" s="81">
        <f>IF(OR(AC250="Cancelled",S250=0),0,Z250/S250)</f>
        <v/>
      </c>
      <c r="AB250" s="82">
        <f>IFERROR(S250/Q250,0)</f>
        <v/>
      </c>
      <c r="AC250" s="56" t="inlineStr">
        <is>
          <t>Delivered</t>
        </is>
      </c>
    </row>
    <row r="251" ht="14.25" customHeight="1" s="57">
      <c r="A251" s="56" t="inlineStr">
        <is>
          <t>ORD-00388</t>
        </is>
      </c>
      <c r="B251" s="79" t="n">
        <v>45894</v>
      </c>
      <c r="C251" s="56" t="n">
        <v>2025</v>
      </c>
      <c r="D251" s="56" t="n">
        <v>8</v>
      </c>
      <c r="E251" s="56" t="inlineStr">
        <is>
          <t>UAE</t>
        </is>
      </c>
      <c r="F251" s="56" t="inlineStr">
        <is>
          <t>Dubai</t>
        </is>
      </c>
      <c r="G251" s="56" t="inlineStr">
        <is>
          <t>Organic Search</t>
        </is>
      </c>
      <c r="H251" s="56" t="inlineStr">
        <is>
          <t>Retargeting</t>
        </is>
      </c>
      <c r="I251" s="56" t="inlineStr">
        <is>
          <t>P005</t>
        </is>
      </c>
      <c r="J251" s="56" t="inlineStr">
        <is>
          <t>Mini Printer</t>
        </is>
      </c>
      <c r="K251" s="56" t="inlineStr">
        <is>
          <t>Electronics</t>
        </is>
      </c>
      <c r="L251" s="56" t="inlineStr">
        <is>
          <t>Shenzhen Print Tech</t>
        </is>
      </c>
      <c r="M251" s="80" t="n">
        <v>64.89</v>
      </c>
      <c r="N251" s="80" t="n">
        <v>23.46</v>
      </c>
      <c r="O251" s="80" t="n">
        <v>6.76</v>
      </c>
      <c r="P251" s="80" t="n">
        <v>0.03</v>
      </c>
      <c r="Q251" s="80" t="n">
        <v>0</v>
      </c>
      <c r="R251" s="80" t="n">
        <v>1</v>
      </c>
      <c r="S251" s="80">
        <f>IF(AC251="Cancelled",0,M251*R251)</f>
        <v/>
      </c>
      <c r="T251" s="80">
        <f>IF(AC251="Cancelled",0,N251*R251)</f>
        <v/>
      </c>
      <c r="U251" s="80">
        <f>IF(AC251="Cancelled",0,O251*R251)</f>
        <v/>
      </c>
      <c r="V251" s="80">
        <f>IF(AC251="Cancelled",0,ROUND(P251*S251,2))</f>
        <v/>
      </c>
      <c r="W251" s="80" t="inlineStr">
        <is>
          <t>No</t>
        </is>
      </c>
      <c r="X251" s="80" t="n">
        <v>0</v>
      </c>
      <c r="Y251" s="80">
        <f>IF(AC251="Cancelled",0,T251+U251+V251+Q251+X251)</f>
        <v/>
      </c>
      <c r="Z251" s="80">
        <f>IF(AC251="Cancelled",-Q251,S251-Y251)</f>
        <v/>
      </c>
      <c r="AA251" s="81">
        <f>IF(OR(AC251="Cancelled",S251=0),0,Z251/S251)</f>
        <v/>
      </c>
      <c r="AB251" s="82">
        <f>IFERROR(S251/Q251,0)</f>
        <v/>
      </c>
      <c r="AC251" s="56" t="inlineStr">
        <is>
          <t>Delivered</t>
        </is>
      </c>
    </row>
    <row r="252" ht="14.25" customHeight="1" s="57">
      <c r="A252" s="56" t="inlineStr">
        <is>
          <t>ORD-00124</t>
        </is>
      </c>
      <c r="B252" s="79" t="n">
        <v>45895</v>
      </c>
      <c r="C252" s="56" t="n">
        <v>2025</v>
      </c>
      <c r="D252" s="56" t="n">
        <v>8</v>
      </c>
      <c r="E252" s="56" t="inlineStr">
        <is>
          <t>Qatar</t>
        </is>
      </c>
      <c r="F252" s="56" t="inlineStr">
        <is>
          <t>Doha</t>
        </is>
      </c>
      <c r="G252" s="56" t="inlineStr">
        <is>
          <t>Influencer</t>
        </is>
      </c>
      <c r="H252" s="56" t="inlineStr">
        <is>
          <t>Bundle Promo</t>
        </is>
      </c>
      <c r="I252" s="56" t="inlineStr">
        <is>
          <t>P008</t>
        </is>
      </c>
      <c r="J252" s="56" t="inlineStr">
        <is>
          <t>Portable Blender</t>
        </is>
      </c>
      <c r="K252" s="56" t="inlineStr">
        <is>
          <t>Kitchen</t>
        </is>
      </c>
      <c r="L252" s="56" t="inlineStr">
        <is>
          <t>Foshan Appliances</t>
        </is>
      </c>
      <c r="M252" s="80" t="n">
        <v>45.18</v>
      </c>
      <c r="N252" s="80" t="n">
        <v>16.3</v>
      </c>
      <c r="O252" s="80" t="n">
        <v>6.12</v>
      </c>
      <c r="P252" s="80" t="n">
        <v>0.03</v>
      </c>
      <c r="Q252" s="80" t="n">
        <v>3.48</v>
      </c>
      <c r="R252" s="80" t="n">
        <v>1</v>
      </c>
      <c r="S252" s="80">
        <f>IF(AC252="Cancelled",0,M252*R252)</f>
        <v/>
      </c>
      <c r="T252" s="80">
        <f>IF(AC252="Cancelled",0,N252*R252)</f>
        <v/>
      </c>
      <c r="U252" s="80">
        <f>IF(AC252="Cancelled",0,O252*R252)</f>
        <v/>
      </c>
      <c r="V252" s="80">
        <f>IF(AC252="Cancelled",0,ROUND(P252*S252,2))</f>
        <v/>
      </c>
      <c r="W252" s="80" t="inlineStr">
        <is>
          <t>No</t>
        </is>
      </c>
      <c r="X252" s="80" t="n">
        <v>0</v>
      </c>
      <c r="Y252" s="80">
        <f>IF(AC252="Cancelled",0,T252+U252+V252+Q252+X252)</f>
        <v/>
      </c>
      <c r="Z252" s="80">
        <f>IF(AC252="Cancelled",-Q252,S252-Y252)</f>
        <v/>
      </c>
      <c r="AA252" s="81">
        <f>IF(OR(AC252="Cancelled",S252=0),0,Z252/S252)</f>
        <v/>
      </c>
      <c r="AB252" s="82">
        <f>IFERROR(S252/Q252,0)</f>
        <v/>
      </c>
      <c r="AC252" s="56" t="inlineStr">
        <is>
          <t>Delivered</t>
        </is>
      </c>
    </row>
    <row r="253" ht="14.25" customHeight="1" s="57">
      <c r="A253" s="56" t="inlineStr">
        <is>
          <t>ORD-00442</t>
        </is>
      </c>
      <c r="B253" s="79" t="n">
        <v>45895</v>
      </c>
      <c r="C253" s="56" t="n">
        <v>2025</v>
      </c>
      <c r="D253" s="56" t="n">
        <v>8</v>
      </c>
      <c r="E253" s="56" t="inlineStr">
        <is>
          <t>Oman</t>
        </is>
      </c>
      <c r="F253" s="56" t="inlineStr">
        <is>
          <t>Muscat</t>
        </is>
      </c>
      <c r="G253" s="56" t="inlineStr">
        <is>
          <t>Organic Search</t>
        </is>
      </c>
      <c r="H253" s="56" t="inlineStr">
        <is>
          <t>Summer Sale</t>
        </is>
      </c>
      <c r="I253" s="56" t="inlineStr">
        <is>
          <t>P008</t>
        </is>
      </c>
      <c r="J253" s="56" t="inlineStr">
        <is>
          <t>Portable Blender</t>
        </is>
      </c>
      <c r="K253" s="56" t="inlineStr">
        <is>
          <t>Kitchen</t>
        </is>
      </c>
      <c r="L253" s="56" t="inlineStr">
        <is>
          <t>Foshan Appliances</t>
        </is>
      </c>
      <c r="M253" s="80" t="n">
        <v>48.11</v>
      </c>
      <c r="N253" s="80" t="n">
        <v>16.72</v>
      </c>
      <c r="O253" s="80" t="n">
        <v>5.97</v>
      </c>
      <c r="P253" s="80" t="n">
        <v>0.03</v>
      </c>
      <c r="Q253" s="80" t="n">
        <v>0</v>
      </c>
      <c r="R253" s="80" t="n">
        <v>2</v>
      </c>
      <c r="S253" s="80">
        <f>IF(AC253="Cancelled",0,M253*R253)</f>
        <v/>
      </c>
      <c r="T253" s="80">
        <f>IF(AC253="Cancelled",0,N253*R253)</f>
        <v/>
      </c>
      <c r="U253" s="80">
        <f>IF(AC253="Cancelled",0,O253*R253)</f>
        <v/>
      </c>
      <c r="V253" s="80">
        <f>IF(AC253="Cancelled",0,ROUND(P253*S253,2))</f>
        <v/>
      </c>
      <c r="W253" s="80" t="inlineStr">
        <is>
          <t>No</t>
        </is>
      </c>
      <c r="X253" s="80" t="n">
        <v>0</v>
      </c>
      <c r="Y253" s="80">
        <f>IF(AC253="Cancelled",0,T253+U253+V253+Q253+X253)</f>
        <v/>
      </c>
      <c r="Z253" s="80">
        <f>IF(AC253="Cancelled",-Q253,S253-Y253)</f>
        <v/>
      </c>
      <c r="AA253" s="81">
        <f>IF(OR(AC253="Cancelled",S253=0),0,Z253/S253)</f>
        <v/>
      </c>
      <c r="AB253" s="82">
        <f>IFERROR(S253/Q253,0)</f>
        <v/>
      </c>
      <c r="AC253" s="56" t="inlineStr">
        <is>
          <t>Delivered</t>
        </is>
      </c>
    </row>
    <row r="254" ht="14.25" customHeight="1" s="57">
      <c r="A254" s="56" t="inlineStr">
        <is>
          <t>ORD-00268</t>
        </is>
      </c>
      <c r="B254" s="79" t="n">
        <v>45896</v>
      </c>
      <c r="C254" s="56" t="n">
        <v>2025</v>
      </c>
      <c r="D254" s="56" t="n">
        <v>8</v>
      </c>
      <c r="E254" s="56" t="inlineStr">
        <is>
          <t>Saudi Arabia</t>
        </is>
      </c>
      <c r="F254" s="56" t="inlineStr">
        <is>
          <t>Jeddah</t>
        </is>
      </c>
      <c r="G254" s="56" t="inlineStr">
        <is>
          <t>Meta Ads</t>
        </is>
      </c>
      <c r="H254" s="56" t="inlineStr">
        <is>
          <t>Bundle Promo</t>
        </is>
      </c>
      <c r="I254" s="56" t="inlineStr">
        <is>
          <t>P006</t>
        </is>
      </c>
      <c r="J254" s="56" t="inlineStr">
        <is>
          <t>Posture Corrector</t>
        </is>
      </c>
      <c r="K254" s="56" t="inlineStr">
        <is>
          <t>Fitness</t>
        </is>
      </c>
      <c r="L254" s="56" t="inlineStr">
        <is>
          <t>Hangzhou Health Gear</t>
        </is>
      </c>
      <c r="M254" s="80" t="n">
        <v>33.71</v>
      </c>
      <c r="N254" s="80" t="n">
        <v>9.65</v>
      </c>
      <c r="O254" s="80" t="n">
        <v>3.97</v>
      </c>
      <c r="P254" s="80" t="n">
        <v>0.03</v>
      </c>
      <c r="Q254" s="80" t="n">
        <v>19.54</v>
      </c>
      <c r="R254" s="80" t="n">
        <v>2</v>
      </c>
      <c r="S254" s="80">
        <f>IF(AC254="Cancelled",0,M254*R254)</f>
        <v/>
      </c>
      <c r="T254" s="80">
        <f>IF(AC254="Cancelled",0,N254*R254)</f>
        <v/>
      </c>
      <c r="U254" s="80">
        <f>IF(AC254="Cancelled",0,O254*R254)</f>
        <v/>
      </c>
      <c r="V254" s="80">
        <f>IF(AC254="Cancelled",0,ROUND(P254*S254,2))</f>
        <v/>
      </c>
      <c r="W254" s="80" t="inlineStr">
        <is>
          <t>No</t>
        </is>
      </c>
      <c r="X254" s="80" t="n">
        <v>0</v>
      </c>
      <c r="Y254" s="80">
        <f>IF(AC254="Cancelled",0,T254+U254+V254+Q254+X254)</f>
        <v/>
      </c>
      <c r="Z254" s="80">
        <f>IF(AC254="Cancelled",-Q254,S254-Y254)</f>
        <v/>
      </c>
      <c r="AA254" s="81">
        <f>IF(OR(AC254="Cancelled",S254=0),0,Z254/S254)</f>
        <v/>
      </c>
      <c r="AB254" s="82">
        <f>IFERROR(S254/Q254,0)</f>
        <v/>
      </c>
      <c r="AC254" s="56" t="inlineStr">
        <is>
          <t>Delivered</t>
        </is>
      </c>
    </row>
    <row r="255" ht="14.25" customHeight="1" s="57">
      <c r="A255" s="56" t="inlineStr">
        <is>
          <t>ORD-00111</t>
        </is>
      </c>
      <c r="B255" s="79" t="n">
        <v>45897</v>
      </c>
      <c r="C255" s="56" t="n">
        <v>2025</v>
      </c>
      <c r="D255" s="56" t="n">
        <v>8</v>
      </c>
      <c r="E255" s="56" t="inlineStr">
        <is>
          <t>Oman</t>
        </is>
      </c>
      <c r="F255" s="56" t="inlineStr">
        <is>
          <t>Muscat</t>
        </is>
      </c>
      <c r="G255" s="56" t="inlineStr">
        <is>
          <t>Google Ads</t>
        </is>
      </c>
      <c r="H255" s="56" t="inlineStr">
        <is>
          <t>Retargeting</t>
        </is>
      </c>
      <c r="I255" s="56" t="inlineStr">
        <is>
          <t>P004</t>
        </is>
      </c>
      <c r="J255" s="56" t="inlineStr">
        <is>
          <t>Beauty Tool</t>
        </is>
      </c>
      <c r="K255" s="56" t="inlineStr">
        <is>
          <t>Beauty</t>
        </is>
      </c>
      <c r="L255" s="56" t="inlineStr">
        <is>
          <t>Ningbo Beauty Supply</t>
        </is>
      </c>
      <c r="M255" s="80" t="n">
        <v>31.26</v>
      </c>
      <c r="N255" s="80" t="n">
        <v>7.1</v>
      </c>
      <c r="O255" s="80" t="n">
        <v>4.12</v>
      </c>
      <c r="P255" s="80" t="n">
        <v>0.03</v>
      </c>
      <c r="Q255" s="80" t="n">
        <v>7.17</v>
      </c>
      <c r="R255" s="80" t="n">
        <v>1</v>
      </c>
      <c r="S255" s="80">
        <f>IF(AC255="Cancelled",0,M255*R255)</f>
        <v/>
      </c>
      <c r="T255" s="80">
        <f>IF(AC255="Cancelled",0,N255*R255)</f>
        <v/>
      </c>
      <c r="U255" s="80">
        <f>IF(AC255="Cancelled",0,O255*R255)</f>
        <v/>
      </c>
      <c r="V255" s="80">
        <f>IF(AC255="Cancelled",0,ROUND(P255*S255,2))</f>
        <v/>
      </c>
      <c r="W255" s="80" t="inlineStr">
        <is>
          <t>No</t>
        </is>
      </c>
      <c r="X255" s="80" t="n">
        <v>0</v>
      </c>
      <c r="Y255" s="80">
        <f>IF(AC255="Cancelled",0,T255+U255+V255+Q255+X255)</f>
        <v/>
      </c>
      <c r="Z255" s="80">
        <f>IF(AC255="Cancelled",-Q255,S255-Y255)</f>
        <v/>
      </c>
      <c r="AA255" s="81">
        <f>IF(OR(AC255="Cancelled",S255=0),0,Z255/S255)</f>
        <v/>
      </c>
      <c r="AB255" s="82">
        <f>IFERROR(S255/Q255,0)</f>
        <v/>
      </c>
      <c r="AC255" s="56" t="inlineStr">
        <is>
          <t>Delivered</t>
        </is>
      </c>
    </row>
    <row r="256" ht="14.25" customHeight="1" s="57">
      <c r="A256" s="56" t="inlineStr">
        <is>
          <t>ORD-00230</t>
        </is>
      </c>
      <c r="B256" s="79" t="n">
        <v>45897</v>
      </c>
      <c r="C256" s="56" t="n">
        <v>2025</v>
      </c>
      <c r="D256" s="56" t="n">
        <v>8</v>
      </c>
      <c r="E256" s="56" t="inlineStr">
        <is>
          <t>Kuwait</t>
        </is>
      </c>
      <c r="F256" s="56" t="inlineStr">
        <is>
          <t>Kuwait City</t>
        </is>
      </c>
      <c r="G256" s="56" t="inlineStr">
        <is>
          <t>Meta Ads</t>
        </is>
      </c>
      <c r="H256" s="56" t="inlineStr">
        <is>
          <t>Bundle Promo</t>
        </is>
      </c>
      <c r="I256" s="56" t="inlineStr">
        <is>
          <t>P001</t>
        </is>
      </c>
      <c r="J256" s="56" t="inlineStr">
        <is>
          <t>Wireless Earbuds</t>
        </is>
      </c>
      <c r="K256" s="56" t="inlineStr">
        <is>
          <t>Electronics</t>
        </is>
      </c>
      <c r="L256" s="56" t="inlineStr">
        <is>
          <t>Shenzhen Audio Co.</t>
        </is>
      </c>
      <c r="M256" s="80" t="n">
        <v>39.49</v>
      </c>
      <c r="N256" s="80" t="n">
        <v>8.66</v>
      </c>
      <c r="O256" s="80" t="n">
        <v>3.91</v>
      </c>
      <c r="P256" s="80" t="n">
        <v>0.03</v>
      </c>
      <c r="Q256" s="80" t="n">
        <v>1.39</v>
      </c>
      <c r="R256" s="80" t="n">
        <v>1</v>
      </c>
      <c r="S256" s="80">
        <f>IF(AC256="Cancelled",0,M256*R256)</f>
        <v/>
      </c>
      <c r="T256" s="80">
        <f>IF(AC256="Cancelled",0,N256*R256)</f>
        <v/>
      </c>
      <c r="U256" s="80">
        <f>IF(AC256="Cancelled",0,O256*R256)</f>
        <v/>
      </c>
      <c r="V256" s="80">
        <f>IF(AC256="Cancelled",0,ROUND(P256*S256,2))</f>
        <v/>
      </c>
      <c r="W256" s="80" t="inlineStr">
        <is>
          <t>No</t>
        </is>
      </c>
      <c r="X256" s="80" t="n">
        <v>0</v>
      </c>
      <c r="Y256" s="80">
        <f>IF(AC256="Cancelled",0,T256+U256+V256+Q256+X256)</f>
        <v/>
      </c>
      <c r="Z256" s="80">
        <f>IF(AC256="Cancelled",-Q256,S256-Y256)</f>
        <v/>
      </c>
      <c r="AA256" s="81">
        <f>IF(OR(AC256="Cancelled",S256=0),0,Z256/S256)</f>
        <v/>
      </c>
      <c r="AB256" s="82">
        <f>IFERROR(S256/Q256,0)</f>
        <v/>
      </c>
      <c r="AC256" s="56" t="inlineStr">
        <is>
          <t>Delivered</t>
        </is>
      </c>
    </row>
    <row r="257" ht="14.25" customHeight="1" s="57">
      <c r="A257" s="56" t="inlineStr">
        <is>
          <t>ORD-00056</t>
        </is>
      </c>
      <c r="B257" s="79" t="n">
        <v>45899</v>
      </c>
      <c r="C257" s="56" t="n">
        <v>2025</v>
      </c>
      <c r="D257" s="56" t="n">
        <v>8</v>
      </c>
      <c r="E257" s="56" t="inlineStr">
        <is>
          <t>Oman</t>
        </is>
      </c>
      <c r="F257" s="56" t="inlineStr">
        <is>
          <t>Muscat</t>
        </is>
      </c>
      <c r="G257" s="56" t="inlineStr">
        <is>
          <t>Meta Ads</t>
        </is>
      </c>
      <c r="H257" s="56" t="inlineStr">
        <is>
          <t>Bundle Promo</t>
        </is>
      </c>
      <c r="I257" s="56" t="inlineStr">
        <is>
          <t>P008</t>
        </is>
      </c>
      <c r="J257" s="56" t="inlineStr">
        <is>
          <t>Portable Blender</t>
        </is>
      </c>
      <c r="K257" s="56" t="inlineStr">
        <is>
          <t>Kitchen</t>
        </is>
      </c>
      <c r="L257" s="56" t="inlineStr">
        <is>
          <t>Foshan Appliances</t>
        </is>
      </c>
      <c r="M257" s="80" t="n">
        <v>51.05</v>
      </c>
      <c r="N257" s="80" t="n">
        <v>16.13</v>
      </c>
      <c r="O257" s="80" t="n">
        <v>6.54</v>
      </c>
      <c r="P257" s="80" t="n">
        <v>0.03</v>
      </c>
      <c r="Q257" s="80" t="n">
        <v>11.51</v>
      </c>
      <c r="R257" s="80" t="n">
        <v>2</v>
      </c>
      <c r="S257" s="80">
        <f>IF(AC257="Cancelled",0,M257*R257)</f>
        <v/>
      </c>
      <c r="T257" s="80">
        <f>IF(AC257="Cancelled",0,N257*R257)</f>
        <v/>
      </c>
      <c r="U257" s="80">
        <f>IF(AC257="Cancelled",0,O257*R257)</f>
        <v/>
      </c>
      <c r="V257" s="80">
        <f>IF(AC257="Cancelled",0,ROUND(P257*S257,2))</f>
        <v/>
      </c>
      <c r="W257" s="80" t="inlineStr">
        <is>
          <t>Yes</t>
        </is>
      </c>
      <c r="X257" s="80" t="n">
        <v>62.83</v>
      </c>
      <c r="Y257" s="80">
        <f>IF(AC257="Cancelled",0,T257+U257+V257+Q257+X257)</f>
        <v/>
      </c>
      <c r="Z257" s="80">
        <f>IF(AC257="Cancelled",-Q257,S257-Y257)</f>
        <v/>
      </c>
      <c r="AA257" s="81">
        <f>IF(OR(AC257="Cancelled",S257=0),0,Z257/S257)</f>
        <v/>
      </c>
      <c r="AB257" s="82">
        <f>IFERROR(S257/Q257,0)</f>
        <v/>
      </c>
      <c r="AC257" s="56" t="inlineStr">
        <is>
          <t>Refunded</t>
        </is>
      </c>
    </row>
    <row r="258" ht="14.25" customHeight="1" s="57">
      <c r="A258" s="56" t="inlineStr">
        <is>
          <t>ORD-00258</t>
        </is>
      </c>
      <c r="B258" s="79" t="n">
        <v>45899</v>
      </c>
      <c r="C258" s="56" t="n">
        <v>2025</v>
      </c>
      <c r="D258" s="56" t="n">
        <v>8</v>
      </c>
      <c r="E258" s="56" t="inlineStr">
        <is>
          <t>Saudi Arabia</t>
        </is>
      </c>
      <c r="F258" s="56" t="inlineStr">
        <is>
          <t>Jeddah</t>
        </is>
      </c>
      <c r="G258" s="56" t="inlineStr">
        <is>
          <t>Meta Ads</t>
        </is>
      </c>
      <c r="H258" s="56" t="inlineStr">
        <is>
          <t>New Creative A/B</t>
        </is>
      </c>
      <c r="I258" s="56" t="inlineStr">
        <is>
          <t>P008</t>
        </is>
      </c>
      <c r="J258" s="56" t="inlineStr">
        <is>
          <t>Portable Blender</t>
        </is>
      </c>
      <c r="K258" s="56" t="inlineStr">
        <is>
          <t>Kitchen</t>
        </is>
      </c>
      <c r="L258" s="56" t="inlineStr">
        <is>
          <t>Foshan Appliances</t>
        </is>
      </c>
      <c r="M258" s="80" t="n">
        <v>52.34</v>
      </c>
      <c r="N258" s="80" t="n">
        <v>15.71</v>
      </c>
      <c r="O258" s="80" t="n">
        <v>6.06</v>
      </c>
      <c r="P258" s="80" t="n">
        <v>0.03</v>
      </c>
      <c r="Q258" s="80" t="n">
        <v>19.94</v>
      </c>
      <c r="R258" s="80" t="n">
        <v>2</v>
      </c>
      <c r="S258" s="80">
        <f>IF(AC258="Cancelled",0,M258*R258)</f>
        <v/>
      </c>
      <c r="T258" s="80">
        <f>IF(AC258="Cancelled",0,N258*R258)</f>
        <v/>
      </c>
      <c r="U258" s="80">
        <f>IF(AC258="Cancelled",0,O258*R258)</f>
        <v/>
      </c>
      <c r="V258" s="80">
        <f>IF(AC258="Cancelled",0,ROUND(P258*S258,2))</f>
        <v/>
      </c>
      <c r="W258" s="80" t="inlineStr">
        <is>
          <t>Yes</t>
        </is>
      </c>
      <c r="X258" s="80" t="n">
        <v>84.91</v>
      </c>
      <c r="Y258" s="80">
        <f>IF(AC258="Cancelled",0,T258+U258+V258+Q258+X258)</f>
        <v/>
      </c>
      <c r="Z258" s="80">
        <f>IF(AC258="Cancelled",-Q258,S258-Y258)</f>
        <v/>
      </c>
      <c r="AA258" s="81">
        <f>IF(OR(AC258="Cancelled",S258=0),0,Z258/S258)</f>
        <v/>
      </c>
      <c r="AB258" s="82">
        <f>IFERROR(S258/Q258,0)</f>
        <v/>
      </c>
      <c r="AC258" s="56" t="inlineStr">
        <is>
          <t>Refunded</t>
        </is>
      </c>
    </row>
    <row r="259" ht="14.25" customHeight="1" s="57">
      <c r="A259" s="56" t="inlineStr">
        <is>
          <t>ORD-00158</t>
        </is>
      </c>
      <c r="B259" s="79" t="n">
        <v>45901</v>
      </c>
      <c r="C259" s="56" t="n">
        <v>2025</v>
      </c>
      <c r="D259" s="56" t="n">
        <v>9</v>
      </c>
      <c r="E259" s="56" t="inlineStr">
        <is>
          <t>Oman</t>
        </is>
      </c>
      <c r="F259" s="56" t="inlineStr">
        <is>
          <t>Muscat</t>
        </is>
      </c>
      <c r="G259" s="56" t="inlineStr">
        <is>
          <t>Google Ads</t>
        </is>
      </c>
      <c r="H259" s="56" t="inlineStr">
        <is>
          <t>Bundle Promo</t>
        </is>
      </c>
      <c r="I259" s="56" t="inlineStr">
        <is>
          <t>P010</t>
        </is>
      </c>
      <c r="J259" s="56" t="inlineStr">
        <is>
          <t>Smart Water Bottle</t>
        </is>
      </c>
      <c r="K259" s="56" t="inlineStr">
        <is>
          <t>Lifestyle</t>
        </is>
      </c>
      <c r="L259" s="56" t="inlineStr">
        <is>
          <t>Shenzhen Smart Home</t>
        </is>
      </c>
      <c r="M259" s="80" t="n">
        <v>30.45</v>
      </c>
      <c r="N259" s="80" t="n">
        <v>10.53</v>
      </c>
      <c r="O259" s="80" t="n">
        <v>4.45</v>
      </c>
      <c r="P259" s="80" t="n">
        <v>0.03</v>
      </c>
      <c r="Q259" s="80" t="n">
        <v>7.54</v>
      </c>
      <c r="R259" s="80" t="n">
        <v>2</v>
      </c>
      <c r="S259" s="80">
        <f>IF(AC259="Cancelled",0,M259*R259)</f>
        <v/>
      </c>
      <c r="T259" s="80">
        <f>IF(AC259="Cancelled",0,N259*R259)</f>
        <v/>
      </c>
      <c r="U259" s="80">
        <f>IF(AC259="Cancelled",0,O259*R259)</f>
        <v/>
      </c>
      <c r="V259" s="80">
        <f>IF(AC259="Cancelled",0,ROUND(P259*S259,2))</f>
        <v/>
      </c>
      <c r="W259" s="80" t="inlineStr">
        <is>
          <t>No</t>
        </is>
      </c>
      <c r="X259" s="80" t="n">
        <v>0</v>
      </c>
      <c r="Y259" s="80">
        <f>IF(AC259="Cancelled",0,T259+U259+V259+Q259+X259)</f>
        <v/>
      </c>
      <c r="Z259" s="80">
        <f>IF(AC259="Cancelled",-Q259,S259-Y259)</f>
        <v/>
      </c>
      <c r="AA259" s="81">
        <f>IF(OR(AC259="Cancelled",S259=0),0,Z259/S259)</f>
        <v/>
      </c>
      <c r="AB259" s="82">
        <f>IFERROR(S259/Q259,0)</f>
        <v/>
      </c>
      <c r="AC259" s="56" t="inlineStr">
        <is>
          <t>Delivered</t>
        </is>
      </c>
    </row>
    <row r="260" ht="14.25" customHeight="1" s="57">
      <c r="A260" s="56" t="inlineStr">
        <is>
          <t>ORD-00358</t>
        </is>
      </c>
      <c r="B260" s="79" t="n">
        <v>45901</v>
      </c>
      <c r="C260" s="56" t="n">
        <v>2025</v>
      </c>
      <c r="D260" s="56" t="n">
        <v>9</v>
      </c>
      <c r="E260" s="56" t="inlineStr">
        <is>
          <t>Qatar</t>
        </is>
      </c>
      <c r="F260" s="56" t="inlineStr">
        <is>
          <t>Doha</t>
        </is>
      </c>
      <c r="G260" s="56" t="inlineStr">
        <is>
          <t>TikTok Ads</t>
        </is>
      </c>
      <c r="H260" s="56" t="inlineStr">
        <is>
          <t>Retargeting</t>
        </is>
      </c>
      <c r="I260" s="56" t="inlineStr">
        <is>
          <t>P001</t>
        </is>
      </c>
      <c r="J260" s="56" t="inlineStr">
        <is>
          <t>Wireless Earbuds</t>
        </is>
      </c>
      <c r="K260" s="56" t="inlineStr">
        <is>
          <t>Electronics</t>
        </is>
      </c>
      <c r="L260" s="56" t="inlineStr">
        <is>
          <t>Shenzhen Audio Co.</t>
        </is>
      </c>
      <c r="M260" s="80" t="n">
        <v>37.27</v>
      </c>
      <c r="N260" s="80" t="n">
        <v>8.18</v>
      </c>
      <c r="O260" s="80" t="n">
        <v>4.56</v>
      </c>
      <c r="P260" s="80" t="n">
        <v>0.03</v>
      </c>
      <c r="Q260" s="80" t="n">
        <v>6.01</v>
      </c>
      <c r="R260" s="80" t="n">
        <v>1</v>
      </c>
      <c r="S260" s="80">
        <f>IF(AC260="Cancelled",0,M260*R260)</f>
        <v/>
      </c>
      <c r="T260" s="80">
        <f>IF(AC260="Cancelled",0,N260*R260)</f>
        <v/>
      </c>
      <c r="U260" s="80">
        <f>IF(AC260="Cancelled",0,O260*R260)</f>
        <v/>
      </c>
      <c r="V260" s="80">
        <f>IF(AC260="Cancelled",0,ROUND(P260*S260,2))</f>
        <v/>
      </c>
      <c r="W260" s="80" t="inlineStr">
        <is>
          <t>No</t>
        </is>
      </c>
      <c r="X260" s="80" t="n">
        <v>0</v>
      </c>
      <c r="Y260" s="80">
        <f>IF(AC260="Cancelled",0,T260+U260+V260+Q260+X260)</f>
        <v/>
      </c>
      <c r="Z260" s="80">
        <f>IF(AC260="Cancelled",-Q260,S260-Y260)</f>
        <v/>
      </c>
      <c r="AA260" s="81">
        <f>IF(OR(AC260="Cancelled",S260=0),0,Z260/S260)</f>
        <v/>
      </c>
      <c r="AB260" s="82">
        <f>IFERROR(S260/Q260,0)</f>
        <v/>
      </c>
      <c r="AC260" s="56" t="inlineStr">
        <is>
          <t>Delivered</t>
        </is>
      </c>
    </row>
    <row r="261" ht="14.25" customHeight="1" s="57">
      <c r="A261" s="56" t="inlineStr">
        <is>
          <t>ORD-00398</t>
        </is>
      </c>
      <c r="B261" s="79" t="n">
        <v>45901</v>
      </c>
      <c r="C261" s="56" t="n">
        <v>2025</v>
      </c>
      <c r="D261" s="56" t="n">
        <v>9</v>
      </c>
      <c r="E261" s="56" t="inlineStr">
        <is>
          <t>Qatar</t>
        </is>
      </c>
      <c r="F261" s="56" t="inlineStr">
        <is>
          <t>Doha</t>
        </is>
      </c>
      <c r="G261" s="56" t="inlineStr">
        <is>
          <t>Meta Ads</t>
        </is>
      </c>
      <c r="H261" s="56" t="inlineStr">
        <is>
          <t>Retargeting</t>
        </is>
      </c>
      <c r="I261" s="56" t="inlineStr">
        <is>
          <t>P008</t>
        </is>
      </c>
      <c r="J261" s="56" t="inlineStr">
        <is>
          <t>Portable Blender</t>
        </is>
      </c>
      <c r="K261" s="56" t="inlineStr">
        <is>
          <t>Kitchen</t>
        </is>
      </c>
      <c r="L261" s="56" t="inlineStr">
        <is>
          <t>Foshan Appliances</t>
        </is>
      </c>
      <c r="M261" s="80" t="n">
        <v>49.95</v>
      </c>
      <c r="N261" s="80" t="n">
        <v>15.96</v>
      </c>
      <c r="O261" s="80" t="n">
        <v>6.49</v>
      </c>
      <c r="P261" s="80" t="n">
        <v>0.03</v>
      </c>
      <c r="Q261" s="80" t="n">
        <v>10.36</v>
      </c>
      <c r="R261" s="80" t="n">
        <v>1</v>
      </c>
      <c r="S261" s="80">
        <f>IF(AC261="Cancelled",0,M261*R261)</f>
        <v/>
      </c>
      <c r="T261" s="80">
        <f>IF(AC261="Cancelled",0,N261*R261)</f>
        <v/>
      </c>
      <c r="U261" s="80">
        <f>IF(AC261="Cancelled",0,O261*R261)</f>
        <v/>
      </c>
      <c r="V261" s="80">
        <f>IF(AC261="Cancelled",0,ROUND(P261*S261,2))</f>
        <v/>
      </c>
      <c r="W261" s="80" t="inlineStr">
        <is>
          <t>No</t>
        </is>
      </c>
      <c r="X261" s="80" t="n">
        <v>0</v>
      </c>
      <c r="Y261" s="80">
        <f>IF(AC261="Cancelled",0,T261+U261+V261+Q261+X261)</f>
        <v/>
      </c>
      <c r="Z261" s="80">
        <f>IF(AC261="Cancelled",-Q261,S261-Y261)</f>
        <v/>
      </c>
      <c r="AA261" s="81">
        <f>IF(OR(AC261="Cancelled",S261=0),0,Z261/S261)</f>
        <v/>
      </c>
      <c r="AB261" s="82">
        <f>IFERROR(S261/Q261,0)</f>
        <v/>
      </c>
      <c r="AC261" s="56" t="inlineStr">
        <is>
          <t>Delivered</t>
        </is>
      </c>
    </row>
    <row r="262" ht="14.25" customHeight="1" s="57">
      <c r="A262" s="56" t="inlineStr">
        <is>
          <t>ORD-00043</t>
        </is>
      </c>
      <c r="B262" s="79" t="n">
        <v>45902</v>
      </c>
      <c r="C262" s="56" t="n">
        <v>2025</v>
      </c>
      <c r="D262" s="56" t="n">
        <v>9</v>
      </c>
      <c r="E262" s="56" t="inlineStr">
        <is>
          <t>Oman</t>
        </is>
      </c>
      <c r="F262" s="56" t="inlineStr">
        <is>
          <t>Muscat</t>
        </is>
      </c>
      <c r="G262" s="56" t="inlineStr">
        <is>
          <t>TikTok Ads</t>
        </is>
      </c>
      <c r="H262" s="56" t="inlineStr">
        <is>
          <t>Retargeting</t>
        </is>
      </c>
      <c r="I262" s="56" t="inlineStr">
        <is>
          <t>P005</t>
        </is>
      </c>
      <c r="J262" s="56" t="inlineStr">
        <is>
          <t>Mini Printer</t>
        </is>
      </c>
      <c r="K262" s="56" t="inlineStr">
        <is>
          <t>Electronics</t>
        </is>
      </c>
      <c r="L262" s="56" t="inlineStr">
        <is>
          <t>Shenzhen Print Tech</t>
        </is>
      </c>
      <c r="M262" s="80" t="n">
        <v>54.36</v>
      </c>
      <c r="N262" s="80" t="n">
        <v>22.64</v>
      </c>
      <c r="O262" s="80" t="n">
        <v>7.09</v>
      </c>
      <c r="P262" s="80" t="n">
        <v>0.03</v>
      </c>
      <c r="Q262" s="80" t="n">
        <v>19.09</v>
      </c>
      <c r="R262" s="80" t="n">
        <v>2</v>
      </c>
      <c r="S262" s="80">
        <f>IF(AC262="Cancelled",0,M262*R262)</f>
        <v/>
      </c>
      <c r="T262" s="80">
        <f>IF(AC262="Cancelled",0,N262*R262)</f>
        <v/>
      </c>
      <c r="U262" s="80">
        <f>IF(AC262="Cancelled",0,O262*R262)</f>
        <v/>
      </c>
      <c r="V262" s="80">
        <f>IF(AC262="Cancelled",0,ROUND(P262*S262,2))</f>
        <v/>
      </c>
      <c r="W262" s="80" t="inlineStr">
        <is>
          <t>No</t>
        </is>
      </c>
      <c r="X262" s="80" t="n">
        <v>0</v>
      </c>
      <c r="Y262" s="80">
        <f>IF(AC262="Cancelled",0,T262+U262+V262+Q262+X262)</f>
        <v/>
      </c>
      <c r="Z262" s="80">
        <f>IF(AC262="Cancelled",-Q262,S262-Y262)</f>
        <v/>
      </c>
      <c r="AA262" s="81">
        <f>IF(OR(AC262="Cancelled",S262=0),0,Z262/S262)</f>
        <v/>
      </c>
      <c r="AB262" s="82">
        <f>IFERROR(S262/Q262,0)</f>
        <v/>
      </c>
      <c r="AC262" s="56" t="inlineStr">
        <is>
          <t>Delivered</t>
        </is>
      </c>
    </row>
    <row r="263" ht="14.25" customHeight="1" s="57">
      <c r="A263" s="56" t="inlineStr">
        <is>
          <t>ORD-00360</t>
        </is>
      </c>
      <c r="B263" s="79" t="n">
        <v>45904</v>
      </c>
      <c r="C263" s="56" t="n">
        <v>2025</v>
      </c>
      <c r="D263" s="56" t="n">
        <v>9</v>
      </c>
      <c r="E263" s="56" t="inlineStr">
        <is>
          <t>Qatar</t>
        </is>
      </c>
      <c r="F263" s="56" t="inlineStr">
        <is>
          <t>Doha</t>
        </is>
      </c>
      <c r="G263" s="56" t="inlineStr">
        <is>
          <t>Meta Ads</t>
        </is>
      </c>
      <c r="H263" s="56" t="inlineStr">
        <is>
          <t>New Creative A/B</t>
        </is>
      </c>
      <c r="I263" s="56" t="inlineStr">
        <is>
          <t>P010</t>
        </is>
      </c>
      <c r="J263" s="56" t="inlineStr">
        <is>
          <t>Smart Water Bottle</t>
        </is>
      </c>
      <c r="K263" s="56" t="inlineStr">
        <is>
          <t>Lifestyle</t>
        </is>
      </c>
      <c r="L263" s="56" t="inlineStr">
        <is>
          <t>Shenzhen Smart Home</t>
        </is>
      </c>
      <c r="M263" s="80" t="n">
        <v>34.96</v>
      </c>
      <c r="N263" s="80" t="n">
        <v>9.94</v>
      </c>
      <c r="O263" s="80" t="n">
        <v>4.11</v>
      </c>
      <c r="P263" s="80" t="n">
        <v>0.03</v>
      </c>
      <c r="Q263" s="80" t="n">
        <v>8.550000000000001</v>
      </c>
      <c r="R263" s="80" t="n">
        <v>1</v>
      </c>
      <c r="S263" s="80">
        <f>IF(AC263="Cancelled",0,M263*R263)</f>
        <v/>
      </c>
      <c r="T263" s="80">
        <f>IF(AC263="Cancelled",0,N263*R263)</f>
        <v/>
      </c>
      <c r="U263" s="80">
        <f>IF(AC263="Cancelled",0,O263*R263)</f>
        <v/>
      </c>
      <c r="V263" s="80">
        <f>IF(AC263="Cancelled",0,ROUND(P263*S263,2))</f>
        <v/>
      </c>
      <c r="W263" s="80" t="inlineStr">
        <is>
          <t>No</t>
        </is>
      </c>
      <c r="X263" s="80" t="n">
        <v>0</v>
      </c>
      <c r="Y263" s="80">
        <f>IF(AC263="Cancelled",0,T263+U263+V263+Q263+X263)</f>
        <v/>
      </c>
      <c r="Z263" s="80">
        <f>IF(AC263="Cancelled",-Q263,S263-Y263)</f>
        <v/>
      </c>
      <c r="AA263" s="81">
        <f>IF(OR(AC263="Cancelled",S263=0),0,Z263/S263)</f>
        <v/>
      </c>
      <c r="AB263" s="82">
        <f>IFERROR(S263/Q263,0)</f>
        <v/>
      </c>
      <c r="AC263" s="56" t="inlineStr">
        <is>
          <t>Delivered</t>
        </is>
      </c>
    </row>
    <row r="264" ht="14.25" customHeight="1" s="57">
      <c r="A264" s="56" t="inlineStr">
        <is>
          <t>ORD-00460</t>
        </is>
      </c>
      <c r="B264" s="79" t="n">
        <v>45904</v>
      </c>
      <c r="C264" s="56" t="n">
        <v>2025</v>
      </c>
      <c r="D264" s="56" t="n">
        <v>9</v>
      </c>
      <c r="E264" s="56" t="inlineStr">
        <is>
          <t>Saudi Arabia</t>
        </is>
      </c>
      <c r="F264" s="56" t="inlineStr">
        <is>
          <t>Riyadh</t>
        </is>
      </c>
      <c r="G264" s="56" t="inlineStr">
        <is>
          <t>TikTok Ads</t>
        </is>
      </c>
      <c r="H264" s="56" t="inlineStr">
        <is>
          <t>Summer Sale</t>
        </is>
      </c>
      <c r="I264" s="56" t="inlineStr">
        <is>
          <t>P003</t>
        </is>
      </c>
      <c r="J264" s="56" t="inlineStr">
        <is>
          <t>LED Strip Lights</t>
        </is>
      </c>
      <c r="K264" s="56" t="inlineStr">
        <is>
          <t>Home Decor</t>
        </is>
      </c>
      <c r="L264" s="56" t="inlineStr">
        <is>
          <t>Yiwu Lighting Factory</t>
        </is>
      </c>
      <c r="M264" s="80" t="n">
        <v>23.18</v>
      </c>
      <c r="N264" s="80" t="n">
        <v>6.03</v>
      </c>
      <c r="O264" s="80" t="n">
        <v>3.96</v>
      </c>
      <c r="P264" s="80" t="n">
        <v>0.03</v>
      </c>
      <c r="Q264" s="80" t="n">
        <v>7.31</v>
      </c>
      <c r="R264" s="80" t="n">
        <v>1</v>
      </c>
      <c r="S264" s="80">
        <f>IF(AC264="Cancelled",0,M264*R264)</f>
        <v/>
      </c>
      <c r="T264" s="80">
        <f>IF(AC264="Cancelled",0,N264*R264)</f>
        <v/>
      </c>
      <c r="U264" s="80">
        <f>IF(AC264="Cancelled",0,O264*R264)</f>
        <v/>
      </c>
      <c r="V264" s="80">
        <f>IF(AC264="Cancelled",0,ROUND(P264*S264,2))</f>
        <v/>
      </c>
      <c r="W264" s="80" t="inlineStr">
        <is>
          <t>Yes</t>
        </is>
      </c>
      <c r="X264" s="80" t="n">
        <v>15.71</v>
      </c>
      <c r="Y264" s="80">
        <f>IF(AC264="Cancelled",0,T264+U264+V264+Q264+X264)</f>
        <v/>
      </c>
      <c r="Z264" s="80">
        <f>IF(AC264="Cancelled",-Q264,S264-Y264)</f>
        <v/>
      </c>
      <c r="AA264" s="81">
        <f>IF(OR(AC264="Cancelled",S264=0),0,Z264/S264)</f>
        <v/>
      </c>
      <c r="AB264" s="82">
        <f>IFERROR(S264/Q264,0)</f>
        <v/>
      </c>
      <c r="AC264" s="56" t="inlineStr">
        <is>
          <t>Refunded</t>
        </is>
      </c>
    </row>
    <row r="265" ht="14.25" customHeight="1" s="57">
      <c r="A265" s="56" t="inlineStr">
        <is>
          <t>ORD-00052</t>
        </is>
      </c>
      <c r="B265" s="79" t="n">
        <v>45906</v>
      </c>
      <c r="C265" s="56" t="n">
        <v>2025</v>
      </c>
      <c r="D265" s="56" t="n">
        <v>9</v>
      </c>
      <c r="E265" s="56" t="inlineStr">
        <is>
          <t>Qatar</t>
        </is>
      </c>
      <c r="F265" s="56" t="inlineStr">
        <is>
          <t>Doha</t>
        </is>
      </c>
      <c r="G265" s="56" t="inlineStr">
        <is>
          <t>TikTok Ads</t>
        </is>
      </c>
      <c r="H265" s="56" t="inlineStr">
        <is>
          <t>Summer Sale</t>
        </is>
      </c>
      <c r="I265" s="56" t="inlineStr">
        <is>
          <t>P007</t>
        </is>
      </c>
      <c r="J265" s="56" t="inlineStr">
        <is>
          <t>Pet Grooming Glove</t>
        </is>
      </c>
      <c r="K265" s="56" t="inlineStr">
        <is>
          <t>Pets</t>
        </is>
      </c>
      <c r="L265" s="56" t="inlineStr">
        <is>
          <t>Yiwu Pet Products</t>
        </is>
      </c>
      <c r="M265" s="80" t="n">
        <v>20.2</v>
      </c>
      <c r="N265" s="80" t="n">
        <v>3.68</v>
      </c>
      <c r="O265" s="80" t="n">
        <v>2.8</v>
      </c>
      <c r="P265" s="80" t="n">
        <v>0.03</v>
      </c>
      <c r="Q265" s="80" t="n">
        <v>1.46</v>
      </c>
      <c r="R265" s="80" t="n">
        <v>1</v>
      </c>
      <c r="S265" s="80">
        <f>IF(AC265="Cancelled",0,M265*R265)</f>
        <v/>
      </c>
      <c r="T265" s="80">
        <f>IF(AC265="Cancelled",0,N265*R265)</f>
        <v/>
      </c>
      <c r="U265" s="80">
        <f>IF(AC265="Cancelled",0,O265*R265)</f>
        <v/>
      </c>
      <c r="V265" s="80">
        <f>IF(AC265="Cancelled",0,ROUND(P265*S265,2))</f>
        <v/>
      </c>
      <c r="W265" s="80" t="inlineStr">
        <is>
          <t>No</t>
        </is>
      </c>
      <c r="X265" s="80" t="n">
        <v>0</v>
      </c>
      <c r="Y265" s="80">
        <f>IF(AC265="Cancelled",0,T265+U265+V265+Q265+X265)</f>
        <v/>
      </c>
      <c r="Z265" s="80">
        <f>IF(AC265="Cancelled",-Q265,S265-Y265)</f>
        <v/>
      </c>
      <c r="AA265" s="81">
        <f>IF(OR(AC265="Cancelled",S265=0),0,Z265/S265)</f>
        <v/>
      </c>
      <c r="AB265" s="82">
        <f>IFERROR(S265/Q265,0)</f>
        <v/>
      </c>
      <c r="AC265" s="56" t="inlineStr">
        <is>
          <t>Delivered</t>
        </is>
      </c>
    </row>
    <row r="266" ht="14.25" customHeight="1" s="57">
      <c r="A266" s="56" t="inlineStr">
        <is>
          <t>ORD-00213</t>
        </is>
      </c>
      <c r="B266" s="79" t="n">
        <v>45906</v>
      </c>
      <c r="C266" s="56" t="n">
        <v>2025</v>
      </c>
      <c r="D266" s="56" t="n">
        <v>9</v>
      </c>
      <c r="E266" s="56" t="inlineStr">
        <is>
          <t>Saudi Arabia</t>
        </is>
      </c>
      <c r="F266" s="56" t="inlineStr">
        <is>
          <t>Riyadh</t>
        </is>
      </c>
      <c r="G266" s="56" t="inlineStr">
        <is>
          <t>Influencer</t>
        </is>
      </c>
      <c r="H266" s="56" t="inlineStr">
        <is>
          <t>Summer Sale</t>
        </is>
      </c>
      <c r="I266" s="56" t="inlineStr">
        <is>
          <t>P007</t>
        </is>
      </c>
      <c r="J266" s="56" t="inlineStr">
        <is>
          <t>Pet Grooming Glove</t>
        </is>
      </c>
      <c r="K266" s="56" t="inlineStr">
        <is>
          <t>Pets</t>
        </is>
      </c>
      <c r="L266" s="56" t="inlineStr">
        <is>
          <t>Yiwu Pet Products</t>
        </is>
      </c>
      <c r="M266" s="80" t="n">
        <v>21.42</v>
      </c>
      <c r="N266" s="80" t="n">
        <v>3.74</v>
      </c>
      <c r="O266" s="80" t="n">
        <v>2.71</v>
      </c>
      <c r="P266" s="80" t="n">
        <v>0.03</v>
      </c>
      <c r="Q266" s="80" t="n">
        <v>7.95</v>
      </c>
      <c r="R266" s="80" t="n">
        <v>1</v>
      </c>
      <c r="S266" s="80">
        <f>IF(AC266="Cancelled",0,M266*R266)</f>
        <v/>
      </c>
      <c r="T266" s="80">
        <f>IF(AC266="Cancelled",0,N266*R266)</f>
        <v/>
      </c>
      <c r="U266" s="80">
        <f>IF(AC266="Cancelled",0,O266*R266)</f>
        <v/>
      </c>
      <c r="V266" s="80">
        <f>IF(AC266="Cancelled",0,ROUND(P266*S266,2))</f>
        <v/>
      </c>
      <c r="W266" s="80" t="inlineStr">
        <is>
          <t>No</t>
        </is>
      </c>
      <c r="X266" s="80" t="n">
        <v>0</v>
      </c>
      <c r="Y266" s="80">
        <f>IF(AC266="Cancelled",0,T266+U266+V266+Q266+X266)</f>
        <v/>
      </c>
      <c r="Z266" s="80">
        <f>IF(AC266="Cancelled",-Q266,S266-Y266)</f>
        <v/>
      </c>
      <c r="AA266" s="81">
        <f>IF(OR(AC266="Cancelled",S266=0),0,Z266/S266)</f>
        <v/>
      </c>
      <c r="AB266" s="82">
        <f>IFERROR(S266/Q266,0)</f>
        <v/>
      </c>
      <c r="AC266" s="56" t="inlineStr">
        <is>
          <t>Delivered</t>
        </is>
      </c>
    </row>
    <row r="267" ht="14.25" customHeight="1" s="57">
      <c r="A267" s="56" t="inlineStr">
        <is>
          <t>ORD-00225</t>
        </is>
      </c>
      <c r="B267" s="79" t="n">
        <v>45906</v>
      </c>
      <c r="C267" s="56" t="n">
        <v>2025</v>
      </c>
      <c r="D267" s="56" t="n">
        <v>9</v>
      </c>
      <c r="E267" s="56" t="inlineStr">
        <is>
          <t>UAE</t>
        </is>
      </c>
      <c r="F267" s="56" t="inlineStr">
        <is>
          <t>Dubai</t>
        </is>
      </c>
      <c r="G267" s="56" t="inlineStr">
        <is>
          <t>TikTok Ads</t>
        </is>
      </c>
      <c r="H267" s="56" t="inlineStr">
        <is>
          <t>Bundle Promo</t>
        </is>
      </c>
      <c r="I267" s="56" t="inlineStr">
        <is>
          <t>P007</t>
        </is>
      </c>
      <c r="J267" s="56" t="inlineStr">
        <is>
          <t>Pet Grooming Glove</t>
        </is>
      </c>
      <c r="K267" s="56" t="inlineStr">
        <is>
          <t>Pets</t>
        </is>
      </c>
      <c r="L267" s="56" t="inlineStr">
        <is>
          <t>Yiwu Pet Products</t>
        </is>
      </c>
      <c r="M267" s="80" t="n">
        <v>21.92</v>
      </c>
      <c r="N267" s="80" t="n">
        <v>3.56</v>
      </c>
      <c r="O267" s="80" t="n">
        <v>2.55</v>
      </c>
      <c r="P267" s="80" t="n">
        <v>0.03</v>
      </c>
      <c r="Q267" s="80" t="n">
        <v>5.74</v>
      </c>
      <c r="R267" s="80" t="n">
        <v>1</v>
      </c>
      <c r="S267" s="80">
        <f>IF(AC267="Cancelled",0,M267*R267)</f>
        <v/>
      </c>
      <c r="T267" s="80">
        <f>IF(AC267="Cancelled",0,N267*R267)</f>
        <v/>
      </c>
      <c r="U267" s="80">
        <f>IF(AC267="Cancelled",0,O267*R267)</f>
        <v/>
      </c>
      <c r="V267" s="80">
        <f>IF(AC267="Cancelled",0,ROUND(P267*S267,2))</f>
        <v/>
      </c>
      <c r="W267" s="80" t="inlineStr">
        <is>
          <t>No</t>
        </is>
      </c>
      <c r="X267" s="80" t="n">
        <v>0</v>
      </c>
      <c r="Y267" s="80">
        <f>IF(AC267="Cancelled",0,T267+U267+V267+Q267+X267)</f>
        <v/>
      </c>
      <c r="Z267" s="80">
        <f>IF(AC267="Cancelled",-Q267,S267-Y267)</f>
        <v/>
      </c>
      <c r="AA267" s="81">
        <f>IF(OR(AC267="Cancelled",S267=0),0,Z267/S267)</f>
        <v/>
      </c>
      <c r="AB267" s="82">
        <f>IFERROR(S267/Q267,0)</f>
        <v/>
      </c>
      <c r="AC267" s="56" t="inlineStr">
        <is>
          <t>Delivered</t>
        </is>
      </c>
    </row>
    <row r="268" ht="14.25" customHeight="1" s="57">
      <c r="A268" s="56" t="inlineStr">
        <is>
          <t>ORD-00329</t>
        </is>
      </c>
      <c r="B268" s="79" t="n">
        <v>45906</v>
      </c>
      <c r="C268" s="56" t="n">
        <v>2025</v>
      </c>
      <c r="D268" s="56" t="n">
        <v>9</v>
      </c>
      <c r="E268" s="56" t="inlineStr">
        <is>
          <t>Saudi Arabia</t>
        </is>
      </c>
      <c r="F268" s="56" t="inlineStr">
        <is>
          <t>Jeddah</t>
        </is>
      </c>
      <c r="G268" s="56" t="inlineStr">
        <is>
          <t>Organic Search</t>
        </is>
      </c>
      <c r="H268" s="56" t="inlineStr">
        <is>
          <t>Summer Sale</t>
        </is>
      </c>
      <c r="I268" s="56" t="inlineStr">
        <is>
          <t>P007</t>
        </is>
      </c>
      <c r="J268" s="56" t="inlineStr">
        <is>
          <t>Pet Grooming Glove</t>
        </is>
      </c>
      <c r="K268" s="56" t="inlineStr">
        <is>
          <t>Pets</t>
        </is>
      </c>
      <c r="L268" s="56" t="inlineStr">
        <is>
          <t>Yiwu Pet Products</t>
        </is>
      </c>
      <c r="M268" s="80" t="n">
        <v>20.17</v>
      </c>
      <c r="N268" s="80" t="n">
        <v>3.6</v>
      </c>
      <c r="O268" s="80" t="n">
        <v>2.75</v>
      </c>
      <c r="P268" s="80" t="n">
        <v>0.03</v>
      </c>
      <c r="Q268" s="80" t="n">
        <v>0</v>
      </c>
      <c r="R268" s="80" t="n">
        <v>1</v>
      </c>
      <c r="S268" s="80">
        <f>IF(AC268="Cancelled",0,M268*R268)</f>
        <v/>
      </c>
      <c r="T268" s="80">
        <f>IF(AC268="Cancelled",0,N268*R268)</f>
        <v/>
      </c>
      <c r="U268" s="80">
        <f>IF(AC268="Cancelled",0,O268*R268)</f>
        <v/>
      </c>
      <c r="V268" s="80">
        <f>IF(AC268="Cancelled",0,ROUND(P268*S268,2))</f>
        <v/>
      </c>
      <c r="W268" s="80" t="inlineStr">
        <is>
          <t>No</t>
        </is>
      </c>
      <c r="X268" s="80" t="n">
        <v>0</v>
      </c>
      <c r="Y268" s="80">
        <f>IF(AC268="Cancelled",0,T268+U268+V268+Q268+X268)</f>
        <v/>
      </c>
      <c r="Z268" s="80">
        <f>IF(AC268="Cancelled",-Q268,S268-Y268)</f>
        <v/>
      </c>
      <c r="AA268" s="81">
        <f>IF(OR(AC268="Cancelled",S268=0),0,Z268/S268)</f>
        <v/>
      </c>
      <c r="AB268" s="82">
        <f>IFERROR(S268/Q268,0)</f>
        <v/>
      </c>
      <c r="AC268" s="56" t="inlineStr">
        <is>
          <t>Delivered</t>
        </is>
      </c>
    </row>
    <row r="269" ht="14.25" customHeight="1" s="57">
      <c r="A269" s="56" t="inlineStr">
        <is>
          <t>ORD-00423</t>
        </is>
      </c>
      <c r="B269" s="79" t="n">
        <v>45906</v>
      </c>
      <c r="C269" s="56" t="n">
        <v>2025</v>
      </c>
      <c r="D269" s="56" t="n">
        <v>9</v>
      </c>
      <c r="E269" s="56" t="inlineStr">
        <is>
          <t>UAE</t>
        </is>
      </c>
      <c r="F269" s="56" t="inlineStr">
        <is>
          <t>Abu Dhabi</t>
        </is>
      </c>
      <c r="G269" s="56" t="inlineStr">
        <is>
          <t>TikTok Ads</t>
        </is>
      </c>
      <c r="H269" s="56" t="inlineStr">
        <is>
          <t>Bundle Promo</t>
        </is>
      </c>
      <c r="I269" s="56" t="inlineStr">
        <is>
          <t>P003</t>
        </is>
      </c>
      <c r="J269" s="56" t="inlineStr">
        <is>
          <t>LED Strip Lights</t>
        </is>
      </c>
      <c r="K269" s="56" t="inlineStr">
        <is>
          <t>Home Decor</t>
        </is>
      </c>
      <c r="L269" s="56" t="inlineStr">
        <is>
          <t>Yiwu Lighting Factory</t>
        </is>
      </c>
      <c r="M269" s="80" t="n">
        <v>26.1</v>
      </c>
      <c r="N269" s="80" t="n">
        <v>6.45</v>
      </c>
      <c r="O269" s="80" t="n">
        <v>3.31</v>
      </c>
      <c r="P269" s="80" t="n">
        <v>0.03</v>
      </c>
      <c r="Q269" s="80" t="n">
        <v>10.19</v>
      </c>
      <c r="R269" s="80" t="n">
        <v>1</v>
      </c>
      <c r="S269" s="80">
        <f>IF(AC269="Cancelled",0,M269*R269)</f>
        <v/>
      </c>
      <c r="T269" s="80">
        <f>IF(AC269="Cancelled",0,N269*R269)</f>
        <v/>
      </c>
      <c r="U269" s="80">
        <f>IF(AC269="Cancelled",0,O269*R269)</f>
        <v/>
      </c>
      <c r="V269" s="80">
        <f>IF(AC269="Cancelled",0,ROUND(P269*S269,2))</f>
        <v/>
      </c>
      <c r="W269" s="80" t="inlineStr">
        <is>
          <t>No</t>
        </is>
      </c>
      <c r="X269" s="80" t="n">
        <v>0</v>
      </c>
      <c r="Y269" s="80">
        <f>IF(AC269="Cancelled",0,T269+U269+V269+Q269+X269)</f>
        <v/>
      </c>
      <c r="Z269" s="80">
        <f>IF(AC269="Cancelled",-Q269,S269-Y269)</f>
        <v/>
      </c>
      <c r="AA269" s="81">
        <f>IF(OR(AC269="Cancelled",S269=0),0,Z269/S269)</f>
        <v/>
      </c>
      <c r="AB269" s="82">
        <f>IFERROR(S269/Q269,0)</f>
        <v/>
      </c>
      <c r="AC269" s="56" t="inlineStr">
        <is>
          <t>Delivered</t>
        </is>
      </c>
    </row>
    <row r="270" ht="14.25" customHeight="1" s="57">
      <c r="A270" s="56" t="inlineStr">
        <is>
          <t>ORD-00002</t>
        </is>
      </c>
      <c r="B270" s="79" t="n">
        <v>45908</v>
      </c>
      <c r="C270" s="56" t="n">
        <v>2025</v>
      </c>
      <c r="D270" s="56" t="n">
        <v>9</v>
      </c>
      <c r="E270" s="56" t="inlineStr">
        <is>
          <t>Saudi Arabia</t>
        </is>
      </c>
      <c r="F270" s="56" t="inlineStr">
        <is>
          <t>Riyadh</t>
        </is>
      </c>
      <c r="G270" s="56" t="inlineStr">
        <is>
          <t>Email</t>
        </is>
      </c>
      <c r="H270" s="56" t="inlineStr">
        <is>
          <t>Bundle Promo</t>
        </is>
      </c>
      <c r="I270" s="56" t="inlineStr">
        <is>
          <t>P006</t>
        </is>
      </c>
      <c r="J270" s="56" t="inlineStr">
        <is>
          <t>Posture Corrector</t>
        </is>
      </c>
      <c r="K270" s="56" t="inlineStr">
        <is>
          <t>Fitness</t>
        </is>
      </c>
      <c r="L270" s="56" t="inlineStr">
        <is>
          <t>Hangzhou Health Gear</t>
        </is>
      </c>
      <c r="M270" s="80" t="n">
        <v>34.27</v>
      </c>
      <c r="N270" s="80" t="n">
        <v>9.039999999999999</v>
      </c>
      <c r="O270" s="80" t="n">
        <v>3.74</v>
      </c>
      <c r="P270" s="80" t="n">
        <v>0.03</v>
      </c>
      <c r="Q270" s="80" t="n">
        <v>4.37</v>
      </c>
      <c r="R270" s="80" t="n">
        <v>1</v>
      </c>
      <c r="S270" s="80">
        <f>IF(AC270="Cancelled",0,M270*R270)</f>
        <v/>
      </c>
      <c r="T270" s="80">
        <f>IF(AC270="Cancelled",0,N270*R270)</f>
        <v/>
      </c>
      <c r="U270" s="80">
        <f>IF(AC270="Cancelled",0,O270*R270)</f>
        <v/>
      </c>
      <c r="V270" s="80">
        <f>IF(AC270="Cancelled",0,ROUND(P270*S270,2))</f>
        <v/>
      </c>
      <c r="W270" s="80" t="inlineStr">
        <is>
          <t>No</t>
        </is>
      </c>
      <c r="X270" s="80" t="n">
        <v>0</v>
      </c>
      <c r="Y270" s="80">
        <f>IF(AC270="Cancelled",0,T270+U270+V270+Q270+X270)</f>
        <v/>
      </c>
      <c r="Z270" s="80">
        <f>IF(AC270="Cancelled",-Q270,S270-Y270)</f>
        <v/>
      </c>
      <c r="AA270" s="81">
        <f>IF(OR(AC270="Cancelled",S270=0),0,Z270/S270)</f>
        <v/>
      </c>
      <c r="AB270" s="82">
        <f>IFERROR(S270/Q270,0)</f>
        <v/>
      </c>
      <c r="AC270" s="56" t="inlineStr">
        <is>
          <t>Delivered</t>
        </is>
      </c>
    </row>
    <row r="271" ht="14.25" customHeight="1" s="57">
      <c r="A271" s="56" t="inlineStr">
        <is>
          <t>ORD-00064</t>
        </is>
      </c>
      <c r="B271" s="79" t="n">
        <v>45908</v>
      </c>
      <c r="C271" s="56" t="n">
        <v>2025</v>
      </c>
      <c r="D271" s="56" t="n">
        <v>9</v>
      </c>
      <c r="E271" s="56" t="inlineStr">
        <is>
          <t>UAE</t>
        </is>
      </c>
      <c r="F271" s="56" t="inlineStr">
        <is>
          <t>Abu Dhabi</t>
        </is>
      </c>
      <c r="G271" s="56" t="inlineStr">
        <is>
          <t>TikTok Ads</t>
        </is>
      </c>
      <c r="H271" s="56" t="inlineStr">
        <is>
          <t>Bundle Promo</t>
        </is>
      </c>
      <c r="I271" s="56" t="inlineStr">
        <is>
          <t>P002</t>
        </is>
      </c>
      <c r="J271" s="56" t="inlineStr">
        <is>
          <t>Phone Case</t>
        </is>
      </c>
      <c r="K271" s="56" t="inlineStr">
        <is>
          <t>Accessories</t>
        </is>
      </c>
      <c r="L271" s="56" t="inlineStr">
        <is>
          <t>Guangzhou Cases Ltd.</t>
        </is>
      </c>
      <c r="M271" s="80" t="n">
        <v>14.05</v>
      </c>
      <c r="N271" s="80" t="n">
        <v>2.01</v>
      </c>
      <c r="O271" s="80" t="n">
        <v>2.15</v>
      </c>
      <c r="P271" s="80" t="n">
        <v>0.03</v>
      </c>
      <c r="Q271" s="80" t="n">
        <v>8.44</v>
      </c>
      <c r="R271" s="80" t="n">
        <v>3</v>
      </c>
      <c r="S271" s="80">
        <f>IF(AC271="Cancelled",0,M271*R271)</f>
        <v/>
      </c>
      <c r="T271" s="80">
        <f>IF(AC271="Cancelled",0,N271*R271)</f>
        <v/>
      </c>
      <c r="U271" s="80">
        <f>IF(AC271="Cancelled",0,O271*R271)</f>
        <v/>
      </c>
      <c r="V271" s="80">
        <f>IF(AC271="Cancelled",0,ROUND(P271*S271,2))</f>
        <v/>
      </c>
      <c r="W271" s="80" t="inlineStr">
        <is>
          <t>No</t>
        </is>
      </c>
      <c r="X271" s="80" t="n">
        <v>0</v>
      </c>
      <c r="Y271" s="80">
        <f>IF(AC271="Cancelled",0,T271+U271+V271+Q271+X271)</f>
        <v/>
      </c>
      <c r="Z271" s="80">
        <f>IF(AC271="Cancelled",-Q271,S271-Y271)</f>
        <v/>
      </c>
      <c r="AA271" s="81">
        <f>IF(OR(AC271="Cancelled",S271=0),0,Z271/S271)</f>
        <v/>
      </c>
      <c r="AB271" s="82">
        <f>IFERROR(S271/Q271,0)</f>
        <v/>
      </c>
      <c r="AC271" s="56" t="inlineStr">
        <is>
          <t>Delivered</t>
        </is>
      </c>
    </row>
    <row r="272" ht="14.25" customHeight="1" s="57">
      <c r="A272" s="56" t="inlineStr">
        <is>
          <t>ORD-00143</t>
        </is>
      </c>
      <c r="B272" s="79" t="n">
        <v>45908</v>
      </c>
      <c r="C272" s="56" t="n">
        <v>2025</v>
      </c>
      <c r="D272" s="56" t="n">
        <v>9</v>
      </c>
      <c r="E272" s="56" t="inlineStr">
        <is>
          <t>UAE</t>
        </is>
      </c>
      <c r="F272" s="56" t="inlineStr">
        <is>
          <t>Dubai</t>
        </is>
      </c>
      <c r="G272" s="56" t="inlineStr">
        <is>
          <t>Google Ads</t>
        </is>
      </c>
      <c r="H272" s="56" t="inlineStr">
        <is>
          <t>Summer Sale</t>
        </is>
      </c>
      <c r="I272" s="56" t="inlineStr">
        <is>
          <t>P004</t>
        </is>
      </c>
      <c r="J272" s="56" t="inlineStr">
        <is>
          <t>Beauty Tool</t>
        </is>
      </c>
      <c r="K272" s="56" t="inlineStr">
        <is>
          <t>Beauty</t>
        </is>
      </c>
      <c r="L272" s="56" t="inlineStr">
        <is>
          <t>Ningbo Beauty Supply</t>
        </is>
      </c>
      <c r="M272" s="80" t="n">
        <v>29.77</v>
      </c>
      <c r="N272" s="80" t="n">
        <v>7.29</v>
      </c>
      <c r="O272" s="80" t="n">
        <v>4.88</v>
      </c>
      <c r="P272" s="80" t="n">
        <v>0.03</v>
      </c>
      <c r="Q272" s="80" t="n">
        <v>9.27</v>
      </c>
      <c r="R272" s="80" t="n">
        <v>1</v>
      </c>
      <c r="S272" s="80">
        <f>IF(AC272="Cancelled",0,M272*R272)</f>
        <v/>
      </c>
      <c r="T272" s="80">
        <f>IF(AC272="Cancelled",0,N272*R272)</f>
        <v/>
      </c>
      <c r="U272" s="80">
        <f>IF(AC272="Cancelled",0,O272*R272)</f>
        <v/>
      </c>
      <c r="V272" s="80">
        <f>IF(AC272="Cancelled",0,ROUND(P272*S272,2))</f>
        <v/>
      </c>
      <c r="W272" s="80" t="inlineStr">
        <is>
          <t>No</t>
        </is>
      </c>
      <c r="X272" s="80" t="n">
        <v>0</v>
      </c>
      <c r="Y272" s="80">
        <f>IF(AC272="Cancelled",0,T272+U272+V272+Q272+X272)</f>
        <v/>
      </c>
      <c r="Z272" s="80">
        <f>IF(AC272="Cancelled",-Q272,S272-Y272)</f>
        <v/>
      </c>
      <c r="AA272" s="81">
        <f>IF(OR(AC272="Cancelled",S272=0),0,Z272/S272)</f>
        <v/>
      </c>
      <c r="AB272" s="82">
        <f>IFERROR(S272/Q272,0)</f>
        <v/>
      </c>
      <c r="AC272" s="56" t="inlineStr">
        <is>
          <t>Delivered</t>
        </is>
      </c>
    </row>
    <row r="273" ht="14.25" customHeight="1" s="57">
      <c r="A273" s="56" t="inlineStr">
        <is>
          <t>ORD-00291</t>
        </is>
      </c>
      <c r="B273" s="79" t="n">
        <v>45908</v>
      </c>
      <c r="C273" s="56" t="n">
        <v>2025</v>
      </c>
      <c r="D273" s="56" t="n">
        <v>9</v>
      </c>
      <c r="E273" s="56" t="inlineStr">
        <is>
          <t>UAE</t>
        </is>
      </c>
      <c r="F273" s="56" t="inlineStr">
        <is>
          <t>Sharjah</t>
        </is>
      </c>
      <c r="G273" s="56" t="inlineStr">
        <is>
          <t>Meta Ads</t>
        </is>
      </c>
      <c r="H273" s="56" t="inlineStr">
        <is>
          <t>New Creative A/B</t>
        </is>
      </c>
      <c r="I273" s="56" t="inlineStr">
        <is>
          <t>P008</t>
        </is>
      </c>
      <c r="J273" s="56" t="inlineStr">
        <is>
          <t>Portable Blender</t>
        </is>
      </c>
      <c r="K273" s="56" t="inlineStr">
        <is>
          <t>Kitchen</t>
        </is>
      </c>
      <c r="L273" s="56" t="inlineStr">
        <is>
          <t>Foshan Appliances</t>
        </is>
      </c>
      <c r="M273" s="80" t="n">
        <v>55.94</v>
      </c>
      <c r="N273" s="80" t="n">
        <v>16.27</v>
      </c>
      <c r="O273" s="80" t="n">
        <v>6.66</v>
      </c>
      <c r="P273" s="80" t="n">
        <v>0.03</v>
      </c>
      <c r="Q273" s="80" t="n">
        <v>8.17</v>
      </c>
      <c r="R273" s="80" t="n">
        <v>1</v>
      </c>
      <c r="S273" s="80">
        <f>IF(AC273="Cancelled",0,M273*R273)</f>
        <v/>
      </c>
      <c r="T273" s="80">
        <f>IF(AC273="Cancelled",0,N273*R273)</f>
        <v/>
      </c>
      <c r="U273" s="80">
        <f>IF(AC273="Cancelled",0,O273*R273)</f>
        <v/>
      </c>
      <c r="V273" s="80">
        <f>IF(AC273="Cancelled",0,ROUND(P273*S273,2))</f>
        <v/>
      </c>
      <c r="W273" s="80" t="inlineStr">
        <is>
          <t>No</t>
        </is>
      </c>
      <c r="X273" s="80" t="n">
        <v>0</v>
      </c>
      <c r="Y273" s="80">
        <f>IF(AC273="Cancelled",0,T273+U273+V273+Q273+X273)</f>
        <v/>
      </c>
      <c r="Z273" s="80">
        <f>IF(AC273="Cancelled",-Q273,S273-Y273)</f>
        <v/>
      </c>
      <c r="AA273" s="81">
        <f>IF(OR(AC273="Cancelled",S273=0),0,Z273/S273)</f>
        <v/>
      </c>
      <c r="AB273" s="82">
        <f>IFERROR(S273/Q273,0)</f>
        <v/>
      </c>
      <c r="AC273" s="56" t="inlineStr">
        <is>
          <t>Delivered</t>
        </is>
      </c>
    </row>
    <row r="274" ht="14.25" customHeight="1" s="57">
      <c r="A274" s="56" t="inlineStr">
        <is>
          <t>ORD-00006</t>
        </is>
      </c>
      <c r="B274" s="79" t="n">
        <v>45912</v>
      </c>
      <c r="C274" s="56" t="n">
        <v>2025</v>
      </c>
      <c r="D274" s="56" t="n">
        <v>9</v>
      </c>
      <c r="E274" s="56" t="inlineStr">
        <is>
          <t>UAE</t>
        </is>
      </c>
      <c r="F274" s="56" t="inlineStr">
        <is>
          <t>Abu Dhabi</t>
        </is>
      </c>
      <c r="G274" s="56" t="inlineStr">
        <is>
          <t>Google Ads</t>
        </is>
      </c>
      <c r="H274" s="56" t="inlineStr">
        <is>
          <t>Launch Test</t>
        </is>
      </c>
      <c r="I274" s="56" t="inlineStr">
        <is>
          <t>P005</t>
        </is>
      </c>
      <c r="J274" s="56" t="inlineStr">
        <is>
          <t>Mini Printer</t>
        </is>
      </c>
      <c r="K274" s="56" t="inlineStr">
        <is>
          <t>Electronics</t>
        </is>
      </c>
      <c r="L274" s="56" t="inlineStr">
        <is>
          <t>Shenzhen Print Tech</t>
        </is>
      </c>
      <c r="M274" s="80" t="n">
        <v>55.97</v>
      </c>
      <c r="N274" s="80" t="n">
        <v>22.52</v>
      </c>
      <c r="O274" s="80" t="n">
        <v>6.95</v>
      </c>
      <c r="P274" s="80" t="n">
        <v>0.03</v>
      </c>
      <c r="Q274" s="80" t="n">
        <v>13.42</v>
      </c>
      <c r="R274" s="80" t="n">
        <v>2</v>
      </c>
      <c r="S274" s="80">
        <f>IF(AC274="Cancelled",0,M274*R274)</f>
        <v/>
      </c>
      <c r="T274" s="80">
        <f>IF(AC274="Cancelled",0,N274*R274)</f>
        <v/>
      </c>
      <c r="U274" s="80">
        <f>IF(AC274="Cancelled",0,O274*R274)</f>
        <v/>
      </c>
      <c r="V274" s="80">
        <f>IF(AC274="Cancelled",0,ROUND(P274*S274,2))</f>
        <v/>
      </c>
      <c r="W274" s="80" t="inlineStr">
        <is>
          <t>No</t>
        </is>
      </c>
      <c r="X274" s="80" t="n">
        <v>0</v>
      </c>
      <c r="Y274" s="80">
        <f>IF(AC274="Cancelled",0,T274+U274+V274+Q274+X274)</f>
        <v/>
      </c>
      <c r="Z274" s="80">
        <f>IF(AC274="Cancelled",-Q274,S274-Y274)</f>
        <v/>
      </c>
      <c r="AA274" s="81">
        <f>IF(OR(AC274="Cancelled",S274=0),0,Z274/S274)</f>
        <v/>
      </c>
      <c r="AB274" s="82">
        <f>IFERROR(S274/Q274,0)</f>
        <v/>
      </c>
      <c r="AC274" s="56" t="inlineStr">
        <is>
          <t>Delivered</t>
        </is>
      </c>
    </row>
    <row r="275" ht="14.25" customHeight="1" s="57">
      <c r="A275" s="56" t="inlineStr">
        <is>
          <t>ORD-00350</t>
        </is>
      </c>
      <c r="B275" s="79" t="n">
        <v>45914</v>
      </c>
      <c r="C275" s="56" t="n">
        <v>2025</v>
      </c>
      <c r="D275" s="56" t="n">
        <v>9</v>
      </c>
      <c r="E275" s="56" t="inlineStr">
        <is>
          <t>Saudi Arabia</t>
        </is>
      </c>
      <c r="F275" s="56" t="inlineStr">
        <is>
          <t>Jeddah</t>
        </is>
      </c>
      <c r="G275" s="56" t="inlineStr">
        <is>
          <t>Google Ads</t>
        </is>
      </c>
      <c r="H275" s="56" t="inlineStr">
        <is>
          <t>Summer Sale</t>
        </is>
      </c>
      <c r="I275" s="56" t="inlineStr">
        <is>
          <t>P006</t>
        </is>
      </c>
      <c r="J275" s="56" t="inlineStr">
        <is>
          <t>Posture Corrector</t>
        </is>
      </c>
      <c r="K275" s="56" t="inlineStr">
        <is>
          <t>Fitness</t>
        </is>
      </c>
      <c r="L275" s="56" t="inlineStr">
        <is>
          <t>Hangzhou Health Gear</t>
        </is>
      </c>
      <c r="M275" s="80" t="n">
        <v>31.97</v>
      </c>
      <c r="N275" s="80" t="n">
        <v>8.75</v>
      </c>
      <c r="O275" s="80" t="n">
        <v>3.96</v>
      </c>
      <c r="P275" s="80" t="n">
        <v>0.03</v>
      </c>
      <c r="Q275" s="80" t="n">
        <v>6.15</v>
      </c>
      <c r="R275" s="80" t="n">
        <v>1</v>
      </c>
      <c r="S275" s="80">
        <f>IF(AC275="Cancelled",0,M275*R275)</f>
        <v/>
      </c>
      <c r="T275" s="80">
        <f>IF(AC275="Cancelled",0,N275*R275)</f>
        <v/>
      </c>
      <c r="U275" s="80">
        <f>IF(AC275="Cancelled",0,O275*R275)</f>
        <v/>
      </c>
      <c r="V275" s="80">
        <f>IF(AC275="Cancelled",0,ROUND(P275*S275,2))</f>
        <v/>
      </c>
      <c r="W275" s="80" t="inlineStr">
        <is>
          <t>No</t>
        </is>
      </c>
      <c r="X275" s="80" t="n">
        <v>0</v>
      </c>
      <c r="Y275" s="80">
        <f>IF(AC275="Cancelled",0,T275+U275+V275+Q275+X275)</f>
        <v/>
      </c>
      <c r="Z275" s="80">
        <f>IF(AC275="Cancelled",-Q275,S275-Y275)</f>
        <v/>
      </c>
      <c r="AA275" s="81">
        <f>IF(OR(AC275="Cancelled",S275=0),0,Z275/S275)</f>
        <v/>
      </c>
      <c r="AB275" s="82">
        <f>IFERROR(S275/Q275,0)</f>
        <v/>
      </c>
      <c r="AC275" s="56" t="inlineStr">
        <is>
          <t>Delivered</t>
        </is>
      </c>
    </row>
    <row r="276" ht="14.25" customHeight="1" s="57">
      <c r="A276" s="56" t="inlineStr">
        <is>
          <t>ORD-00277</t>
        </is>
      </c>
      <c r="B276" s="79" t="n">
        <v>45915</v>
      </c>
      <c r="C276" s="56" t="n">
        <v>2025</v>
      </c>
      <c r="D276" s="56" t="n">
        <v>9</v>
      </c>
      <c r="E276" s="56" t="inlineStr">
        <is>
          <t>Qatar</t>
        </is>
      </c>
      <c r="F276" s="56" t="inlineStr">
        <is>
          <t>Doha</t>
        </is>
      </c>
      <c r="G276" s="56" t="inlineStr">
        <is>
          <t>TikTok Ads</t>
        </is>
      </c>
      <c r="H276" s="56" t="inlineStr">
        <is>
          <t>Retargeting</t>
        </is>
      </c>
      <c r="I276" s="56" t="inlineStr">
        <is>
          <t>P005</t>
        </is>
      </c>
      <c r="J276" s="56" t="inlineStr">
        <is>
          <t>Mini Printer</t>
        </is>
      </c>
      <c r="K276" s="56" t="inlineStr">
        <is>
          <t>Electronics</t>
        </is>
      </c>
      <c r="L276" s="56" t="inlineStr">
        <is>
          <t>Shenzhen Print Tech</t>
        </is>
      </c>
      <c r="M276" s="80" t="n">
        <v>65.73999999999999</v>
      </c>
      <c r="N276" s="80" t="n">
        <v>23.13</v>
      </c>
      <c r="O276" s="80" t="n">
        <v>7.9</v>
      </c>
      <c r="P276" s="80" t="n">
        <v>0.03</v>
      </c>
      <c r="Q276" s="80" t="n">
        <v>9.41</v>
      </c>
      <c r="R276" s="80" t="n">
        <v>1</v>
      </c>
      <c r="S276" s="80">
        <f>IF(AC276="Cancelled",0,M276*R276)</f>
        <v/>
      </c>
      <c r="T276" s="80">
        <f>IF(AC276="Cancelled",0,N276*R276)</f>
        <v/>
      </c>
      <c r="U276" s="80">
        <f>IF(AC276="Cancelled",0,O276*R276)</f>
        <v/>
      </c>
      <c r="V276" s="80">
        <f>IF(AC276="Cancelled",0,ROUND(P276*S276,2))</f>
        <v/>
      </c>
      <c r="W276" s="80" t="inlineStr">
        <is>
          <t>No</t>
        </is>
      </c>
      <c r="X276" s="80" t="n">
        <v>0</v>
      </c>
      <c r="Y276" s="80">
        <f>IF(AC276="Cancelled",0,T276+U276+V276+Q276+X276)</f>
        <v/>
      </c>
      <c r="Z276" s="80">
        <f>IF(AC276="Cancelled",-Q276,S276-Y276)</f>
        <v/>
      </c>
      <c r="AA276" s="81">
        <f>IF(OR(AC276="Cancelled",S276=0),0,Z276/S276)</f>
        <v/>
      </c>
      <c r="AB276" s="82">
        <f>IFERROR(S276/Q276,0)</f>
        <v/>
      </c>
      <c r="AC276" s="56" t="inlineStr">
        <is>
          <t>Delivered</t>
        </is>
      </c>
    </row>
    <row r="277" ht="14.25" customHeight="1" s="57">
      <c r="A277" s="56" t="inlineStr">
        <is>
          <t>ORD-00020</t>
        </is>
      </c>
      <c r="B277" s="79" t="n">
        <v>45917</v>
      </c>
      <c r="C277" s="56" t="n">
        <v>2025</v>
      </c>
      <c r="D277" s="56" t="n">
        <v>9</v>
      </c>
      <c r="E277" s="56" t="inlineStr">
        <is>
          <t>Oman</t>
        </is>
      </c>
      <c r="F277" s="56" t="inlineStr">
        <is>
          <t>Muscat</t>
        </is>
      </c>
      <c r="G277" s="56" t="inlineStr">
        <is>
          <t>Google Ads</t>
        </is>
      </c>
      <c r="H277" s="56" t="inlineStr">
        <is>
          <t>Launch Test</t>
        </is>
      </c>
      <c r="I277" s="56" t="inlineStr">
        <is>
          <t>P005</t>
        </is>
      </c>
      <c r="J277" s="56" t="inlineStr">
        <is>
          <t>Mini Printer</t>
        </is>
      </c>
      <c r="K277" s="56" t="inlineStr">
        <is>
          <t>Electronics</t>
        </is>
      </c>
      <c r="L277" s="56" t="inlineStr">
        <is>
          <t>Shenzhen Print Tech</t>
        </is>
      </c>
      <c r="M277" s="80" t="n">
        <v>57.65</v>
      </c>
      <c r="N277" s="80" t="n">
        <v>23.49</v>
      </c>
      <c r="O277" s="80" t="n">
        <v>7.79</v>
      </c>
      <c r="P277" s="80" t="n">
        <v>0.03</v>
      </c>
      <c r="Q277" s="80" t="n">
        <v>13.16</v>
      </c>
      <c r="R277" s="80" t="n">
        <v>2</v>
      </c>
      <c r="S277" s="80">
        <f>IF(AC277="Cancelled",0,M277*R277)</f>
        <v/>
      </c>
      <c r="T277" s="80">
        <f>IF(AC277="Cancelled",0,N277*R277)</f>
        <v/>
      </c>
      <c r="U277" s="80">
        <f>IF(AC277="Cancelled",0,O277*R277)</f>
        <v/>
      </c>
      <c r="V277" s="80">
        <f>IF(AC277="Cancelled",0,ROUND(P277*S277,2))</f>
        <v/>
      </c>
      <c r="W277" s="80" t="inlineStr">
        <is>
          <t>No</t>
        </is>
      </c>
      <c r="X277" s="80" t="n">
        <v>0</v>
      </c>
      <c r="Y277" s="80">
        <f>IF(AC277="Cancelled",0,T277+U277+V277+Q277+X277)</f>
        <v/>
      </c>
      <c r="Z277" s="80">
        <f>IF(AC277="Cancelled",-Q277,S277-Y277)</f>
        <v/>
      </c>
      <c r="AA277" s="81">
        <f>IF(OR(AC277="Cancelled",S277=0),0,Z277/S277)</f>
        <v/>
      </c>
      <c r="AB277" s="82">
        <f>IFERROR(S277/Q277,0)</f>
        <v/>
      </c>
      <c r="AC277" s="56" t="inlineStr">
        <is>
          <t>Delivered</t>
        </is>
      </c>
    </row>
    <row r="278" ht="14.25" customHeight="1" s="57">
      <c r="A278" s="56" t="inlineStr">
        <is>
          <t>ORD-00127</t>
        </is>
      </c>
      <c r="B278" s="79" t="n">
        <v>45917</v>
      </c>
      <c r="C278" s="56" t="n">
        <v>2025</v>
      </c>
      <c r="D278" s="56" t="n">
        <v>9</v>
      </c>
      <c r="E278" s="56" t="inlineStr">
        <is>
          <t>UAE</t>
        </is>
      </c>
      <c r="F278" s="56" t="inlineStr">
        <is>
          <t>Abu Dhabi</t>
        </is>
      </c>
      <c r="G278" s="56" t="inlineStr">
        <is>
          <t>TikTok Ads</t>
        </is>
      </c>
      <c r="H278" s="56" t="inlineStr">
        <is>
          <t>Retargeting</t>
        </is>
      </c>
      <c r="I278" s="56" t="inlineStr">
        <is>
          <t>P010</t>
        </is>
      </c>
      <c r="J278" s="56" t="inlineStr">
        <is>
          <t>Smart Water Bottle</t>
        </is>
      </c>
      <c r="K278" s="56" t="inlineStr">
        <is>
          <t>Lifestyle</t>
        </is>
      </c>
      <c r="L278" s="56" t="inlineStr">
        <is>
          <t>Shenzhen Smart Home</t>
        </is>
      </c>
      <c r="M278" s="80" t="n">
        <v>32.03</v>
      </c>
      <c r="N278" s="80" t="n">
        <v>10.07</v>
      </c>
      <c r="O278" s="80" t="n">
        <v>3.72</v>
      </c>
      <c r="P278" s="80" t="n">
        <v>0.03</v>
      </c>
      <c r="Q278" s="80" t="n">
        <v>7.7</v>
      </c>
      <c r="R278" s="80" t="n">
        <v>1</v>
      </c>
      <c r="S278" s="80">
        <f>IF(AC278="Cancelled",0,M278*R278)</f>
        <v/>
      </c>
      <c r="T278" s="80">
        <f>IF(AC278="Cancelled",0,N278*R278)</f>
        <v/>
      </c>
      <c r="U278" s="80">
        <f>IF(AC278="Cancelled",0,O278*R278)</f>
        <v/>
      </c>
      <c r="V278" s="80">
        <f>IF(AC278="Cancelled",0,ROUND(P278*S278,2))</f>
        <v/>
      </c>
      <c r="W278" s="80" t="inlineStr">
        <is>
          <t>No</t>
        </is>
      </c>
      <c r="X278" s="80" t="n">
        <v>0</v>
      </c>
      <c r="Y278" s="80">
        <f>IF(AC278="Cancelled",0,T278+U278+V278+Q278+X278)</f>
        <v/>
      </c>
      <c r="Z278" s="80">
        <f>IF(AC278="Cancelled",-Q278,S278-Y278)</f>
        <v/>
      </c>
      <c r="AA278" s="81">
        <f>IF(OR(AC278="Cancelled",S278=0),0,Z278/S278)</f>
        <v/>
      </c>
      <c r="AB278" s="82">
        <f>IFERROR(S278/Q278,0)</f>
        <v/>
      </c>
      <c r="AC278" s="56" t="inlineStr">
        <is>
          <t>Delivered</t>
        </is>
      </c>
    </row>
    <row r="279" ht="14.25" customHeight="1" s="57">
      <c r="A279" s="56" t="inlineStr">
        <is>
          <t>ORD-00231</t>
        </is>
      </c>
      <c r="B279" s="79" t="n">
        <v>45918</v>
      </c>
      <c r="C279" s="56" t="n">
        <v>2025</v>
      </c>
      <c r="D279" s="56" t="n">
        <v>9</v>
      </c>
      <c r="E279" s="56" t="inlineStr">
        <is>
          <t>UAE</t>
        </is>
      </c>
      <c r="F279" s="56" t="inlineStr">
        <is>
          <t>Abu Dhabi</t>
        </is>
      </c>
      <c r="G279" s="56" t="inlineStr">
        <is>
          <t>Meta Ads</t>
        </is>
      </c>
      <c r="H279" s="56" t="inlineStr">
        <is>
          <t>Launch Test</t>
        </is>
      </c>
      <c r="I279" s="56" t="inlineStr">
        <is>
          <t>P010</t>
        </is>
      </c>
      <c r="J279" s="56" t="inlineStr">
        <is>
          <t>Smart Water Bottle</t>
        </is>
      </c>
      <c r="K279" s="56" t="inlineStr">
        <is>
          <t>Lifestyle</t>
        </is>
      </c>
      <c r="L279" s="56" t="inlineStr">
        <is>
          <t>Shenzhen Smart Home</t>
        </is>
      </c>
      <c r="M279" s="80" t="n">
        <v>32.08</v>
      </c>
      <c r="N279" s="80" t="n">
        <v>9.970000000000001</v>
      </c>
      <c r="O279" s="80" t="n">
        <v>3.92</v>
      </c>
      <c r="P279" s="80" t="n">
        <v>0.03</v>
      </c>
      <c r="Q279" s="80" t="n">
        <v>4.09</v>
      </c>
      <c r="R279" s="80" t="n">
        <v>1</v>
      </c>
      <c r="S279" s="80">
        <f>IF(AC279="Cancelled",0,M279*R279)</f>
        <v/>
      </c>
      <c r="T279" s="80">
        <f>IF(AC279="Cancelled",0,N279*R279)</f>
        <v/>
      </c>
      <c r="U279" s="80">
        <f>IF(AC279="Cancelled",0,O279*R279)</f>
        <v/>
      </c>
      <c r="V279" s="80">
        <f>IF(AC279="Cancelled",0,ROUND(P279*S279,2))</f>
        <v/>
      </c>
      <c r="W279" s="80" t="inlineStr">
        <is>
          <t>No</t>
        </is>
      </c>
      <c r="X279" s="80" t="n">
        <v>0</v>
      </c>
      <c r="Y279" s="80">
        <f>IF(AC279="Cancelled",0,T279+U279+V279+Q279+X279)</f>
        <v/>
      </c>
      <c r="Z279" s="80">
        <f>IF(AC279="Cancelled",-Q279,S279-Y279)</f>
        <v/>
      </c>
      <c r="AA279" s="81">
        <f>IF(OR(AC279="Cancelled",S279=0),0,Z279/S279)</f>
        <v/>
      </c>
      <c r="AB279" s="82">
        <f>IFERROR(S279/Q279,0)</f>
        <v/>
      </c>
      <c r="AC279" s="56" t="inlineStr">
        <is>
          <t>Delivered</t>
        </is>
      </c>
    </row>
    <row r="280" ht="14.25" customHeight="1" s="57">
      <c r="A280" s="56" t="inlineStr">
        <is>
          <t>ORD-00492</t>
        </is>
      </c>
      <c r="B280" s="79" t="n">
        <v>45918</v>
      </c>
      <c r="C280" s="56" t="n">
        <v>2025</v>
      </c>
      <c r="D280" s="56" t="n">
        <v>9</v>
      </c>
      <c r="E280" s="56" t="inlineStr">
        <is>
          <t>Saudi Arabia</t>
        </is>
      </c>
      <c r="F280" s="56" t="inlineStr">
        <is>
          <t>Riyadh</t>
        </is>
      </c>
      <c r="G280" s="56" t="inlineStr">
        <is>
          <t>TikTok Ads</t>
        </is>
      </c>
      <c r="H280" s="56" t="inlineStr">
        <is>
          <t>Bundle Promo</t>
        </is>
      </c>
      <c r="I280" s="56" t="inlineStr">
        <is>
          <t>P003</t>
        </is>
      </c>
      <c r="J280" s="56" t="inlineStr">
        <is>
          <t>LED Strip Lights</t>
        </is>
      </c>
      <c r="K280" s="56" t="inlineStr">
        <is>
          <t>Home Decor</t>
        </is>
      </c>
      <c r="L280" s="56" t="inlineStr">
        <is>
          <t>Yiwu Lighting Factory</t>
        </is>
      </c>
      <c r="M280" s="80" t="n">
        <v>26.91</v>
      </c>
      <c r="N280" s="80" t="n">
        <v>5.77</v>
      </c>
      <c r="O280" s="80" t="n">
        <v>3.88</v>
      </c>
      <c r="P280" s="80" t="n">
        <v>0.03</v>
      </c>
      <c r="Q280" s="80" t="n">
        <v>9.800000000000001</v>
      </c>
      <c r="R280" s="80" t="n">
        <v>1</v>
      </c>
      <c r="S280" s="80">
        <f>IF(AC280="Cancelled",0,M280*R280)</f>
        <v/>
      </c>
      <c r="T280" s="80">
        <f>IF(AC280="Cancelled",0,N280*R280)</f>
        <v/>
      </c>
      <c r="U280" s="80">
        <f>IF(AC280="Cancelled",0,O280*R280)</f>
        <v/>
      </c>
      <c r="V280" s="80">
        <f>IF(AC280="Cancelled",0,ROUND(P280*S280,2))</f>
        <v/>
      </c>
      <c r="W280" s="80" t="inlineStr">
        <is>
          <t>No</t>
        </is>
      </c>
      <c r="X280" s="80" t="n">
        <v>0</v>
      </c>
      <c r="Y280" s="80">
        <f>IF(AC280="Cancelled",0,T280+U280+V280+Q280+X280)</f>
        <v/>
      </c>
      <c r="Z280" s="80">
        <f>IF(AC280="Cancelled",-Q280,S280-Y280)</f>
        <v/>
      </c>
      <c r="AA280" s="81">
        <f>IF(OR(AC280="Cancelled",S280=0),0,Z280/S280)</f>
        <v/>
      </c>
      <c r="AB280" s="82">
        <f>IFERROR(S280/Q280,0)</f>
        <v/>
      </c>
      <c r="AC280" s="56" t="inlineStr">
        <is>
          <t>Delivered</t>
        </is>
      </c>
    </row>
    <row r="281" ht="14.25" customHeight="1" s="57">
      <c r="A281" s="56" t="inlineStr">
        <is>
          <t>ORD-00034</t>
        </is>
      </c>
      <c r="B281" s="79" t="n">
        <v>45919</v>
      </c>
      <c r="C281" s="56" t="n">
        <v>2025</v>
      </c>
      <c r="D281" s="56" t="n">
        <v>9</v>
      </c>
      <c r="E281" s="56" t="inlineStr">
        <is>
          <t>Kuwait</t>
        </is>
      </c>
      <c r="F281" s="56" t="inlineStr">
        <is>
          <t>Kuwait City</t>
        </is>
      </c>
      <c r="G281" s="56" t="inlineStr">
        <is>
          <t>Google Ads</t>
        </is>
      </c>
      <c r="H281" s="56" t="inlineStr">
        <is>
          <t>Launch Test</t>
        </is>
      </c>
      <c r="I281" s="56" t="inlineStr">
        <is>
          <t>P008</t>
        </is>
      </c>
      <c r="J281" s="56" t="inlineStr">
        <is>
          <t>Portable Blender</t>
        </is>
      </c>
      <c r="K281" s="56" t="inlineStr">
        <is>
          <t>Kitchen</t>
        </is>
      </c>
      <c r="L281" s="56" t="inlineStr">
        <is>
          <t>Foshan Appliances</t>
        </is>
      </c>
      <c r="M281" s="80" t="n">
        <v>45.76</v>
      </c>
      <c r="N281" s="80" t="n">
        <v>17.04</v>
      </c>
      <c r="O281" s="80" t="n">
        <v>6.33</v>
      </c>
      <c r="P281" s="80" t="n">
        <v>0.03</v>
      </c>
      <c r="Q281" s="80" t="n">
        <v>6.3</v>
      </c>
      <c r="R281" s="80" t="n">
        <v>1</v>
      </c>
      <c r="S281" s="80">
        <f>IF(AC281="Cancelled",0,M281*R281)</f>
        <v/>
      </c>
      <c r="T281" s="80">
        <f>IF(AC281="Cancelled",0,N281*R281)</f>
        <v/>
      </c>
      <c r="U281" s="80">
        <f>IF(AC281="Cancelled",0,O281*R281)</f>
        <v/>
      </c>
      <c r="V281" s="80">
        <f>IF(AC281="Cancelled",0,ROUND(P281*S281,2))</f>
        <v/>
      </c>
      <c r="W281" s="80" t="inlineStr">
        <is>
          <t>No</t>
        </is>
      </c>
      <c r="X281" s="80" t="n">
        <v>0</v>
      </c>
      <c r="Y281" s="80">
        <f>IF(AC281="Cancelled",0,T281+U281+V281+Q281+X281)</f>
        <v/>
      </c>
      <c r="Z281" s="80">
        <f>IF(AC281="Cancelled",-Q281,S281-Y281)</f>
        <v/>
      </c>
      <c r="AA281" s="81">
        <f>IF(OR(AC281="Cancelled",S281=0),0,Z281/S281)</f>
        <v/>
      </c>
      <c r="AB281" s="82">
        <f>IFERROR(S281/Q281,0)</f>
        <v/>
      </c>
      <c r="AC281" s="56" t="inlineStr">
        <is>
          <t>Delivered</t>
        </is>
      </c>
    </row>
    <row r="282" ht="14.25" customHeight="1" s="57">
      <c r="A282" s="56" t="inlineStr">
        <is>
          <t>ORD-00032</t>
        </is>
      </c>
      <c r="B282" s="79" t="n">
        <v>45920</v>
      </c>
      <c r="C282" s="56" t="n">
        <v>2025</v>
      </c>
      <c r="D282" s="56" t="n">
        <v>9</v>
      </c>
      <c r="E282" s="56" t="inlineStr">
        <is>
          <t>Kuwait</t>
        </is>
      </c>
      <c r="F282" s="56" t="inlineStr">
        <is>
          <t>Kuwait City</t>
        </is>
      </c>
      <c r="G282" s="56" t="inlineStr">
        <is>
          <t>Email</t>
        </is>
      </c>
      <c r="H282" s="56" t="inlineStr">
        <is>
          <t>Launch Test</t>
        </is>
      </c>
      <c r="I282" s="56" t="inlineStr">
        <is>
          <t>P007</t>
        </is>
      </c>
      <c r="J282" s="56" t="inlineStr">
        <is>
          <t>Pet Grooming Glove</t>
        </is>
      </c>
      <c r="K282" s="56" t="inlineStr">
        <is>
          <t>Pets</t>
        </is>
      </c>
      <c r="L282" s="56" t="inlineStr">
        <is>
          <t>Yiwu Pet Products</t>
        </is>
      </c>
      <c r="M282" s="80" t="n">
        <v>18.46</v>
      </c>
      <c r="N282" s="80" t="n">
        <v>3.65</v>
      </c>
      <c r="O282" s="80" t="n">
        <v>2.44</v>
      </c>
      <c r="P282" s="80" t="n">
        <v>0.03</v>
      </c>
      <c r="Q282" s="80" t="n">
        <v>3.75</v>
      </c>
      <c r="R282" s="80" t="n">
        <v>1</v>
      </c>
      <c r="S282" s="80">
        <f>IF(AC282="Cancelled",0,M282*R282)</f>
        <v/>
      </c>
      <c r="T282" s="80">
        <f>IF(AC282="Cancelled",0,N282*R282)</f>
        <v/>
      </c>
      <c r="U282" s="80">
        <f>IF(AC282="Cancelled",0,O282*R282)</f>
        <v/>
      </c>
      <c r="V282" s="80">
        <f>IF(AC282="Cancelled",0,ROUND(P282*S282,2))</f>
        <v/>
      </c>
      <c r="W282" s="80" t="inlineStr">
        <is>
          <t>No</t>
        </is>
      </c>
      <c r="X282" s="80" t="n">
        <v>0</v>
      </c>
      <c r="Y282" s="80">
        <f>IF(AC282="Cancelled",0,T282+U282+V282+Q282+X282)</f>
        <v/>
      </c>
      <c r="Z282" s="80">
        <f>IF(AC282="Cancelled",-Q282,S282-Y282)</f>
        <v/>
      </c>
      <c r="AA282" s="81">
        <f>IF(OR(AC282="Cancelled",S282=0),0,Z282/S282)</f>
        <v/>
      </c>
      <c r="AB282" s="82">
        <f>IFERROR(S282/Q282,0)</f>
        <v/>
      </c>
      <c r="AC282" s="56" t="inlineStr">
        <is>
          <t>Delivered</t>
        </is>
      </c>
    </row>
    <row r="283" ht="14.25" customHeight="1" s="57">
      <c r="A283" s="56" t="inlineStr">
        <is>
          <t>ORD-00228</t>
        </is>
      </c>
      <c r="B283" s="79" t="n">
        <v>45920</v>
      </c>
      <c r="C283" s="56" t="n">
        <v>2025</v>
      </c>
      <c r="D283" s="56" t="n">
        <v>9</v>
      </c>
      <c r="E283" s="56" t="inlineStr">
        <is>
          <t>Kuwait</t>
        </is>
      </c>
      <c r="F283" s="56" t="inlineStr">
        <is>
          <t>Kuwait City</t>
        </is>
      </c>
      <c r="G283" s="56" t="inlineStr">
        <is>
          <t>Influencer</t>
        </is>
      </c>
      <c r="H283" s="56" t="inlineStr">
        <is>
          <t>Summer Sale</t>
        </is>
      </c>
      <c r="I283" s="56" t="inlineStr">
        <is>
          <t>P003</t>
        </is>
      </c>
      <c r="J283" s="56" t="inlineStr">
        <is>
          <t>LED Strip Lights</t>
        </is>
      </c>
      <c r="K283" s="56" t="inlineStr">
        <is>
          <t>Home Decor</t>
        </is>
      </c>
      <c r="L283" s="56" t="inlineStr">
        <is>
          <t>Yiwu Lighting Factory</t>
        </is>
      </c>
      <c r="M283" s="80" t="n">
        <v>26.14</v>
      </c>
      <c r="N283" s="80" t="n">
        <v>6</v>
      </c>
      <c r="O283" s="80" t="n">
        <v>3.45</v>
      </c>
      <c r="P283" s="80" t="n">
        <v>0.03</v>
      </c>
      <c r="Q283" s="80" t="n">
        <v>2.11</v>
      </c>
      <c r="R283" s="80" t="n">
        <v>2</v>
      </c>
      <c r="S283" s="80">
        <f>IF(AC283="Cancelled",0,M283*R283)</f>
        <v/>
      </c>
      <c r="T283" s="80">
        <f>IF(AC283="Cancelled",0,N283*R283)</f>
        <v/>
      </c>
      <c r="U283" s="80">
        <f>IF(AC283="Cancelled",0,O283*R283)</f>
        <v/>
      </c>
      <c r="V283" s="80">
        <f>IF(AC283="Cancelled",0,ROUND(P283*S283,2))</f>
        <v/>
      </c>
      <c r="W283" s="80" t="inlineStr">
        <is>
          <t>No</t>
        </is>
      </c>
      <c r="X283" s="80" t="n">
        <v>0</v>
      </c>
      <c r="Y283" s="80">
        <f>IF(AC283="Cancelled",0,T283+U283+V283+Q283+X283)</f>
        <v/>
      </c>
      <c r="Z283" s="80">
        <f>IF(AC283="Cancelled",-Q283,S283-Y283)</f>
        <v/>
      </c>
      <c r="AA283" s="81">
        <f>IF(OR(AC283="Cancelled",S283=0),0,Z283/S283)</f>
        <v/>
      </c>
      <c r="AB283" s="82">
        <f>IFERROR(S283/Q283,0)</f>
        <v/>
      </c>
      <c r="AC283" s="56" t="inlineStr">
        <is>
          <t>Delivered</t>
        </is>
      </c>
    </row>
    <row r="284" ht="14.25" customHeight="1" s="57">
      <c r="A284" s="56" t="inlineStr">
        <is>
          <t>ORD-00094</t>
        </is>
      </c>
      <c r="B284" s="79" t="n">
        <v>45921</v>
      </c>
      <c r="C284" s="56" t="n">
        <v>2025</v>
      </c>
      <c r="D284" s="56" t="n">
        <v>9</v>
      </c>
      <c r="E284" s="56" t="inlineStr">
        <is>
          <t>Qatar</t>
        </is>
      </c>
      <c r="F284" s="56" t="inlineStr">
        <is>
          <t>Doha</t>
        </is>
      </c>
      <c r="G284" s="56" t="inlineStr">
        <is>
          <t>TikTok Ads</t>
        </is>
      </c>
      <c r="H284" s="56" t="inlineStr">
        <is>
          <t>New Creative A/B</t>
        </is>
      </c>
      <c r="I284" s="56" t="inlineStr">
        <is>
          <t>P005</t>
        </is>
      </c>
      <c r="J284" s="56" t="inlineStr">
        <is>
          <t>Mini Printer</t>
        </is>
      </c>
      <c r="K284" s="56" t="inlineStr">
        <is>
          <t>Electronics</t>
        </is>
      </c>
      <c r="L284" s="56" t="inlineStr">
        <is>
          <t>Shenzhen Print Tech</t>
        </is>
      </c>
      <c r="M284" s="80" t="n">
        <v>65.56999999999999</v>
      </c>
      <c r="N284" s="80" t="n">
        <v>20.99</v>
      </c>
      <c r="O284" s="80" t="n">
        <v>6.7</v>
      </c>
      <c r="P284" s="80" t="n">
        <v>0.03</v>
      </c>
      <c r="Q284" s="80" t="n">
        <v>6.09</v>
      </c>
      <c r="R284" s="80" t="n">
        <v>1</v>
      </c>
      <c r="S284" s="80">
        <f>IF(AC284="Cancelled",0,M284*R284)</f>
        <v/>
      </c>
      <c r="T284" s="80">
        <f>IF(AC284="Cancelled",0,N284*R284)</f>
        <v/>
      </c>
      <c r="U284" s="80">
        <f>IF(AC284="Cancelled",0,O284*R284)</f>
        <v/>
      </c>
      <c r="V284" s="80">
        <f>IF(AC284="Cancelled",0,ROUND(P284*S284,2))</f>
        <v/>
      </c>
      <c r="W284" s="80" t="inlineStr">
        <is>
          <t>No</t>
        </is>
      </c>
      <c r="X284" s="80" t="n">
        <v>0</v>
      </c>
      <c r="Y284" s="80">
        <f>IF(AC284="Cancelled",0,T284+U284+V284+Q284+X284)</f>
        <v/>
      </c>
      <c r="Z284" s="80">
        <f>IF(AC284="Cancelled",-Q284,S284-Y284)</f>
        <v/>
      </c>
      <c r="AA284" s="81">
        <f>IF(OR(AC284="Cancelled",S284=0),0,Z284/S284)</f>
        <v/>
      </c>
      <c r="AB284" s="82">
        <f>IFERROR(S284/Q284,0)</f>
        <v/>
      </c>
      <c r="AC284" s="56" t="inlineStr">
        <is>
          <t>Delivered</t>
        </is>
      </c>
    </row>
    <row r="285" ht="14.25" customHeight="1" s="57">
      <c r="A285" s="56" t="inlineStr">
        <is>
          <t>ORD-00427</t>
        </is>
      </c>
      <c r="B285" s="79" t="n">
        <v>45922</v>
      </c>
      <c r="C285" s="56" t="n">
        <v>2025</v>
      </c>
      <c r="D285" s="56" t="n">
        <v>9</v>
      </c>
      <c r="E285" s="56" t="inlineStr">
        <is>
          <t>Saudi Arabia</t>
        </is>
      </c>
      <c r="F285" s="56" t="inlineStr">
        <is>
          <t>Jeddah</t>
        </is>
      </c>
      <c r="G285" s="56" t="inlineStr">
        <is>
          <t>TikTok Ads</t>
        </is>
      </c>
      <c r="H285" s="56" t="inlineStr">
        <is>
          <t>Summer Sale</t>
        </is>
      </c>
      <c r="I285" s="56" t="inlineStr">
        <is>
          <t>P002</t>
        </is>
      </c>
      <c r="J285" s="56" t="inlineStr">
        <is>
          <t>Phone Case</t>
        </is>
      </c>
      <c r="K285" s="56" t="inlineStr">
        <is>
          <t>Accessories</t>
        </is>
      </c>
      <c r="L285" s="56" t="inlineStr">
        <is>
          <t>Guangzhou Cases Ltd.</t>
        </is>
      </c>
      <c r="M285" s="80" t="n">
        <v>15.26</v>
      </c>
      <c r="N285" s="80" t="n">
        <v>2.1</v>
      </c>
      <c r="O285" s="80" t="n">
        <v>2.09</v>
      </c>
      <c r="P285" s="80" t="n">
        <v>0.03</v>
      </c>
      <c r="Q285" s="80" t="n">
        <v>17.77</v>
      </c>
      <c r="R285" s="80" t="n">
        <v>2</v>
      </c>
      <c r="S285" s="80">
        <f>IF(AC285="Cancelled",0,M285*R285)</f>
        <v/>
      </c>
      <c r="T285" s="80">
        <f>IF(AC285="Cancelled",0,N285*R285)</f>
        <v/>
      </c>
      <c r="U285" s="80">
        <f>IF(AC285="Cancelled",0,O285*R285)</f>
        <v/>
      </c>
      <c r="V285" s="80">
        <f>IF(AC285="Cancelled",0,ROUND(P285*S285,2))</f>
        <v/>
      </c>
      <c r="W285" s="80" t="inlineStr">
        <is>
          <t>No</t>
        </is>
      </c>
      <c r="X285" s="80" t="n">
        <v>0</v>
      </c>
      <c r="Y285" s="80">
        <f>IF(AC285="Cancelled",0,T285+U285+V285+Q285+X285)</f>
        <v/>
      </c>
      <c r="Z285" s="80">
        <f>IF(AC285="Cancelled",-Q285,S285-Y285)</f>
        <v/>
      </c>
      <c r="AA285" s="81">
        <f>IF(OR(AC285="Cancelled",S285=0),0,Z285/S285)</f>
        <v/>
      </c>
      <c r="AB285" s="82">
        <f>IFERROR(S285/Q285,0)</f>
        <v/>
      </c>
      <c r="AC285" s="56" t="inlineStr">
        <is>
          <t>Delivered</t>
        </is>
      </c>
    </row>
    <row r="286" ht="14.25" customHeight="1" s="57">
      <c r="A286" s="56" t="inlineStr">
        <is>
          <t>ORD-00259</t>
        </is>
      </c>
      <c r="B286" s="79" t="n">
        <v>45925</v>
      </c>
      <c r="C286" s="56" t="n">
        <v>2025</v>
      </c>
      <c r="D286" s="56" t="n">
        <v>9</v>
      </c>
      <c r="E286" s="56" t="inlineStr">
        <is>
          <t>UAE</t>
        </is>
      </c>
      <c r="F286" s="56" t="inlineStr">
        <is>
          <t>Sharjah</t>
        </is>
      </c>
      <c r="G286" s="56" t="inlineStr">
        <is>
          <t>Organic Search</t>
        </is>
      </c>
      <c r="H286" s="56" t="inlineStr">
        <is>
          <t>Retargeting</t>
        </is>
      </c>
      <c r="I286" s="56" t="inlineStr">
        <is>
          <t>P002</t>
        </is>
      </c>
      <c r="J286" s="56" t="inlineStr">
        <is>
          <t>Phone Case</t>
        </is>
      </c>
      <c r="K286" s="56" t="inlineStr">
        <is>
          <t>Accessories</t>
        </is>
      </c>
      <c r="L286" s="56" t="inlineStr">
        <is>
          <t>Guangzhou Cases Ltd.</t>
        </is>
      </c>
      <c r="M286" s="80" t="n">
        <v>13.59</v>
      </c>
      <c r="N286" s="80" t="n">
        <v>2.15</v>
      </c>
      <c r="O286" s="80" t="n">
        <v>2.28</v>
      </c>
      <c r="P286" s="80" t="n">
        <v>0.03</v>
      </c>
      <c r="Q286" s="80" t="n">
        <v>0</v>
      </c>
      <c r="R286" s="80" t="n">
        <v>2</v>
      </c>
      <c r="S286" s="80">
        <f>IF(AC286="Cancelled",0,M286*R286)</f>
        <v/>
      </c>
      <c r="T286" s="80">
        <f>IF(AC286="Cancelled",0,N286*R286)</f>
        <v/>
      </c>
      <c r="U286" s="80">
        <f>IF(AC286="Cancelled",0,O286*R286)</f>
        <v/>
      </c>
      <c r="V286" s="80">
        <f>IF(AC286="Cancelled",0,ROUND(P286*S286,2))</f>
        <v/>
      </c>
      <c r="W286" s="80" t="inlineStr">
        <is>
          <t>No</t>
        </is>
      </c>
      <c r="X286" s="80" t="n">
        <v>0</v>
      </c>
      <c r="Y286" s="80">
        <f>IF(AC286="Cancelled",0,T286+U286+V286+Q286+X286)</f>
        <v/>
      </c>
      <c r="Z286" s="80">
        <f>IF(AC286="Cancelled",-Q286,S286-Y286)</f>
        <v/>
      </c>
      <c r="AA286" s="81">
        <f>IF(OR(AC286="Cancelled",S286=0),0,Z286/S286)</f>
        <v/>
      </c>
      <c r="AB286" s="82">
        <f>IFERROR(S286/Q286,0)</f>
        <v/>
      </c>
      <c r="AC286" s="56" t="inlineStr">
        <is>
          <t>Delivered</t>
        </is>
      </c>
    </row>
    <row r="287" ht="14.25" customHeight="1" s="57">
      <c r="A287" s="56" t="inlineStr">
        <is>
          <t>ORD-00453</t>
        </is>
      </c>
      <c r="B287" s="79" t="n">
        <v>45925</v>
      </c>
      <c r="C287" s="56" t="n">
        <v>2025</v>
      </c>
      <c r="D287" s="56" t="n">
        <v>9</v>
      </c>
      <c r="E287" s="56" t="inlineStr">
        <is>
          <t>Kuwait</t>
        </is>
      </c>
      <c r="F287" s="56" t="inlineStr">
        <is>
          <t>Kuwait City</t>
        </is>
      </c>
      <c r="G287" s="56" t="inlineStr">
        <is>
          <t>Email</t>
        </is>
      </c>
      <c r="H287" s="56" t="inlineStr">
        <is>
          <t>Summer Sale</t>
        </is>
      </c>
      <c r="I287" s="56" t="inlineStr">
        <is>
          <t>P007</t>
        </is>
      </c>
      <c r="J287" s="56" t="inlineStr">
        <is>
          <t>Pet Grooming Glove</t>
        </is>
      </c>
      <c r="K287" s="56" t="inlineStr">
        <is>
          <t>Pets</t>
        </is>
      </c>
      <c r="L287" s="56" t="inlineStr">
        <is>
          <t>Yiwu Pet Products</t>
        </is>
      </c>
      <c r="M287" s="80" t="n">
        <v>20.16</v>
      </c>
      <c r="N287" s="80" t="n">
        <v>3.67</v>
      </c>
      <c r="O287" s="80" t="n">
        <v>2.74</v>
      </c>
      <c r="P287" s="80" t="n">
        <v>0.03</v>
      </c>
      <c r="Q287" s="80" t="n">
        <v>2.2</v>
      </c>
      <c r="R287" s="80" t="n">
        <v>1</v>
      </c>
      <c r="S287" s="80">
        <f>IF(AC287="Cancelled",0,M287*R287)</f>
        <v/>
      </c>
      <c r="T287" s="80">
        <f>IF(AC287="Cancelled",0,N287*R287)</f>
        <v/>
      </c>
      <c r="U287" s="80">
        <f>IF(AC287="Cancelled",0,O287*R287)</f>
        <v/>
      </c>
      <c r="V287" s="80">
        <f>IF(AC287="Cancelled",0,ROUND(P287*S287,2))</f>
        <v/>
      </c>
      <c r="W287" s="80" t="inlineStr">
        <is>
          <t>No</t>
        </is>
      </c>
      <c r="X287" s="80" t="n">
        <v>0</v>
      </c>
      <c r="Y287" s="80">
        <f>IF(AC287="Cancelled",0,T287+U287+V287+Q287+X287)</f>
        <v/>
      </c>
      <c r="Z287" s="80">
        <f>IF(AC287="Cancelled",-Q287,S287-Y287)</f>
        <v/>
      </c>
      <c r="AA287" s="81">
        <f>IF(OR(AC287="Cancelled",S287=0),0,Z287/S287)</f>
        <v/>
      </c>
      <c r="AB287" s="82">
        <f>IFERROR(S287/Q287,0)</f>
        <v/>
      </c>
      <c r="AC287" s="56" t="inlineStr">
        <is>
          <t>Delivered</t>
        </is>
      </c>
    </row>
    <row r="288" ht="14.25" customHeight="1" s="57">
      <c r="A288" s="56" t="inlineStr">
        <is>
          <t>ORD-00253</t>
        </is>
      </c>
      <c r="B288" s="79" t="n">
        <v>45927</v>
      </c>
      <c r="C288" s="56" t="n">
        <v>2025</v>
      </c>
      <c r="D288" s="56" t="n">
        <v>9</v>
      </c>
      <c r="E288" s="56" t="inlineStr">
        <is>
          <t>Qatar</t>
        </is>
      </c>
      <c r="F288" s="56" t="inlineStr">
        <is>
          <t>Doha</t>
        </is>
      </c>
      <c r="G288" s="56" t="inlineStr">
        <is>
          <t>Meta Ads</t>
        </is>
      </c>
      <c r="H288" s="56" t="inlineStr">
        <is>
          <t>Summer Sale</t>
        </is>
      </c>
      <c r="I288" s="56" t="inlineStr">
        <is>
          <t>P004</t>
        </is>
      </c>
      <c r="J288" s="56" t="inlineStr">
        <is>
          <t>Beauty Tool</t>
        </is>
      </c>
      <c r="K288" s="56" t="inlineStr">
        <is>
          <t>Beauty</t>
        </is>
      </c>
      <c r="L288" s="56" t="inlineStr">
        <is>
          <t>Ningbo Beauty Supply</t>
        </is>
      </c>
      <c r="M288" s="80" t="n">
        <v>31.44</v>
      </c>
      <c r="N288" s="80" t="n">
        <v>6.67</v>
      </c>
      <c r="O288" s="80" t="n">
        <v>4.5</v>
      </c>
      <c r="P288" s="80" t="n">
        <v>0.03</v>
      </c>
      <c r="Q288" s="80" t="n">
        <v>6.4</v>
      </c>
      <c r="R288" s="80" t="n">
        <v>2</v>
      </c>
      <c r="S288" s="80">
        <f>IF(AC288="Cancelled",0,M288*R288)</f>
        <v/>
      </c>
      <c r="T288" s="80">
        <f>IF(AC288="Cancelled",0,N288*R288)</f>
        <v/>
      </c>
      <c r="U288" s="80">
        <f>IF(AC288="Cancelled",0,O288*R288)</f>
        <v/>
      </c>
      <c r="V288" s="80">
        <f>IF(AC288="Cancelled",0,ROUND(P288*S288,2))</f>
        <v/>
      </c>
      <c r="W288" s="80" t="inlineStr">
        <is>
          <t>No</t>
        </is>
      </c>
      <c r="X288" s="80" t="n">
        <v>0</v>
      </c>
      <c r="Y288" s="80">
        <f>IF(AC288="Cancelled",0,T288+U288+V288+Q288+X288)</f>
        <v/>
      </c>
      <c r="Z288" s="80">
        <f>IF(AC288="Cancelled",-Q288,S288-Y288)</f>
        <v/>
      </c>
      <c r="AA288" s="81">
        <f>IF(OR(AC288="Cancelled",S288=0),0,Z288/S288)</f>
        <v/>
      </c>
      <c r="AB288" s="82">
        <f>IFERROR(S288/Q288,0)</f>
        <v/>
      </c>
      <c r="AC288" s="56" t="inlineStr">
        <is>
          <t>Delivered</t>
        </is>
      </c>
    </row>
    <row r="289" ht="14.25" customHeight="1" s="57">
      <c r="A289" s="56" t="inlineStr">
        <is>
          <t>ORD-00046</t>
        </is>
      </c>
      <c r="B289" s="79" t="n">
        <v>45928</v>
      </c>
      <c r="C289" s="56" t="n">
        <v>2025</v>
      </c>
      <c r="D289" s="56" t="n">
        <v>9</v>
      </c>
      <c r="E289" s="56" t="inlineStr">
        <is>
          <t>Kuwait</t>
        </is>
      </c>
      <c r="F289" s="56" t="inlineStr">
        <is>
          <t>Kuwait City</t>
        </is>
      </c>
      <c r="G289" s="56" t="inlineStr">
        <is>
          <t>Google Ads</t>
        </is>
      </c>
      <c r="H289" s="56" t="inlineStr">
        <is>
          <t>Launch Test</t>
        </is>
      </c>
      <c r="I289" s="56" t="inlineStr">
        <is>
          <t>P009</t>
        </is>
      </c>
      <c r="J289" s="56" t="inlineStr">
        <is>
          <t>Car Vacuum Cleaner</t>
        </is>
      </c>
      <c r="K289" s="56" t="inlineStr">
        <is>
          <t>Automotive</t>
        </is>
      </c>
      <c r="L289" s="56" t="inlineStr">
        <is>
          <t>Dongguan Auto Tools</t>
        </is>
      </c>
      <c r="M289" s="80" t="n">
        <v>41.3</v>
      </c>
      <c r="N289" s="80" t="n">
        <v>14.57</v>
      </c>
      <c r="O289" s="80" t="n">
        <v>5.91</v>
      </c>
      <c r="P289" s="80" t="n">
        <v>0.03</v>
      </c>
      <c r="Q289" s="80" t="n">
        <v>1.32</v>
      </c>
      <c r="R289" s="80" t="n">
        <v>1</v>
      </c>
      <c r="S289" s="80">
        <f>IF(AC289="Cancelled",0,M289*R289)</f>
        <v/>
      </c>
      <c r="T289" s="80">
        <f>IF(AC289="Cancelled",0,N289*R289)</f>
        <v/>
      </c>
      <c r="U289" s="80">
        <f>IF(AC289="Cancelled",0,O289*R289)</f>
        <v/>
      </c>
      <c r="V289" s="80">
        <f>IF(AC289="Cancelled",0,ROUND(P289*S289,2))</f>
        <v/>
      </c>
      <c r="W289" s="80" t="inlineStr">
        <is>
          <t>No</t>
        </is>
      </c>
      <c r="X289" s="80" t="n">
        <v>0</v>
      </c>
      <c r="Y289" s="80">
        <f>IF(AC289="Cancelled",0,T289+U289+V289+Q289+X289)</f>
        <v/>
      </c>
      <c r="Z289" s="80">
        <f>IF(AC289="Cancelled",-Q289,S289-Y289)</f>
        <v/>
      </c>
      <c r="AA289" s="81">
        <f>IF(OR(AC289="Cancelled",S289=0),0,Z289/S289)</f>
        <v/>
      </c>
      <c r="AB289" s="82">
        <f>IFERROR(S289/Q289,0)</f>
        <v/>
      </c>
      <c r="AC289" s="56" t="inlineStr">
        <is>
          <t>Delivered</t>
        </is>
      </c>
    </row>
    <row r="290" ht="14.25" customHeight="1" s="57">
      <c r="A290" s="56" t="inlineStr">
        <is>
          <t>ORD-00224</t>
        </is>
      </c>
      <c r="B290" s="79" t="n">
        <v>45929</v>
      </c>
      <c r="C290" s="56" t="n">
        <v>2025</v>
      </c>
      <c r="D290" s="56" t="n">
        <v>9</v>
      </c>
      <c r="E290" s="56" t="inlineStr">
        <is>
          <t>UAE</t>
        </is>
      </c>
      <c r="F290" s="56" t="inlineStr">
        <is>
          <t>Abu Dhabi</t>
        </is>
      </c>
      <c r="G290" s="56" t="inlineStr">
        <is>
          <t>TikTok Ads</t>
        </is>
      </c>
      <c r="H290" s="56" t="inlineStr">
        <is>
          <t>Launch Test</t>
        </is>
      </c>
      <c r="I290" s="56" t="inlineStr">
        <is>
          <t>P003</t>
        </is>
      </c>
      <c r="J290" s="56" t="inlineStr">
        <is>
          <t>LED Strip Lights</t>
        </is>
      </c>
      <c r="K290" s="56" t="inlineStr">
        <is>
          <t>Home Decor</t>
        </is>
      </c>
      <c r="L290" s="56" t="inlineStr">
        <is>
          <t>Yiwu Lighting Factory</t>
        </is>
      </c>
      <c r="M290" s="80" t="n">
        <v>26.07</v>
      </c>
      <c r="N290" s="80" t="n">
        <v>6.34</v>
      </c>
      <c r="O290" s="80" t="n">
        <v>3.62</v>
      </c>
      <c r="P290" s="80" t="n">
        <v>0.03</v>
      </c>
      <c r="Q290" s="80" t="n">
        <v>4.26</v>
      </c>
      <c r="R290" s="80" t="n">
        <v>1</v>
      </c>
      <c r="S290" s="80">
        <f>IF(AC290="Cancelled",0,M290*R290)</f>
        <v/>
      </c>
      <c r="T290" s="80">
        <f>IF(AC290="Cancelled",0,N290*R290)</f>
        <v/>
      </c>
      <c r="U290" s="80">
        <f>IF(AC290="Cancelled",0,O290*R290)</f>
        <v/>
      </c>
      <c r="V290" s="80">
        <f>IF(AC290="Cancelled",0,ROUND(P290*S290,2))</f>
        <v/>
      </c>
      <c r="W290" s="80" t="inlineStr">
        <is>
          <t>No</t>
        </is>
      </c>
      <c r="X290" s="80" t="n">
        <v>0</v>
      </c>
      <c r="Y290" s="80">
        <f>IF(AC290="Cancelled",0,T290+U290+V290+Q290+X290)</f>
        <v/>
      </c>
      <c r="Z290" s="80">
        <f>IF(AC290="Cancelled",-Q290,S290-Y290)</f>
        <v/>
      </c>
      <c r="AA290" s="81">
        <f>IF(OR(AC290="Cancelled",S290=0),0,Z290/S290)</f>
        <v/>
      </c>
      <c r="AB290" s="82">
        <f>IFERROR(S290/Q290,0)</f>
        <v/>
      </c>
      <c r="AC290" s="56" t="inlineStr">
        <is>
          <t>Delivered</t>
        </is>
      </c>
    </row>
    <row r="291" ht="14.25" customHeight="1" s="57">
      <c r="A291" s="56" t="inlineStr">
        <is>
          <t>ORD-00123</t>
        </is>
      </c>
      <c r="B291" s="79" t="n">
        <v>45930</v>
      </c>
      <c r="C291" s="56" t="n">
        <v>2025</v>
      </c>
      <c r="D291" s="56" t="n">
        <v>9</v>
      </c>
      <c r="E291" s="56" t="inlineStr">
        <is>
          <t>UAE</t>
        </is>
      </c>
      <c r="F291" s="56" t="inlineStr">
        <is>
          <t>Abu Dhabi</t>
        </is>
      </c>
      <c r="G291" s="56" t="inlineStr">
        <is>
          <t>Meta Ads</t>
        </is>
      </c>
      <c r="H291" s="56" t="inlineStr">
        <is>
          <t>Launch Test</t>
        </is>
      </c>
      <c r="I291" s="56" t="inlineStr">
        <is>
          <t>P004</t>
        </is>
      </c>
      <c r="J291" s="56" t="inlineStr">
        <is>
          <t>Beauty Tool</t>
        </is>
      </c>
      <c r="K291" s="56" t="inlineStr">
        <is>
          <t>Beauty</t>
        </is>
      </c>
      <c r="L291" s="56" t="inlineStr">
        <is>
          <t>Ningbo Beauty Supply</t>
        </is>
      </c>
      <c r="M291" s="80" t="n">
        <v>31.97</v>
      </c>
      <c r="N291" s="80" t="n">
        <v>7</v>
      </c>
      <c r="O291" s="80" t="n">
        <v>4.13</v>
      </c>
      <c r="P291" s="80" t="n">
        <v>0.03</v>
      </c>
      <c r="Q291" s="80" t="n">
        <v>15.35</v>
      </c>
      <c r="R291" s="80" t="n">
        <v>3</v>
      </c>
      <c r="S291" s="80">
        <f>IF(AC291="Cancelled",0,M291*R291)</f>
        <v/>
      </c>
      <c r="T291" s="80">
        <f>IF(AC291="Cancelled",0,N291*R291)</f>
        <v/>
      </c>
      <c r="U291" s="80">
        <f>IF(AC291="Cancelled",0,O291*R291)</f>
        <v/>
      </c>
      <c r="V291" s="80">
        <f>IF(AC291="Cancelled",0,ROUND(P291*S291,2))</f>
        <v/>
      </c>
      <c r="W291" s="80" t="inlineStr">
        <is>
          <t>No</t>
        </is>
      </c>
      <c r="X291" s="80" t="n">
        <v>0</v>
      </c>
      <c r="Y291" s="80">
        <f>IF(AC291="Cancelled",0,T291+U291+V291+Q291+X291)</f>
        <v/>
      </c>
      <c r="Z291" s="80">
        <f>IF(AC291="Cancelled",-Q291,S291-Y291)</f>
        <v/>
      </c>
      <c r="AA291" s="81">
        <f>IF(OR(AC291="Cancelled",S291=0),0,Z291/S291)</f>
        <v/>
      </c>
      <c r="AB291" s="82">
        <f>IFERROR(S291/Q291,0)</f>
        <v/>
      </c>
      <c r="AC291" s="56" t="inlineStr">
        <is>
          <t>Delivered</t>
        </is>
      </c>
    </row>
    <row r="292" ht="14.25" customHeight="1" s="57">
      <c r="A292" s="56" t="inlineStr">
        <is>
          <t>ORD-00466</t>
        </is>
      </c>
      <c r="B292" s="79" t="n">
        <v>45930</v>
      </c>
      <c r="C292" s="56" t="n">
        <v>2025</v>
      </c>
      <c r="D292" s="56" t="n">
        <v>9</v>
      </c>
      <c r="E292" s="56" t="inlineStr">
        <is>
          <t>UAE</t>
        </is>
      </c>
      <c r="F292" s="56" t="inlineStr">
        <is>
          <t>Dubai</t>
        </is>
      </c>
      <c r="G292" s="56" t="inlineStr">
        <is>
          <t>Meta Ads</t>
        </is>
      </c>
      <c r="H292" s="56" t="inlineStr">
        <is>
          <t>Summer Sale</t>
        </is>
      </c>
      <c r="I292" s="56" t="inlineStr">
        <is>
          <t>P004</t>
        </is>
      </c>
      <c r="J292" s="56" t="inlineStr">
        <is>
          <t>Beauty Tool</t>
        </is>
      </c>
      <c r="K292" s="56" t="inlineStr">
        <is>
          <t>Beauty</t>
        </is>
      </c>
      <c r="L292" s="56" t="inlineStr">
        <is>
          <t>Ningbo Beauty Supply</t>
        </is>
      </c>
      <c r="M292" s="80" t="n">
        <v>33.04</v>
      </c>
      <c r="N292" s="80" t="n">
        <v>7.26</v>
      </c>
      <c r="O292" s="80" t="n">
        <v>5.09</v>
      </c>
      <c r="P292" s="80" t="n">
        <v>0.03</v>
      </c>
      <c r="Q292" s="80" t="n">
        <v>7.48</v>
      </c>
      <c r="R292" s="80" t="n">
        <v>3</v>
      </c>
      <c r="S292" s="80">
        <f>IF(AC292="Cancelled",0,M292*R292)</f>
        <v/>
      </c>
      <c r="T292" s="80">
        <f>IF(AC292="Cancelled",0,N292*R292)</f>
        <v/>
      </c>
      <c r="U292" s="80">
        <f>IF(AC292="Cancelled",0,O292*R292)</f>
        <v/>
      </c>
      <c r="V292" s="80">
        <f>IF(AC292="Cancelled",0,ROUND(P292*S292,2))</f>
        <v/>
      </c>
      <c r="W292" s="80" t="inlineStr">
        <is>
          <t>No</t>
        </is>
      </c>
      <c r="X292" s="80" t="n">
        <v>0</v>
      </c>
      <c r="Y292" s="80">
        <f>IF(AC292="Cancelled",0,T292+U292+V292+Q292+X292)</f>
        <v/>
      </c>
      <c r="Z292" s="80">
        <f>IF(AC292="Cancelled",-Q292,S292-Y292)</f>
        <v/>
      </c>
      <c r="AA292" s="81">
        <f>IF(OR(AC292="Cancelled",S292=0),0,Z292/S292)</f>
        <v/>
      </c>
      <c r="AB292" s="82">
        <f>IFERROR(S292/Q292,0)</f>
        <v/>
      </c>
      <c r="AC292" s="56" t="inlineStr">
        <is>
          <t>Delivered</t>
        </is>
      </c>
    </row>
    <row r="293" ht="14.25" customHeight="1" s="57">
      <c r="A293" s="56" t="inlineStr">
        <is>
          <t>ORD-00181</t>
        </is>
      </c>
      <c r="B293" s="79" t="n">
        <v>45931</v>
      </c>
      <c r="C293" s="56" t="n">
        <v>2025</v>
      </c>
      <c r="D293" s="56" t="n">
        <v>10</v>
      </c>
      <c r="E293" s="56" t="inlineStr">
        <is>
          <t>Qatar</t>
        </is>
      </c>
      <c r="F293" s="56" t="inlineStr">
        <is>
          <t>Doha</t>
        </is>
      </c>
      <c r="G293" s="56" t="inlineStr">
        <is>
          <t>Email</t>
        </is>
      </c>
      <c r="H293" s="56" t="inlineStr">
        <is>
          <t>Launch Test</t>
        </is>
      </c>
      <c r="I293" s="56" t="inlineStr">
        <is>
          <t>P006</t>
        </is>
      </c>
      <c r="J293" s="56" t="inlineStr">
        <is>
          <t>Posture Corrector</t>
        </is>
      </c>
      <c r="K293" s="56" t="inlineStr">
        <is>
          <t>Fitness</t>
        </is>
      </c>
      <c r="L293" s="56" t="inlineStr">
        <is>
          <t>Hangzhou Health Gear</t>
        </is>
      </c>
      <c r="M293" s="80" t="n">
        <v>37.53</v>
      </c>
      <c r="N293" s="80" t="n">
        <v>8.800000000000001</v>
      </c>
      <c r="O293" s="80" t="n">
        <v>4.02</v>
      </c>
      <c r="P293" s="80" t="n">
        <v>0.03</v>
      </c>
      <c r="Q293" s="80" t="n">
        <v>12.54</v>
      </c>
      <c r="R293" s="80" t="n">
        <v>2</v>
      </c>
      <c r="S293" s="80">
        <f>IF(AC293="Cancelled",0,M293*R293)</f>
        <v/>
      </c>
      <c r="T293" s="80">
        <f>IF(AC293="Cancelled",0,N293*R293)</f>
        <v/>
      </c>
      <c r="U293" s="80">
        <f>IF(AC293="Cancelled",0,O293*R293)</f>
        <v/>
      </c>
      <c r="V293" s="80">
        <f>IF(AC293="Cancelled",0,ROUND(P293*S293,2))</f>
        <v/>
      </c>
      <c r="W293" s="80" t="inlineStr">
        <is>
          <t>No</t>
        </is>
      </c>
      <c r="X293" s="80" t="n">
        <v>0</v>
      </c>
      <c r="Y293" s="80">
        <f>IF(AC293="Cancelled",0,T293+U293+V293+Q293+X293)</f>
        <v/>
      </c>
      <c r="Z293" s="80">
        <f>IF(AC293="Cancelled",-Q293,S293-Y293)</f>
        <v/>
      </c>
      <c r="AA293" s="81">
        <f>IF(OR(AC293="Cancelled",S293=0),0,Z293/S293)</f>
        <v/>
      </c>
      <c r="AB293" s="82">
        <f>IFERROR(S293/Q293,0)</f>
        <v/>
      </c>
      <c r="AC293" s="56" t="inlineStr">
        <is>
          <t>Delivered</t>
        </is>
      </c>
    </row>
    <row r="294" ht="14.25" customHeight="1" s="57">
      <c r="A294" s="56" t="inlineStr">
        <is>
          <t>ORD-00364</t>
        </is>
      </c>
      <c r="B294" s="79" t="n">
        <v>45931</v>
      </c>
      <c r="C294" s="56" t="n">
        <v>2025</v>
      </c>
      <c r="D294" s="56" t="n">
        <v>10</v>
      </c>
      <c r="E294" s="56" t="inlineStr">
        <is>
          <t>Kuwait</t>
        </is>
      </c>
      <c r="F294" s="56" t="inlineStr">
        <is>
          <t>Kuwait City</t>
        </is>
      </c>
      <c r="G294" s="56" t="inlineStr">
        <is>
          <t>Google Ads</t>
        </is>
      </c>
      <c r="H294" s="56" t="inlineStr">
        <is>
          <t>Launch Test</t>
        </is>
      </c>
      <c r="I294" s="56" t="inlineStr">
        <is>
          <t>P007</t>
        </is>
      </c>
      <c r="J294" s="56" t="inlineStr">
        <is>
          <t>Pet Grooming Glove</t>
        </is>
      </c>
      <c r="K294" s="56" t="inlineStr">
        <is>
          <t>Pets</t>
        </is>
      </c>
      <c r="L294" s="56" t="inlineStr">
        <is>
          <t>Yiwu Pet Products</t>
        </is>
      </c>
      <c r="M294" s="80" t="n">
        <v>18.32</v>
      </c>
      <c r="N294" s="80" t="n">
        <v>3.59</v>
      </c>
      <c r="O294" s="80" t="n">
        <v>2.52</v>
      </c>
      <c r="P294" s="80" t="n">
        <v>0.03</v>
      </c>
      <c r="Q294" s="80" t="n">
        <v>4.15</v>
      </c>
      <c r="R294" s="80" t="n">
        <v>1</v>
      </c>
      <c r="S294" s="80">
        <f>IF(AC294="Cancelled",0,M294*R294)</f>
        <v/>
      </c>
      <c r="T294" s="80">
        <f>IF(AC294="Cancelled",0,N294*R294)</f>
        <v/>
      </c>
      <c r="U294" s="80">
        <f>IF(AC294="Cancelled",0,O294*R294)</f>
        <v/>
      </c>
      <c r="V294" s="80">
        <f>IF(AC294="Cancelled",0,ROUND(P294*S294,2))</f>
        <v/>
      </c>
      <c r="W294" s="80" t="inlineStr">
        <is>
          <t>No</t>
        </is>
      </c>
      <c r="X294" s="80" t="n">
        <v>0</v>
      </c>
      <c r="Y294" s="80">
        <f>IF(AC294="Cancelled",0,T294+U294+V294+Q294+X294)</f>
        <v/>
      </c>
      <c r="Z294" s="80">
        <f>IF(AC294="Cancelled",-Q294,S294-Y294)</f>
        <v/>
      </c>
      <c r="AA294" s="81">
        <f>IF(OR(AC294="Cancelled",S294=0),0,Z294/S294)</f>
        <v/>
      </c>
      <c r="AB294" s="82">
        <f>IFERROR(S294/Q294,0)</f>
        <v/>
      </c>
      <c r="AC294" s="56" t="inlineStr">
        <is>
          <t>Delivered</t>
        </is>
      </c>
    </row>
    <row r="295" ht="14.25" customHeight="1" s="57">
      <c r="A295" s="56" t="inlineStr">
        <is>
          <t>ORD-00178</t>
        </is>
      </c>
      <c r="B295" s="79" t="n">
        <v>45932</v>
      </c>
      <c r="C295" s="56" t="n">
        <v>2025</v>
      </c>
      <c r="D295" s="56" t="n">
        <v>10</v>
      </c>
      <c r="E295" s="56" t="inlineStr">
        <is>
          <t>UAE</t>
        </is>
      </c>
      <c r="F295" s="56" t="inlineStr">
        <is>
          <t>Sharjah</t>
        </is>
      </c>
      <c r="G295" s="56" t="inlineStr">
        <is>
          <t>Meta Ads</t>
        </is>
      </c>
      <c r="H295" s="56" t="inlineStr">
        <is>
          <t>Bundle Promo</t>
        </is>
      </c>
      <c r="I295" s="56" t="inlineStr">
        <is>
          <t>P001</t>
        </is>
      </c>
      <c r="J295" s="56" t="inlineStr">
        <is>
          <t>Wireless Earbuds</t>
        </is>
      </c>
      <c r="K295" s="56" t="inlineStr">
        <is>
          <t>Electronics</t>
        </is>
      </c>
      <c r="L295" s="56" t="inlineStr">
        <is>
          <t>Shenzhen Audio Co.</t>
        </is>
      </c>
      <c r="M295" s="80" t="n">
        <v>42.43</v>
      </c>
      <c r="N295" s="80" t="n">
        <v>8.529999999999999</v>
      </c>
      <c r="O295" s="80" t="n">
        <v>4.55</v>
      </c>
      <c r="P295" s="80" t="n">
        <v>0.03</v>
      </c>
      <c r="Q295" s="80" t="n">
        <v>3.43</v>
      </c>
      <c r="R295" s="80" t="n">
        <v>1</v>
      </c>
      <c r="S295" s="80">
        <f>IF(AC295="Cancelled",0,M295*R295)</f>
        <v/>
      </c>
      <c r="T295" s="80">
        <f>IF(AC295="Cancelled",0,N295*R295)</f>
        <v/>
      </c>
      <c r="U295" s="80">
        <f>IF(AC295="Cancelled",0,O295*R295)</f>
        <v/>
      </c>
      <c r="V295" s="80">
        <f>IF(AC295="Cancelled",0,ROUND(P295*S295,2))</f>
        <v/>
      </c>
      <c r="W295" s="80" t="inlineStr">
        <is>
          <t>No</t>
        </is>
      </c>
      <c r="X295" s="80" t="n">
        <v>0</v>
      </c>
      <c r="Y295" s="80">
        <f>IF(AC295="Cancelled",0,T295+U295+V295+Q295+X295)</f>
        <v/>
      </c>
      <c r="Z295" s="80">
        <f>IF(AC295="Cancelled",-Q295,S295-Y295)</f>
        <v/>
      </c>
      <c r="AA295" s="81">
        <f>IF(OR(AC295="Cancelled",S295=0),0,Z295/S295)</f>
        <v/>
      </c>
      <c r="AB295" s="82">
        <f>IFERROR(S295/Q295,0)</f>
        <v/>
      </c>
      <c r="AC295" s="56" t="inlineStr">
        <is>
          <t>Delivered</t>
        </is>
      </c>
    </row>
    <row r="296" ht="14.25" customHeight="1" s="57">
      <c r="A296" s="56" t="inlineStr">
        <is>
          <t>ORD-00100</t>
        </is>
      </c>
      <c r="B296" s="79" t="n">
        <v>45935</v>
      </c>
      <c r="C296" s="56" t="n">
        <v>2025</v>
      </c>
      <c r="D296" s="56" t="n">
        <v>10</v>
      </c>
      <c r="E296" s="56" t="inlineStr">
        <is>
          <t>UAE</t>
        </is>
      </c>
      <c r="F296" s="56" t="inlineStr">
        <is>
          <t>Abu Dhabi</t>
        </is>
      </c>
      <c r="G296" s="56" t="inlineStr">
        <is>
          <t>Organic Search</t>
        </is>
      </c>
      <c r="H296" s="56" t="inlineStr">
        <is>
          <t>Summer Sale</t>
        </is>
      </c>
      <c r="I296" s="56" t="inlineStr">
        <is>
          <t>P002</t>
        </is>
      </c>
      <c r="J296" s="56" t="inlineStr">
        <is>
          <t>Phone Case</t>
        </is>
      </c>
      <c r="K296" s="56" t="inlineStr">
        <is>
          <t>Accessories</t>
        </is>
      </c>
      <c r="L296" s="56" t="inlineStr">
        <is>
          <t>Guangzhou Cases Ltd.</t>
        </is>
      </c>
      <c r="M296" s="80" t="n">
        <v>16.68</v>
      </c>
      <c r="N296" s="80" t="n">
        <v>2.07</v>
      </c>
      <c r="O296" s="80" t="n">
        <v>2.28</v>
      </c>
      <c r="P296" s="80" t="n">
        <v>0.03</v>
      </c>
      <c r="Q296" s="80" t="n">
        <v>0</v>
      </c>
      <c r="R296" s="80" t="n">
        <v>1</v>
      </c>
      <c r="S296" s="80">
        <f>IF(AC296="Cancelled",0,M296*R296)</f>
        <v/>
      </c>
      <c r="T296" s="80">
        <f>IF(AC296="Cancelled",0,N296*R296)</f>
        <v/>
      </c>
      <c r="U296" s="80">
        <f>IF(AC296="Cancelled",0,O296*R296)</f>
        <v/>
      </c>
      <c r="V296" s="80">
        <f>IF(AC296="Cancelled",0,ROUND(P296*S296,2))</f>
        <v/>
      </c>
      <c r="W296" s="80" t="inlineStr">
        <is>
          <t>No</t>
        </is>
      </c>
      <c r="X296" s="80" t="n">
        <v>0</v>
      </c>
      <c r="Y296" s="80">
        <f>IF(AC296="Cancelled",0,T296+U296+V296+Q296+X296)</f>
        <v/>
      </c>
      <c r="Z296" s="80">
        <f>IF(AC296="Cancelled",-Q296,S296-Y296)</f>
        <v/>
      </c>
      <c r="AA296" s="81">
        <f>IF(OR(AC296="Cancelled",S296=0),0,Z296/S296)</f>
        <v/>
      </c>
      <c r="AB296" s="82">
        <f>IFERROR(S296/Q296,0)</f>
        <v/>
      </c>
      <c r="AC296" s="56" t="inlineStr">
        <is>
          <t>Delivered</t>
        </is>
      </c>
    </row>
    <row r="297" ht="14.25" customHeight="1" s="57">
      <c r="A297" s="56" t="inlineStr">
        <is>
          <t>ORD-00153</t>
        </is>
      </c>
      <c r="B297" s="79" t="n">
        <v>45935</v>
      </c>
      <c r="C297" s="56" t="n">
        <v>2025</v>
      </c>
      <c r="D297" s="56" t="n">
        <v>10</v>
      </c>
      <c r="E297" s="56" t="inlineStr">
        <is>
          <t>UAE</t>
        </is>
      </c>
      <c r="F297" s="56" t="inlineStr">
        <is>
          <t>Abu Dhabi</t>
        </is>
      </c>
      <c r="G297" s="56" t="inlineStr">
        <is>
          <t>TikTok Ads</t>
        </is>
      </c>
      <c r="H297" s="56" t="inlineStr">
        <is>
          <t>New Creative A/B</t>
        </is>
      </c>
      <c r="I297" s="56" t="inlineStr">
        <is>
          <t>P005</t>
        </is>
      </c>
      <c r="J297" s="56" t="inlineStr">
        <is>
          <t>Mini Printer</t>
        </is>
      </c>
      <c r="K297" s="56" t="inlineStr">
        <is>
          <t>Electronics</t>
        </is>
      </c>
      <c r="L297" s="56" t="inlineStr">
        <is>
          <t>Shenzhen Print Tech</t>
        </is>
      </c>
      <c r="M297" s="80" t="n">
        <v>64.40000000000001</v>
      </c>
      <c r="N297" s="80" t="n">
        <v>22.42</v>
      </c>
      <c r="O297" s="80" t="n">
        <v>6.6</v>
      </c>
      <c r="P297" s="80" t="n">
        <v>0.03</v>
      </c>
      <c r="Q297" s="80" t="n">
        <v>17.14</v>
      </c>
      <c r="R297" s="80" t="n">
        <v>2</v>
      </c>
      <c r="S297" s="80">
        <f>IF(AC297="Cancelled",0,M297*R297)</f>
        <v/>
      </c>
      <c r="T297" s="80">
        <f>IF(AC297="Cancelled",0,N297*R297)</f>
        <v/>
      </c>
      <c r="U297" s="80">
        <f>IF(AC297="Cancelled",0,O297*R297)</f>
        <v/>
      </c>
      <c r="V297" s="80">
        <f>IF(AC297="Cancelled",0,ROUND(P297*S297,2))</f>
        <v/>
      </c>
      <c r="W297" s="80" t="inlineStr">
        <is>
          <t>No</t>
        </is>
      </c>
      <c r="X297" s="80" t="n">
        <v>0</v>
      </c>
      <c r="Y297" s="80">
        <f>IF(AC297="Cancelled",0,T297+U297+V297+Q297+X297)</f>
        <v/>
      </c>
      <c r="Z297" s="80">
        <f>IF(AC297="Cancelled",-Q297,S297-Y297)</f>
        <v/>
      </c>
      <c r="AA297" s="81">
        <f>IF(OR(AC297="Cancelled",S297=0),0,Z297/S297)</f>
        <v/>
      </c>
      <c r="AB297" s="82">
        <f>IFERROR(S297/Q297,0)</f>
        <v/>
      </c>
      <c r="AC297" s="56" t="inlineStr">
        <is>
          <t>Delivered</t>
        </is>
      </c>
    </row>
    <row r="298" ht="14.25" customHeight="1" s="57">
      <c r="A298" s="56" t="inlineStr">
        <is>
          <t>ORD-00308</t>
        </is>
      </c>
      <c r="B298" s="79" t="n">
        <v>45936</v>
      </c>
      <c r="C298" s="56" t="n">
        <v>2025</v>
      </c>
      <c r="D298" s="56" t="n">
        <v>10</v>
      </c>
      <c r="E298" s="56" t="inlineStr">
        <is>
          <t>Saudi Arabia</t>
        </is>
      </c>
      <c r="F298" s="56" t="inlineStr">
        <is>
          <t>Riyadh</t>
        </is>
      </c>
      <c r="G298" s="56" t="inlineStr">
        <is>
          <t>TikTok Ads</t>
        </is>
      </c>
      <c r="H298" s="56" t="inlineStr">
        <is>
          <t>Retargeting</t>
        </is>
      </c>
      <c r="I298" s="56" t="inlineStr">
        <is>
          <t>P007</t>
        </is>
      </c>
      <c r="J298" s="56" t="inlineStr">
        <is>
          <t>Pet Grooming Glove</t>
        </is>
      </c>
      <c r="K298" s="56" t="inlineStr">
        <is>
          <t>Pets</t>
        </is>
      </c>
      <c r="L298" s="56" t="inlineStr">
        <is>
          <t>Yiwu Pet Products</t>
        </is>
      </c>
      <c r="M298" s="80" t="n">
        <v>18.44</v>
      </c>
      <c r="N298" s="80" t="n">
        <v>3.58</v>
      </c>
      <c r="O298" s="80" t="n">
        <v>2.58</v>
      </c>
      <c r="P298" s="80" t="n">
        <v>0.03</v>
      </c>
      <c r="Q298" s="80" t="n">
        <v>11.91</v>
      </c>
      <c r="R298" s="80" t="n">
        <v>3</v>
      </c>
      <c r="S298" s="80">
        <f>IF(AC298="Cancelled",0,M298*R298)</f>
        <v/>
      </c>
      <c r="T298" s="80">
        <f>IF(AC298="Cancelled",0,N298*R298)</f>
        <v/>
      </c>
      <c r="U298" s="80">
        <f>IF(AC298="Cancelled",0,O298*R298)</f>
        <v/>
      </c>
      <c r="V298" s="80">
        <f>IF(AC298="Cancelled",0,ROUND(P298*S298,2))</f>
        <v/>
      </c>
      <c r="W298" s="80" t="inlineStr">
        <is>
          <t>No</t>
        </is>
      </c>
      <c r="X298" s="80" t="n">
        <v>0</v>
      </c>
      <c r="Y298" s="80">
        <f>IF(AC298="Cancelled",0,T298+U298+V298+Q298+X298)</f>
        <v/>
      </c>
      <c r="Z298" s="80">
        <f>IF(AC298="Cancelled",-Q298,S298-Y298)</f>
        <v/>
      </c>
      <c r="AA298" s="81">
        <f>IF(OR(AC298="Cancelled",S298=0),0,Z298/S298)</f>
        <v/>
      </c>
      <c r="AB298" s="82">
        <f>IFERROR(S298/Q298,0)</f>
        <v/>
      </c>
      <c r="AC298" s="56" t="inlineStr">
        <is>
          <t>Delivered</t>
        </is>
      </c>
    </row>
    <row r="299" ht="14.25" customHeight="1" s="57">
      <c r="A299" s="56" t="inlineStr">
        <is>
          <t>ORD-00377</t>
        </is>
      </c>
      <c r="B299" s="79" t="n">
        <v>45936</v>
      </c>
      <c r="C299" s="56" t="n">
        <v>2025</v>
      </c>
      <c r="D299" s="56" t="n">
        <v>10</v>
      </c>
      <c r="E299" s="56" t="inlineStr">
        <is>
          <t>Saudi Arabia</t>
        </is>
      </c>
      <c r="F299" s="56" t="inlineStr">
        <is>
          <t>Jeddah</t>
        </is>
      </c>
      <c r="G299" s="56" t="inlineStr">
        <is>
          <t>TikTok Ads</t>
        </is>
      </c>
      <c r="H299" s="56" t="inlineStr">
        <is>
          <t>Retargeting</t>
        </is>
      </c>
      <c r="I299" s="56" t="inlineStr">
        <is>
          <t>P009</t>
        </is>
      </c>
      <c r="J299" s="56" t="inlineStr">
        <is>
          <t>Car Vacuum Cleaner</t>
        </is>
      </c>
      <c r="K299" s="56" t="inlineStr">
        <is>
          <t>Automotive</t>
        </is>
      </c>
      <c r="L299" s="56" t="inlineStr">
        <is>
          <t>Dongguan Auto Tools</t>
        </is>
      </c>
      <c r="M299" s="80" t="n">
        <v>48.51</v>
      </c>
      <c r="N299" s="80" t="n">
        <v>14.89</v>
      </c>
      <c r="O299" s="80" t="n">
        <v>7.02</v>
      </c>
      <c r="P299" s="80" t="n">
        <v>0.03</v>
      </c>
      <c r="Q299" s="80" t="n">
        <v>22.81</v>
      </c>
      <c r="R299" s="80" t="n">
        <v>3</v>
      </c>
      <c r="S299" s="80">
        <f>IF(AC299="Cancelled",0,M299*R299)</f>
        <v/>
      </c>
      <c r="T299" s="80">
        <f>IF(AC299="Cancelled",0,N299*R299)</f>
        <v/>
      </c>
      <c r="U299" s="80">
        <f>IF(AC299="Cancelled",0,O299*R299)</f>
        <v/>
      </c>
      <c r="V299" s="80">
        <f>IF(AC299="Cancelled",0,ROUND(P299*S299,2))</f>
        <v/>
      </c>
      <c r="W299" s="80" t="inlineStr">
        <is>
          <t>No</t>
        </is>
      </c>
      <c r="X299" s="80" t="n">
        <v>0</v>
      </c>
      <c r="Y299" s="80">
        <f>IF(AC299="Cancelled",0,T299+U299+V299+Q299+X299)</f>
        <v/>
      </c>
      <c r="Z299" s="80">
        <f>IF(AC299="Cancelled",-Q299,S299-Y299)</f>
        <v/>
      </c>
      <c r="AA299" s="81">
        <f>IF(OR(AC299="Cancelled",S299=0),0,Z299/S299)</f>
        <v/>
      </c>
      <c r="AB299" s="82">
        <f>IFERROR(S299/Q299,0)</f>
        <v/>
      </c>
      <c r="AC299" s="56" t="inlineStr">
        <is>
          <t>Delivered</t>
        </is>
      </c>
    </row>
    <row r="300" ht="14.25" customHeight="1" s="57">
      <c r="A300" s="56" t="inlineStr">
        <is>
          <t>ORD-00115</t>
        </is>
      </c>
      <c r="B300" s="79" t="n">
        <v>45937</v>
      </c>
      <c r="C300" s="56" t="n">
        <v>2025</v>
      </c>
      <c r="D300" s="56" t="n">
        <v>10</v>
      </c>
      <c r="E300" s="56" t="inlineStr">
        <is>
          <t>Oman</t>
        </is>
      </c>
      <c r="F300" s="56" t="inlineStr">
        <is>
          <t>Muscat</t>
        </is>
      </c>
      <c r="G300" s="56" t="inlineStr">
        <is>
          <t>Influencer</t>
        </is>
      </c>
      <c r="H300" s="56" t="inlineStr">
        <is>
          <t>Summer Sale</t>
        </is>
      </c>
      <c r="I300" s="56" t="inlineStr">
        <is>
          <t>P005</t>
        </is>
      </c>
      <c r="J300" s="56" t="inlineStr">
        <is>
          <t>Mini Printer</t>
        </is>
      </c>
      <c r="K300" s="56" t="inlineStr">
        <is>
          <t>Electronics</t>
        </is>
      </c>
      <c r="L300" s="56" t="inlineStr">
        <is>
          <t>Shenzhen Print Tech</t>
        </is>
      </c>
      <c r="M300" s="80" t="n">
        <v>57.44</v>
      </c>
      <c r="N300" s="80" t="n">
        <v>21.63</v>
      </c>
      <c r="O300" s="80" t="n">
        <v>7.98</v>
      </c>
      <c r="P300" s="80" t="n">
        <v>0.03</v>
      </c>
      <c r="Q300" s="80" t="n">
        <v>14.62</v>
      </c>
      <c r="R300" s="80" t="n">
        <v>3</v>
      </c>
      <c r="S300" s="80">
        <f>IF(AC300="Cancelled",0,M300*R300)</f>
        <v/>
      </c>
      <c r="T300" s="80">
        <f>IF(AC300="Cancelled",0,N300*R300)</f>
        <v/>
      </c>
      <c r="U300" s="80">
        <f>IF(AC300="Cancelled",0,O300*R300)</f>
        <v/>
      </c>
      <c r="V300" s="80">
        <f>IF(AC300="Cancelled",0,ROUND(P300*S300,2))</f>
        <v/>
      </c>
      <c r="W300" s="80" t="inlineStr">
        <is>
          <t>No</t>
        </is>
      </c>
      <c r="X300" s="80" t="n">
        <v>0</v>
      </c>
      <c r="Y300" s="80">
        <f>IF(AC300="Cancelled",0,T300+U300+V300+Q300+X300)</f>
        <v/>
      </c>
      <c r="Z300" s="80">
        <f>IF(AC300="Cancelled",-Q300,S300-Y300)</f>
        <v/>
      </c>
      <c r="AA300" s="81">
        <f>IF(OR(AC300="Cancelled",S300=0),0,Z300/S300)</f>
        <v/>
      </c>
      <c r="AB300" s="82">
        <f>IFERROR(S300/Q300,0)</f>
        <v/>
      </c>
      <c r="AC300" s="56" t="inlineStr">
        <is>
          <t>Delivered</t>
        </is>
      </c>
    </row>
    <row r="301" ht="14.25" customHeight="1" s="57">
      <c r="A301" s="56" t="inlineStr">
        <is>
          <t>ORD-00139</t>
        </is>
      </c>
      <c r="B301" s="79" t="n">
        <v>45937</v>
      </c>
      <c r="C301" s="56" t="n">
        <v>2025</v>
      </c>
      <c r="D301" s="56" t="n">
        <v>10</v>
      </c>
      <c r="E301" s="56" t="inlineStr">
        <is>
          <t>Kuwait</t>
        </is>
      </c>
      <c r="F301" s="56" t="inlineStr">
        <is>
          <t>Kuwait City</t>
        </is>
      </c>
      <c r="G301" s="56" t="inlineStr">
        <is>
          <t>Meta Ads</t>
        </is>
      </c>
      <c r="H301" s="56" t="inlineStr">
        <is>
          <t>Bundle Promo</t>
        </is>
      </c>
      <c r="I301" s="56" t="inlineStr">
        <is>
          <t>P003</t>
        </is>
      </c>
      <c r="J301" s="56" t="inlineStr">
        <is>
          <t>LED Strip Lights</t>
        </is>
      </c>
      <c r="K301" s="56" t="inlineStr">
        <is>
          <t>Home Decor</t>
        </is>
      </c>
      <c r="L301" s="56" t="inlineStr">
        <is>
          <t>Yiwu Lighting Factory</t>
        </is>
      </c>
      <c r="M301" s="80" t="n">
        <v>27.98</v>
      </c>
      <c r="N301" s="80" t="n">
        <v>6.03</v>
      </c>
      <c r="O301" s="80" t="n">
        <v>3.33</v>
      </c>
      <c r="P301" s="80" t="n">
        <v>0.03</v>
      </c>
      <c r="Q301" s="80" t="n">
        <v>9.130000000000001</v>
      </c>
      <c r="R301" s="80" t="n">
        <v>1</v>
      </c>
      <c r="S301" s="80">
        <f>IF(AC301="Cancelled",0,M301*R301)</f>
        <v/>
      </c>
      <c r="T301" s="80">
        <f>IF(AC301="Cancelled",0,N301*R301)</f>
        <v/>
      </c>
      <c r="U301" s="80">
        <f>IF(AC301="Cancelled",0,O301*R301)</f>
        <v/>
      </c>
      <c r="V301" s="80">
        <f>IF(AC301="Cancelled",0,ROUND(P301*S301,2))</f>
        <v/>
      </c>
      <c r="W301" s="80" t="inlineStr">
        <is>
          <t>No</t>
        </is>
      </c>
      <c r="X301" s="80" t="n">
        <v>0</v>
      </c>
      <c r="Y301" s="80">
        <f>IF(AC301="Cancelled",0,T301+U301+V301+Q301+X301)</f>
        <v/>
      </c>
      <c r="Z301" s="80">
        <f>IF(AC301="Cancelled",-Q301,S301-Y301)</f>
        <v/>
      </c>
      <c r="AA301" s="81">
        <f>IF(OR(AC301="Cancelled",S301=0),0,Z301/S301)</f>
        <v/>
      </c>
      <c r="AB301" s="82">
        <f>IFERROR(S301/Q301,0)</f>
        <v/>
      </c>
      <c r="AC301" s="56" t="inlineStr">
        <is>
          <t>Delivered</t>
        </is>
      </c>
    </row>
    <row r="302" ht="14.25" customHeight="1" s="57">
      <c r="A302" s="56" t="inlineStr">
        <is>
          <t>ORD-00306</t>
        </is>
      </c>
      <c r="B302" s="79" t="n">
        <v>45938</v>
      </c>
      <c r="C302" s="56" t="n">
        <v>2025</v>
      </c>
      <c r="D302" s="56" t="n">
        <v>10</v>
      </c>
      <c r="E302" s="56" t="inlineStr">
        <is>
          <t>Saudi Arabia</t>
        </is>
      </c>
      <c r="F302" s="56" t="inlineStr">
        <is>
          <t>Jeddah</t>
        </is>
      </c>
      <c r="G302" s="56" t="inlineStr">
        <is>
          <t>Influencer</t>
        </is>
      </c>
      <c r="H302" s="56" t="inlineStr">
        <is>
          <t>Bundle Promo</t>
        </is>
      </c>
      <c r="I302" s="56" t="inlineStr">
        <is>
          <t>P009</t>
        </is>
      </c>
      <c r="J302" s="56" t="inlineStr">
        <is>
          <t>Car Vacuum Cleaner</t>
        </is>
      </c>
      <c r="K302" s="56" t="inlineStr">
        <is>
          <t>Automotive</t>
        </is>
      </c>
      <c r="L302" s="56" t="inlineStr">
        <is>
          <t>Dongguan Auto Tools</t>
        </is>
      </c>
      <c r="M302" s="80" t="n">
        <v>46.89</v>
      </c>
      <c r="N302" s="80" t="n">
        <v>13.49</v>
      </c>
      <c r="O302" s="80" t="n">
        <v>7.37</v>
      </c>
      <c r="P302" s="80" t="n">
        <v>0.03</v>
      </c>
      <c r="Q302" s="80" t="n">
        <v>6.2</v>
      </c>
      <c r="R302" s="80" t="n">
        <v>2</v>
      </c>
      <c r="S302" s="80">
        <f>IF(AC302="Cancelled",0,M302*R302)</f>
        <v/>
      </c>
      <c r="T302" s="80">
        <f>IF(AC302="Cancelled",0,N302*R302)</f>
        <v/>
      </c>
      <c r="U302" s="80">
        <f>IF(AC302="Cancelled",0,O302*R302)</f>
        <v/>
      </c>
      <c r="V302" s="80">
        <f>IF(AC302="Cancelled",0,ROUND(P302*S302,2))</f>
        <v/>
      </c>
      <c r="W302" s="80" t="inlineStr">
        <is>
          <t>No</t>
        </is>
      </c>
      <c r="X302" s="80" t="n">
        <v>0</v>
      </c>
      <c r="Y302" s="80">
        <f>IF(AC302="Cancelled",0,T302+U302+V302+Q302+X302)</f>
        <v/>
      </c>
      <c r="Z302" s="80">
        <f>IF(AC302="Cancelled",-Q302,S302-Y302)</f>
        <v/>
      </c>
      <c r="AA302" s="81">
        <f>IF(OR(AC302="Cancelled",S302=0),0,Z302/S302)</f>
        <v/>
      </c>
      <c r="AB302" s="82">
        <f>IFERROR(S302/Q302,0)</f>
        <v/>
      </c>
      <c r="AC302" s="56" t="inlineStr">
        <is>
          <t>Delivered</t>
        </is>
      </c>
    </row>
    <row r="303" ht="14.25" customHeight="1" s="57">
      <c r="A303" s="56" t="inlineStr">
        <is>
          <t>ORD-00062</t>
        </is>
      </c>
      <c r="B303" s="79" t="n">
        <v>45939</v>
      </c>
      <c r="C303" s="56" t="n">
        <v>2025</v>
      </c>
      <c r="D303" s="56" t="n">
        <v>10</v>
      </c>
      <c r="E303" s="56" t="inlineStr">
        <is>
          <t>Saudi Arabia</t>
        </is>
      </c>
      <c r="F303" s="56" t="inlineStr">
        <is>
          <t>Riyadh</t>
        </is>
      </c>
      <c r="G303" s="56" t="inlineStr">
        <is>
          <t>TikTok Ads</t>
        </is>
      </c>
      <c r="H303" s="56" t="inlineStr">
        <is>
          <t>Bundle Promo</t>
        </is>
      </c>
      <c r="I303" s="56" t="inlineStr">
        <is>
          <t>P006</t>
        </is>
      </c>
      <c r="J303" s="56" t="inlineStr">
        <is>
          <t>Posture Corrector</t>
        </is>
      </c>
      <c r="K303" s="56" t="inlineStr">
        <is>
          <t>Fitness</t>
        </is>
      </c>
      <c r="L303" s="56" t="inlineStr">
        <is>
          <t>Hangzhou Health Gear</t>
        </is>
      </c>
      <c r="M303" s="80" t="n">
        <v>34.8</v>
      </c>
      <c r="N303" s="80" t="n">
        <v>9.449999999999999</v>
      </c>
      <c r="O303" s="80" t="n">
        <v>4.36</v>
      </c>
      <c r="P303" s="80" t="n">
        <v>0.03</v>
      </c>
      <c r="Q303" s="80" t="n">
        <v>2.63</v>
      </c>
      <c r="R303" s="80" t="n">
        <v>1</v>
      </c>
      <c r="S303" s="80">
        <f>IF(AC303="Cancelled",0,M303*R303)</f>
        <v/>
      </c>
      <c r="T303" s="80">
        <f>IF(AC303="Cancelled",0,N303*R303)</f>
        <v/>
      </c>
      <c r="U303" s="80">
        <f>IF(AC303="Cancelled",0,O303*R303)</f>
        <v/>
      </c>
      <c r="V303" s="80">
        <f>IF(AC303="Cancelled",0,ROUND(P303*S303,2))</f>
        <v/>
      </c>
      <c r="W303" s="80" t="inlineStr">
        <is>
          <t>No</t>
        </is>
      </c>
      <c r="X303" s="80" t="n">
        <v>0</v>
      </c>
      <c r="Y303" s="80">
        <f>IF(AC303="Cancelled",0,T303+U303+V303+Q303+X303)</f>
        <v/>
      </c>
      <c r="Z303" s="80">
        <f>IF(AC303="Cancelled",-Q303,S303-Y303)</f>
        <v/>
      </c>
      <c r="AA303" s="81">
        <f>IF(OR(AC303="Cancelled",S303=0),0,Z303/S303)</f>
        <v/>
      </c>
      <c r="AB303" s="82">
        <f>IFERROR(S303/Q303,0)</f>
        <v/>
      </c>
      <c r="AC303" s="56" t="inlineStr">
        <is>
          <t>Delivered</t>
        </is>
      </c>
    </row>
    <row r="304" ht="14.25" customHeight="1" s="57">
      <c r="A304" s="56" t="inlineStr">
        <is>
          <t>ORD-00479</t>
        </is>
      </c>
      <c r="B304" s="79" t="n">
        <v>45940</v>
      </c>
      <c r="C304" s="56" t="n">
        <v>2025</v>
      </c>
      <c r="D304" s="56" t="n">
        <v>10</v>
      </c>
      <c r="E304" s="56" t="inlineStr">
        <is>
          <t>Qatar</t>
        </is>
      </c>
      <c r="F304" s="56" t="inlineStr">
        <is>
          <t>Doha</t>
        </is>
      </c>
      <c r="G304" s="56" t="inlineStr">
        <is>
          <t>Organic Search</t>
        </is>
      </c>
      <c r="H304" s="56" t="inlineStr">
        <is>
          <t>Bundle Promo</t>
        </is>
      </c>
      <c r="I304" s="56" t="inlineStr">
        <is>
          <t>P009</t>
        </is>
      </c>
      <c r="J304" s="56" t="inlineStr">
        <is>
          <t>Car Vacuum Cleaner</t>
        </is>
      </c>
      <c r="K304" s="56" t="inlineStr">
        <is>
          <t>Automotive</t>
        </is>
      </c>
      <c r="L304" s="56" t="inlineStr">
        <is>
          <t>Dongguan Auto Tools</t>
        </is>
      </c>
      <c r="M304" s="80" t="n">
        <v>49.25</v>
      </c>
      <c r="N304" s="80" t="n">
        <v>13.43</v>
      </c>
      <c r="O304" s="80" t="n">
        <v>7.47</v>
      </c>
      <c r="P304" s="80" t="n">
        <v>0.03</v>
      </c>
      <c r="Q304" s="80" t="n">
        <v>0</v>
      </c>
      <c r="R304" s="80" t="n">
        <v>2</v>
      </c>
      <c r="S304" s="80">
        <f>IF(AC304="Cancelled",0,M304*R304)</f>
        <v/>
      </c>
      <c r="T304" s="80">
        <f>IF(AC304="Cancelled",0,N304*R304)</f>
        <v/>
      </c>
      <c r="U304" s="80">
        <f>IF(AC304="Cancelled",0,O304*R304)</f>
        <v/>
      </c>
      <c r="V304" s="80">
        <f>IF(AC304="Cancelled",0,ROUND(P304*S304,2))</f>
        <v/>
      </c>
      <c r="W304" s="80" t="inlineStr">
        <is>
          <t>No</t>
        </is>
      </c>
      <c r="X304" s="80" t="n">
        <v>0</v>
      </c>
      <c r="Y304" s="80">
        <f>IF(AC304="Cancelled",0,T304+U304+V304+Q304+X304)</f>
        <v/>
      </c>
      <c r="Z304" s="80">
        <f>IF(AC304="Cancelled",-Q304,S304-Y304)</f>
        <v/>
      </c>
      <c r="AA304" s="81">
        <f>IF(OR(AC304="Cancelled",S304=0),0,Z304/S304)</f>
        <v/>
      </c>
      <c r="AB304" s="82">
        <f>IFERROR(S304/Q304,0)</f>
        <v/>
      </c>
      <c r="AC304" s="56" t="inlineStr">
        <is>
          <t>Delivered</t>
        </is>
      </c>
    </row>
    <row r="305" ht="14.25" customHeight="1" s="57">
      <c r="A305" s="56" t="inlineStr">
        <is>
          <t>ORD-00202</t>
        </is>
      </c>
      <c r="B305" s="79" t="n">
        <v>45943</v>
      </c>
      <c r="C305" s="56" t="n">
        <v>2025</v>
      </c>
      <c r="D305" s="56" t="n">
        <v>10</v>
      </c>
      <c r="E305" s="56" t="inlineStr">
        <is>
          <t>UAE</t>
        </is>
      </c>
      <c r="F305" s="56" t="inlineStr">
        <is>
          <t>Dubai</t>
        </is>
      </c>
      <c r="G305" s="56" t="inlineStr">
        <is>
          <t>Meta Ads</t>
        </is>
      </c>
      <c r="H305" s="56" t="inlineStr">
        <is>
          <t>New Creative A/B</t>
        </is>
      </c>
      <c r="I305" s="56" t="inlineStr">
        <is>
          <t>P001</t>
        </is>
      </c>
      <c r="J305" s="56" t="inlineStr">
        <is>
          <t>Wireless Earbuds</t>
        </is>
      </c>
      <c r="K305" s="56" t="inlineStr">
        <is>
          <t>Electronics</t>
        </is>
      </c>
      <c r="L305" s="56" t="inlineStr">
        <is>
          <t>Shenzhen Audio Co.</t>
        </is>
      </c>
      <c r="M305" s="80" t="n">
        <v>39</v>
      </c>
      <c r="N305" s="80" t="n">
        <v>8.58</v>
      </c>
      <c r="O305" s="80" t="n">
        <v>3.72</v>
      </c>
      <c r="P305" s="80" t="n">
        <v>0.03</v>
      </c>
      <c r="Q305" s="80" t="n">
        <v>18.54</v>
      </c>
      <c r="R305" s="80" t="n">
        <v>2</v>
      </c>
      <c r="S305" s="80">
        <f>IF(AC305="Cancelled",0,M305*R305)</f>
        <v/>
      </c>
      <c r="T305" s="80">
        <f>IF(AC305="Cancelled",0,N305*R305)</f>
        <v/>
      </c>
      <c r="U305" s="80">
        <f>IF(AC305="Cancelled",0,O305*R305)</f>
        <v/>
      </c>
      <c r="V305" s="80">
        <f>IF(AC305="Cancelled",0,ROUND(P305*S305,2))</f>
        <v/>
      </c>
      <c r="W305" s="80" t="inlineStr">
        <is>
          <t>Yes</t>
        </is>
      </c>
      <c r="X305" s="80" t="n">
        <v>48.77</v>
      </c>
      <c r="Y305" s="80">
        <f>IF(AC305="Cancelled",0,T305+U305+V305+Q305+X305)</f>
        <v/>
      </c>
      <c r="Z305" s="80">
        <f>IF(AC305="Cancelled",-Q305,S305-Y305)</f>
        <v/>
      </c>
      <c r="AA305" s="81">
        <f>IF(OR(AC305="Cancelled",S305=0),0,Z305/S305)</f>
        <v/>
      </c>
      <c r="AB305" s="82">
        <f>IFERROR(S305/Q305,0)</f>
        <v/>
      </c>
      <c r="AC305" s="56" t="inlineStr">
        <is>
          <t>Refunded</t>
        </is>
      </c>
    </row>
    <row r="306" ht="14.25" customHeight="1" s="57">
      <c r="A306" s="56" t="inlineStr">
        <is>
          <t>ORD-00028</t>
        </is>
      </c>
      <c r="B306" s="79" t="n">
        <v>45944</v>
      </c>
      <c r="C306" s="56" t="n">
        <v>2025</v>
      </c>
      <c r="D306" s="56" t="n">
        <v>10</v>
      </c>
      <c r="E306" s="56" t="inlineStr">
        <is>
          <t>Kuwait</t>
        </is>
      </c>
      <c r="F306" s="56" t="inlineStr">
        <is>
          <t>Kuwait City</t>
        </is>
      </c>
      <c r="G306" s="56" t="inlineStr">
        <is>
          <t>TikTok Ads</t>
        </is>
      </c>
      <c r="H306" s="56" t="inlineStr">
        <is>
          <t>New Creative A/B</t>
        </is>
      </c>
      <c r="I306" s="56" t="inlineStr">
        <is>
          <t>P009</t>
        </is>
      </c>
      <c r="J306" s="56" t="inlineStr">
        <is>
          <t>Car Vacuum Cleaner</t>
        </is>
      </c>
      <c r="K306" s="56" t="inlineStr">
        <is>
          <t>Automotive</t>
        </is>
      </c>
      <c r="L306" s="56" t="inlineStr">
        <is>
          <t>Dongguan Auto Tools</t>
        </is>
      </c>
      <c r="M306" s="80" t="n">
        <v>42</v>
      </c>
      <c r="N306" s="80" t="n">
        <v>15</v>
      </c>
      <c r="O306" s="80" t="n">
        <v>6.15</v>
      </c>
      <c r="P306" s="80" t="n">
        <v>0.03</v>
      </c>
      <c r="Q306" s="80" t="n">
        <v>14.04</v>
      </c>
      <c r="R306" s="80" t="n">
        <v>2</v>
      </c>
      <c r="S306" s="80">
        <f>IF(AC306="Cancelled",0,M306*R306)</f>
        <v/>
      </c>
      <c r="T306" s="80">
        <f>IF(AC306="Cancelled",0,N306*R306)</f>
        <v/>
      </c>
      <c r="U306" s="80">
        <f>IF(AC306="Cancelled",0,O306*R306)</f>
        <v/>
      </c>
      <c r="V306" s="80">
        <f>IF(AC306="Cancelled",0,ROUND(P306*S306,2))</f>
        <v/>
      </c>
      <c r="W306" s="80" t="inlineStr">
        <is>
          <t>No</t>
        </is>
      </c>
      <c r="X306" s="80" t="n">
        <v>0</v>
      </c>
      <c r="Y306" s="80">
        <f>IF(AC306="Cancelled",0,T306+U306+V306+Q306+X306)</f>
        <v/>
      </c>
      <c r="Z306" s="80">
        <f>IF(AC306="Cancelled",-Q306,S306-Y306)</f>
        <v/>
      </c>
      <c r="AA306" s="81">
        <f>IF(OR(AC306="Cancelled",S306=0),0,Z306/S306)</f>
        <v/>
      </c>
      <c r="AB306" s="82">
        <f>IFERROR(S306/Q306,0)</f>
        <v/>
      </c>
      <c r="AC306" s="56" t="inlineStr">
        <is>
          <t>Delivered</t>
        </is>
      </c>
    </row>
    <row r="307" ht="14.25" customHeight="1" s="57">
      <c r="A307" s="56" t="inlineStr">
        <is>
          <t>ORD-00076</t>
        </is>
      </c>
      <c r="B307" s="79" t="n">
        <v>45947</v>
      </c>
      <c r="C307" s="56" t="n">
        <v>2025</v>
      </c>
      <c r="D307" s="56" t="n">
        <v>10</v>
      </c>
      <c r="E307" s="56" t="inlineStr">
        <is>
          <t>UAE</t>
        </is>
      </c>
      <c r="F307" s="56" t="inlineStr">
        <is>
          <t>Sharjah</t>
        </is>
      </c>
      <c r="G307" s="56" t="inlineStr">
        <is>
          <t>TikTok Ads</t>
        </is>
      </c>
      <c r="H307" s="56" t="inlineStr">
        <is>
          <t>Launch Test</t>
        </is>
      </c>
      <c r="I307" s="56" t="inlineStr">
        <is>
          <t>P009</t>
        </is>
      </c>
      <c r="J307" s="56" t="inlineStr">
        <is>
          <t>Car Vacuum Cleaner</t>
        </is>
      </c>
      <c r="K307" s="56" t="inlineStr">
        <is>
          <t>Automotive</t>
        </is>
      </c>
      <c r="L307" s="56" t="inlineStr">
        <is>
          <t>Dongguan Auto Tools</t>
        </is>
      </c>
      <c r="M307" s="80" t="n">
        <v>49.59</v>
      </c>
      <c r="N307" s="80" t="n">
        <v>14.68</v>
      </c>
      <c r="O307" s="80" t="n">
        <v>6.35</v>
      </c>
      <c r="P307" s="80" t="n">
        <v>0.03</v>
      </c>
      <c r="Q307" s="80" t="n">
        <v>20.57</v>
      </c>
      <c r="R307" s="80" t="n">
        <v>2</v>
      </c>
      <c r="S307" s="80">
        <f>IF(AC307="Cancelled",0,M307*R307)</f>
        <v/>
      </c>
      <c r="T307" s="80">
        <f>IF(AC307="Cancelled",0,N307*R307)</f>
        <v/>
      </c>
      <c r="U307" s="80">
        <f>IF(AC307="Cancelled",0,O307*R307)</f>
        <v/>
      </c>
      <c r="V307" s="80">
        <f>IF(AC307="Cancelled",0,ROUND(P307*S307,2))</f>
        <v/>
      </c>
      <c r="W307" s="80" t="inlineStr">
        <is>
          <t>No</t>
        </is>
      </c>
      <c r="X307" s="80" t="n">
        <v>0</v>
      </c>
      <c r="Y307" s="80">
        <f>IF(AC307="Cancelled",0,T307+U307+V307+Q307+X307)</f>
        <v/>
      </c>
      <c r="Z307" s="80">
        <f>IF(AC307="Cancelled",-Q307,S307-Y307)</f>
        <v/>
      </c>
      <c r="AA307" s="81">
        <f>IF(OR(AC307="Cancelled",S307=0),0,Z307/S307)</f>
        <v/>
      </c>
      <c r="AB307" s="82">
        <f>IFERROR(S307/Q307,0)</f>
        <v/>
      </c>
      <c r="AC307" s="56" t="inlineStr">
        <is>
          <t>Delivered</t>
        </is>
      </c>
    </row>
    <row r="308" ht="14.25" customHeight="1" s="57">
      <c r="A308" s="56" t="inlineStr">
        <is>
          <t>ORD-00318</t>
        </is>
      </c>
      <c r="B308" s="79" t="n">
        <v>45949</v>
      </c>
      <c r="C308" s="56" t="n">
        <v>2025</v>
      </c>
      <c r="D308" s="56" t="n">
        <v>10</v>
      </c>
      <c r="E308" s="56" t="inlineStr">
        <is>
          <t>Qatar</t>
        </is>
      </c>
      <c r="F308" s="56" t="inlineStr">
        <is>
          <t>Doha</t>
        </is>
      </c>
      <c r="G308" s="56" t="inlineStr">
        <is>
          <t>Meta Ads</t>
        </is>
      </c>
      <c r="H308" s="56" t="inlineStr">
        <is>
          <t>Launch Test</t>
        </is>
      </c>
      <c r="I308" s="56" t="inlineStr">
        <is>
          <t>P003</t>
        </is>
      </c>
      <c r="J308" s="56" t="inlineStr">
        <is>
          <t>LED Strip Lights</t>
        </is>
      </c>
      <c r="K308" s="56" t="inlineStr">
        <is>
          <t>Home Decor</t>
        </is>
      </c>
      <c r="L308" s="56" t="inlineStr">
        <is>
          <t>Yiwu Lighting Factory</t>
        </is>
      </c>
      <c r="M308" s="80" t="n">
        <v>27.67</v>
      </c>
      <c r="N308" s="80" t="n">
        <v>6.27</v>
      </c>
      <c r="O308" s="80" t="n">
        <v>3.82</v>
      </c>
      <c r="P308" s="80" t="n">
        <v>0.03</v>
      </c>
      <c r="Q308" s="80" t="n">
        <v>20.76</v>
      </c>
      <c r="R308" s="80" t="n">
        <v>2</v>
      </c>
      <c r="S308" s="80">
        <f>IF(AC308="Cancelled",0,M308*R308)</f>
        <v/>
      </c>
      <c r="T308" s="80">
        <f>IF(AC308="Cancelled",0,N308*R308)</f>
        <v/>
      </c>
      <c r="U308" s="80">
        <f>IF(AC308="Cancelled",0,O308*R308)</f>
        <v/>
      </c>
      <c r="V308" s="80">
        <f>IF(AC308="Cancelled",0,ROUND(P308*S308,2))</f>
        <v/>
      </c>
      <c r="W308" s="80" t="inlineStr">
        <is>
          <t>No</t>
        </is>
      </c>
      <c r="X308" s="80" t="n">
        <v>0</v>
      </c>
      <c r="Y308" s="80">
        <f>IF(AC308="Cancelled",0,T308+U308+V308+Q308+X308)</f>
        <v/>
      </c>
      <c r="Z308" s="80">
        <f>IF(AC308="Cancelled",-Q308,S308-Y308)</f>
        <v/>
      </c>
      <c r="AA308" s="81">
        <f>IF(OR(AC308="Cancelled",S308=0),0,Z308/S308)</f>
        <v/>
      </c>
      <c r="AB308" s="82">
        <f>IFERROR(S308/Q308,0)</f>
        <v/>
      </c>
      <c r="AC308" s="56" t="inlineStr">
        <is>
          <t>Delivered</t>
        </is>
      </c>
    </row>
    <row r="309" ht="14.25" customHeight="1" s="57">
      <c r="A309" s="56" t="inlineStr">
        <is>
          <t>ORD-00001</t>
        </is>
      </c>
      <c r="B309" s="79" t="n">
        <v>45950</v>
      </c>
      <c r="C309" s="56" t="n">
        <v>2025</v>
      </c>
      <c r="D309" s="56" t="n">
        <v>10</v>
      </c>
      <c r="E309" s="56" t="inlineStr">
        <is>
          <t>Oman</t>
        </is>
      </c>
      <c r="F309" s="56" t="inlineStr">
        <is>
          <t>Muscat</t>
        </is>
      </c>
      <c r="G309" s="56" t="inlineStr">
        <is>
          <t>Google Ads</t>
        </is>
      </c>
      <c r="H309" s="56" t="inlineStr">
        <is>
          <t>New Creative A/B</t>
        </is>
      </c>
      <c r="I309" s="56" t="inlineStr">
        <is>
          <t>P001</t>
        </is>
      </c>
      <c r="J309" s="56" t="inlineStr">
        <is>
          <t>Wireless Earbuds</t>
        </is>
      </c>
      <c r="K309" s="56" t="inlineStr">
        <is>
          <t>Electronics</t>
        </is>
      </c>
      <c r="L309" s="56" t="inlineStr">
        <is>
          <t>Shenzhen Audio Co.</t>
        </is>
      </c>
      <c r="M309" s="80" t="n">
        <v>43.15</v>
      </c>
      <c r="N309" s="80" t="n">
        <v>8.99</v>
      </c>
      <c r="O309" s="80" t="n">
        <v>4.25</v>
      </c>
      <c r="P309" s="80" t="n">
        <v>0.03</v>
      </c>
      <c r="Q309" s="80" t="n">
        <v>5.04</v>
      </c>
      <c r="R309" s="80" t="n">
        <v>2</v>
      </c>
      <c r="S309" s="80">
        <f>IF(AC309="Cancelled",0,M309*R309)</f>
        <v/>
      </c>
      <c r="T309" s="80">
        <f>IF(AC309="Cancelled",0,N309*R309)</f>
        <v/>
      </c>
      <c r="U309" s="80">
        <f>IF(AC309="Cancelled",0,O309*R309)</f>
        <v/>
      </c>
      <c r="V309" s="80">
        <f>IF(AC309="Cancelled",0,ROUND(P309*S309,2))</f>
        <v/>
      </c>
      <c r="W309" s="80" t="inlineStr">
        <is>
          <t>No</t>
        </is>
      </c>
      <c r="X309" s="80" t="n">
        <v>0</v>
      </c>
      <c r="Y309" s="80">
        <f>IF(AC309="Cancelled",0,T309+U309+V309+Q309+X309)</f>
        <v/>
      </c>
      <c r="Z309" s="80">
        <f>IF(AC309="Cancelled",-Q309,S309-Y309)</f>
        <v/>
      </c>
      <c r="AA309" s="81">
        <f>IF(OR(AC309="Cancelled",S309=0),0,Z309/S309)</f>
        <v/>
      </c>
      <c r="AB309" s="82">
        <f>IFERROR(S309/Q309,0)</f>
        <v/>
      </c>
      <c r="AC309" s="56" t="inlineStr">
        <is>
          <t>Delivered</t>
        </is>
      </c>
    </row>
    <row r="310" ht="14.25" customHeight="1" s="57">
      <c r="A310" s="56" t="inlineStr">
        <is>
          <t>ORD-00024</t>
        </is>
      </c>
      <c r="B310" s="79" t="n">
        <v>45950</v>
      </c>
      <c r="C310" s="56" t="n">
        <v>2025</v>
      </c>
      <c r="D310" s="56" t="n">
        <v>10</v>
      </c>
      <c r="E310" s="56" t="inlineStr">
        <is>
          <t>UAE</t>
        </is>
      </c>
      <c r="F310" s="56" t="inlineStr">
        <is>
          <t>Dubai</t>
        </is>
      </c>
      <c r="G310" s="56" t="inlineStr">
        <is>
          <t>Meta Ads</t>
        </is>
      </c>
      <c r="H310" s="56" t="inlineStr">
        <is>
          <t>Summer Sale</t>
        </is>
      </c>
      <c r="I310" s="56" t="inlineStr">
        <is>
          <t>P008</t>
        </is>
      </c>
      <c r="J310" s="56" t="inlineStr">
        <is>
          <t>Portable Blender</t>
        </is>
      </c>
      <c r="K310" s="56" t="inlineStr">
        <is>
          <t>Kitchen</t>
        </is>
      </c>
      <c r="L310" s="56" t="inlineStr">
        <is>
          <t>Foshan Appliances</t>
        </is>
      </c>
      <c r="M310" s="80" t="n">
        <v>54.76</v>
      </c>
      <c r="N310" s="80" t="n">
        <v>15.6</v>
      </c>
      <c r="O310" s="80" t="n">
        <v>6.8</v>
      </c>
      <c r="P310" s="80" t="n">
        <v>0.03</v>
      </c>
      <c r="Q310" s="80" t="n">
        <v>12.72</v>
      </c>
      <c r="R310" s="80" t="n">
        <v>2</v>
      </c>
      <c r="S310" s="80">
        <f>IF(AC310="Cancelled",0,M310*R310)</f>
        <v/>
      </c>
      <c r="T310" s="80">
        <f>IF(AC310="Cancelled",0,N310*R310)</f>
        <v/>
      </c>
      <c r="U310" s="80">
        <f>IF(AC310="Cancelled",0,O310*R310)</f>
        <v/>
      </c>
      <c r="V310" s="80">
        <f>IF(AC310="Cancelled",0,ROUND(P310*S310,2))</f>
        <v/>
      </c>
      <c r="W310" s="80" t="inlineStr">
        <is>
          <t>No</t>
        </is>
      </c>
      <c r="X310" s="80" t="n">
        <v>0</v>
      </c>
      <c r="Y310" s="80">
        <f>IF(AC310="Cancelled",0,T310+U310+V310+Q310+X310)</f>
        <v/>
      </c>
      <c r="Z310" s="80">
        <f>IF(AC310="Cancelled",-Q310,S310-Y310)</f>
        <v/>
      </c>
      <c r="AA310" s="81">
        <f>IF(OR(AC310="Cancelled",S310=0),0,Z310/S310)</f>
        <v/>
      </c>
      <c r="AB310" s="82">
        <f>IFERROR(S310/Q310,0)</f>
        <v/>
      </c>
      <c r="AC310" s="56" t="inlineStr">
        <is>
          <t>Delivered</t>
        </is>
      </c>
    </row>
    <row r="311" ht="14.25" customHeight="1" s="57">
      <c r="A311" s="56" t="inlineStr">
        <is>
          <t>ORD-00122</t>
        </is>
      </c>
      <c r="B311" s="79" t="n">
        <v>45950</v>
      </c>
      <c r="C311" s="56" t="n">
        <v>2025</v>
      </c>
      <c r="D311" s="56" t="n">
        <v>10</v>
      </c>
      <c r="E311" s="56" t="inlineStr">
        <is>
          <t>UAE</t>
        </is>
      </c>
      <c r="F311" s="56" t="inlineStr">
        <is>
          <t>Abu Dhabi</t>
        </is>
      </c>
      <c r="G311" s="56" t="inlineStr">
        <is>
          <t>TikTok Ads</t>
        </is>
      </c>
      <c r="H311" s="56" t="inlineStr">
        <is>
          <t>New Creative A/B</t>
        </is>
      </c>
      <c r="I311" s="56" t="inlineStr">
        <is>
          <t>P003</t>
        </is>
      </c>
      <c r="J311" s="56" t="inlineStr">
        <is>
          <t>LED Strip Lights</t>
        </is>
      </c>
      <c r="K311" s="56" t="inlineStr">
        <is>
          <t>Home Decor</t>
        </is>
      </c>
      <c r="L311" s="56" t="inlineStr">
        <is>
          <t>Yiwu Lighting Factory</t>
        </is>
      </c>
      <c r="M311" s="80" t="n">
        <v>26.34</v>
      </c>
      <c r="N311" s="80" t="n">
        <v>6.22</v>
      </c>
      <c r="O311" s="80" t="n">
        <v>3.46</v>
      </c>
      <c r="P311" s="80" t="n">
        <v>0.03</v>
      </c>
      <c r="Q311" s="80" t="n">
        <v>7.78</v>
      </c>
      <c r="R311" s="80" t="n">
        <v>2</v>
      </c>
      <c r="S311" s="80">
        <f>IF(AC311="Cancelled",0,M311*R311)</f>
        <v/>
      </c>
      <c r="T311" s="80">
        <f>IF(AC311="Cancelled",0,N311*R311)</f>
        <v/>
      </c>
      <c r="U311" s="80">
        <f>IF(AC311="Cancelled",0,O311*R311)</f>
        <v/>
      </c>
      <c r="V311" s="80">
        <f>IF(AC311="Cancelled",0,ROUND(P311*S311,2))</f>
        <v/>
      </c>
      <c r="W311" s="80" t="inlineStr">
        <is>
          <t>No</t>
        </is>
      </c>
      <c r="X311" s="80" t="n">
        <v>0</v>
      </c>
      <c r="Y311" s="80">
        <f>IF(AC311="Cancelled",0,T311+U311+V311+Q311+X311)</f>
        <v/>
      </c>
      <c r="Z311" s="80">
        <f>IF(AC311="Cancelled",-Q311,S311-Y311)</f>
        <v/>
      </c>
      <c r="AA311" s="81">
        <f>IF(OR(AC311="Cancelled",S311=0),0,Z311/S311)</f>
        <v/>
      </c>
      <c r="AB311" s="82">
        <f>IFERROR(S311/Q311,0)</f>
        <v/>
      </c>
      <c r="AC311" s="56" t="inlineStr">
        <is>
          <t>Delivered</t>
        </is>
      </c>
    </row>
    <row r="312" ht="14.25" customHeight="1" s="57">
      <c r="A312" s="56" t="inlineStr">
        <is>
          <t>ORD-00394</t>
        </is>
      </c>
      <c r="B312" s="79" t="n">
        <v>45950</v>
      </c>
      <c r="C312" s="56" t="n">
        <v>2025</v>
      </c>
      <c r="D312" s="56" t="n">
        <v>10</v>
      </c>
      <c r="E312" s="56" t="inlineStr">
        <is>
          <t>Oman</t>
        </is>
      </c>
      <c r="F312" s="56" t="inlineStr">
        <is>
          <t>Muscat</t>
        </is>
      </c>
      <c r="G312" s="56" t="inlineStr">
        <is>
          <t>Meta Ads</t>
        </is>
      </c>
      <c r="H312" s="56" t="inlineStr">
        <is>
          <t>New Creative A/B</t>
        </is>
      </c>
      <c r="I312" s="56" t="inlineStr">
        <is>
          <t>P002</t>
        </is>
      </c>
      <c r="J312" s="56" t="inlineStr">
        <is>
          <t>Phone Case</t>
        </is>
      </c>
      <c r="K312" s="56" t="inlineStr">
        <is>
          <t>Accessories</t>
        </is>
      </c>
      <c r="L312" s="56" t="inlineStr">
        <is>
          <t>Guangzhou Cases Ltd.</t>
        </is>
      </c>
      <c r="M312" s="80" t="n">
        <v>16.52</v>
      </c>
      <c r="N312" s="80" t="n">
        <v>2.09</v>
      </c>
      <c r="O312" s="80" t="n">
        <v>2.06</v>
      </c>
      <c r="P312" s="80" t="n">
        <v>0.03</v>
      </c>
      <c r="Q312" s="80" t="n">
        <v>7.93</v>
      </c>
      <c r="R312" s="80" t="n">
        <v>3</v>
      </c>
      <c r="S312" s="80">
        <f>IF(AC312="Cancelled",0,M312*R312)</f>
        <v/>
      </c>
      <c r="T312" s="80">
        <f>IF(AC312="Cancelled",0,N312*R312)</f>
        <v/>
      </c>
      <c r="U312" s="80">
        <f>IF(AC312="Cancelled",0,O312*R312)</f>
        <v/>
      </c>
      <c r="V312" s="80">
        <f>IF(AC312="Cancelled",0,ROUND(P312*S312,2))</f>
        <v/>
      </c>
      <c r="W312" s="80" t="inlineStr">
        <is>
          <t>No</t>
        </is>
      </c>
      <c r="X312" s="80" t="n">
        <v>0</v>
      </c>
      <c r="Y312" s="80">
        <f>IF(AC312="Cancelled",0,T312+U312+V312+Q312+X312)</f>
        <v/>
      </c>
      <c r="Z312" s="80">
        <f>IF(AC312="Cancelled",-Q312,S312-Y312)</f>
        <v/>
      </c>
      <c r="AA312" s="81">
        <f>IF(OR(AC312="Cancelled",S312=0),0,Z312/S312)</f>
        <v/>
      </c>
      <c r="AB312" s="82">
        <f>IFERROR(S312/Q312,0)</f>
        <v/>
      </c>
      <c r="AC312" s="56" t="inlineStr">
        <is>
          <t>Delivered</t>
        </is>
      </c>
    </row>
    <row r="313" ht="14.25" customHeight="1" s="57">
      <c r="A313" s="56" t="inlineStr">
        <is>
          <t>ORD-00437</t>
        </is>
      </c>
      <c r="B313" s="79" t="n">
        <v>45951</v>
      </c>
      <c r="C313" s="56" t="n">
        <v>2025</v>
      </c>
      <c r="D313" s="56" t="n">
        <v>10</v>
      </c>
      <c r="E313" s="56" t="inlineStr">
        <is>
          <t>Qatar</t>
        </is>
      </c>
      <c r="F313" s="56" t="inlineStr">
        <is>
          <t>Doha</t>
        </is>
      </c>
      <c r="G313" s="56" t="inlineStr">
        <is>
          <t>TikTok Ads</t>
        </is>
      </c>
      <c r="H313" s="56" t="inlineStr">
        <is>
          <t>Retargeting</t>
        </is>
      </c>
      <c r="I313" s="56" t="inlineStr">
        <is>
          <t>P010</t>
        </is>
      </c>
      <c r="J313" s="56" t="inlineStr">
        <is>
          <t>Smart Water Bottle</t>
        </is>
      </c>
      <c r="K313" s="56" t="inlineStr">
        <is>
          <t>Lifestyle</t>
        </is>
      </c>
      <c r="L313" s="56" t="inlineStr">
        <is>
          <t>Shenzhen Smart Home</t>
        </is>
      </c>
      <c r="M313" s="80" t="n">
        <v>29.92</v>
      </c>
      <c r="N313" s="80" t="n">
        <v>10.79</v>
      </c>
      <c r="O313" s="80" t="n">
        <v>3.97</v>
      </c>
      <c r="P313" s="80" t="n">
        <v>0.03</v>
      </c>
      <c r="Q313" s="80" t="n">
        <v>4.96</v>
      </c>
      <c r="R313" s="80" t="n">
        <v>1</v>
      </c>
      <c r="S313" s="80">
        <f>IF(AC313="Cancelled",0,M313*R313)</f>
        <v/>
      </c>
      <c r="T313" s="80">
        <f>IF(AC313="Cancelled",0,N313*R313)</f>
        <v/>
      </c>
      <c r="U313" s="80">
        <f>IF(AC313="Cancelled",0,O313*R313)</f>
        <v/>
      </c>
      <c r="V313" s="80">
        <f>IF(AC313="Cancelled",0,ROUND(P313*S313,2))</f>
        <v/>
      </c>
      <c r="W313" s="80" t="inlineStr">
        <is>
          <t>No</t>
        </is>
      </c>
      <c r="X313" s="80" t="n">
        <v>0</v>
      </c>
      <c r="Y313" s="80">
        <f>IF(AC313="Cancelled",0,T313+U313+V313+Q313+X313)</f>
        <v/>
      </c>
      <c r="Z313" s="80">
        <f>IF(AC313="Cancelled",-Q313,S313-Y313)</f>
        <v/>
      </c>
      <c r="AA313" s="81">
        <f>IF(OR(AC313="Cancelled",S313=0),0,Z313/S313)</f>
        <v/>
      </c>
      <c r="AB313" s="82">
        <f>IFERROR(S313/Q313,0)</f>
        <v/>
      </c>
      <c r="AC313" s="56" t="inlineStr">
        <is>
          <t>Delivered</t>
        </is>
      </c>
    </row>
    <row r="314" ht="14.25" customHeight="1" s="57">
      <c r="A314" s="56" t="inlineStr">
        <is>
          <t>ORD-00086</t>
        </is>
      </c>
      <c r="B314" s="79" t="n">
        <v>45952</v>
      </c>
      <c r="C314" s="56" t="n">
        <v>2025</v>
      </c>
      <c r="D314" s="56" t="n">
        <v>10</v>
      </c>
      <c r="E314" s="56" t="inlineStr">
        <is>
          <t>UAE</t>
        </is>
      </c>
      <c r="F314" s="56" t="inlineStr">
        <is>
          <t>Dubai</t>
        </is>
      </c>
      <c r="G314" s="56" t="inlineStr">
        <is>
          <t>Organic Search</t>
        </is>
      </c>
      <c r="H314" s="56" t="inlineStr">
        <is>
          <t>Bundle Promo</t>
        </is>
      </c>
      <c r="I314" s="56" t="inlineStr">
        <is>
          <t>P010</t>
        </is>
      </c>
      <c r="J314" s="56" t="inlineStr">
        <is>
          <t>Smart Water Bottle</t>
        </is>
      </c>
      <c r="K314" s="56" t="inlineStr">
        <is>
          <t>Lifestyle</t>
        </is>
      </c>
      <c r="L314" s="56" t="inlineStr">
        <is>
          <t>Shenzhen Smart Home</t>
        </is>
      </c>
      <c r="M314" s="80" t="n">
        <v>31.18</v>
      </c>
      <c r="N314" s="80" t="n">
        <v>9.82</v>
      </c>
      <c r="O314" s="80" t="n">
        <v>3.68</v>
      </c>
      <c r="P314" s="80" t="n">
        <v>0.03</v>
      </c>
      <c r="Q314" s="80" t="n">
        <v>0</v>
      </c>
      <c r="R314" s="80" t="n">
        <v>1</v>
      </c>
      <c r="S314" s="80">
        <f>IF(AC314="Cancelled",0,M314*R314)</f>
        <v/>
      </c>
      <c r="T314" s="80">
        <f>IF(AC314="Cancelled",0,N314*R314)</f>
        <v/>
      </c>
      <c r="U314" s="80">
        <f>IF(AC314="Cancelled",0,O314*R314)</f>
        <v/>
      </c>
      <c r="V314" s="80">
        <f>IF(AC314="Cancelled",0,ROUND(P314*S314,2))</f>
        <v/>
      </c>
      <c r="W314" s="80" t="inlineStr">
        <is>
          <t>No</t>
        </is>
      </c>
      <c r="X314" s="80" t="n">
        <v>0</v>
      </c>
      <c r="Y314" s="80">
        <f>IF(AC314="Cancelled",0,T314+U314+V314+Q314+X314)</f>
        <v/>
      </c>
      <c r="Z314" s="80">
        <f>IF(AC314="Cancelled",-Q314,S314-Y314)</f>
        <v/>
      </c>
      <c r="AA314" s="81">
        <f>IF(OR(AC314="Cancelled",S314=0),0,Z314/S314)</f>
        <v/>
      </c>
      <c r="AB314" s="82">
        <f>IFERROR(S314/Q314,0)</f>
        <v/>
      </c>
      <c r="AC314" s="56" t="inlineStr">
        <is>
          <t>Delivered</t>
        </is>
      </c>
    </row>
    <row r="315" ht="14.25" customHeight="1" s="57">
      <c r="A315" s="56" t="inlineStr">
        <is>
          <t>ORD-00168</t>
        </is>
      </c>
      <c r="B315" s="79" t="n">
        <v>45953</v>
      </c>
      <c r="C315" s="56" t="n">
        <v>2025</v>
      </c>
      <c r="D315" s="56" t="n">
        <v>10</v>
      </c>
      <c r="E315" s="56" t="inlineStr">
        <is>
          <t>UAE</t>
        </is>
      </c>
      <c r="F315" s="56" t="inlineStr">
        <is>
          <t>Abu Dhabi</t>
        </is>
      </c>
      <c r="G315" s="56" t="inlineStr">
        <is>
          <t>Google Ads</t>
        </is>
      </c>
      <c r="H315" s="56" t="inlineStr">
        <is>
          <t>Retargeting</t>
        </is>
      </c>
      <c r="I315" s="56" t="inlineStr">
        <is>
          <t>P006</t>
        </is>
      </c>
      <c r="J315" s="56" t="inlineStr">
        <is>
          <t>Posture Corrector</t>
        </is>
      </c>
      <c r="K315" s="56" t="inlineStr">
        <is>
          <t>Fitness</t>
        </is>
      </c>
      <c r="L315" s="56" t="inlineStr">
        <is>
          <t>Hangzhou Health Gear</t>
        </is>
      </c>
      <c r="M315" s="80" t="n">
        <v>34.78</v>
      </c>
      <c r="N315" s="80" t="n">
        <v>8.890000000000001</v>
      </c>
      <c r="O315" s="80" t="n">
        <v>4.35</v>
      </c>
      <c r="P315" s="80" t="n">
        <v>0.03</v>
      </c>
      <c r="Q315" s="80" t="n">
        <v>1.76</v>
      </c>
      <c r="R315" s="80" t="n">
        <v>1</v>
      </c>
      <c r="S315" s="80">
        <f>IF(AC315="Cancelled",0,M315*R315)</f>
        <v/>
      </c>
      <c r="T315" s="80">
        <f>IF(AC315="Cancelled",0,N315*R315)</f>
        <v/>
      </c>
      <c r="U315" s="80">
        <f>IF(AC315="Cancelled",0,O315*R315)</f>
        <v/>
      </c>
      <c r="V315" s="80">
        <f>IF(AC315="Cancelled",0,ROUND(P315*S315,2))</f>
        <v/>
      </c>
      <c r="W315" s="80" t="inlineStr">
        <is>
          <t>No</t>
        </is>
      </c>
      <c r="X315" s="80" t="n">
        <v>0</v>
      </c>
      <c r="Y315" s="80">
        <f>IF(AC315="Cancelled",0,T315+U315+V315+Q315+X315)</f>
        <v/>
      </c>
      <c r="Z315" s="80">
        <f>IF(AC315="Cancelled",-Q315,S315-Y315)</f>
        <v/>
      </c>
      <c r="AA315" s="81">
        <f>IF(OR(AC315="Cancelled",S315=0),0,Z315/S315)</f>
        <v/>
      </c>
      <c r="AB315" s="82">
        <f>IFERROR(S315/Q315,0)</f>
        <v/>
      </c>
      <c r="AC315" s="56" t="inlineStr">
        <is>
          <t>Delivered</t>
        </is>
      </c>
    </row>
    <row r="316" ht="14.25" customHeight="1" s="57">
      <c r="A316" s="56" t="inlineStr">
        <is>
          <t>ORD-00361</t>
        </is>
      </c>
      <c r="B316" s="79" t="n">
        <v>45953</v>
      </c>
      <c r="C316" s="56" t="n">
        <v>2025</v>
      </c>
      <c r="D316" s="56" t="n">
        <v>10</v>
      </c>
      <c r="E316" s="56" t="inlineStr">
        <is>
          <t>UAE</t>
        </is>
      </c>
      <c r="F316" s="56" t="inlineStr">
        <is>
          <t>Sharjah</t>
        </is>
      </c>
      <c r="G316" s="56" t="inlineStr">
        <is>
          <t>Meta Ads</t>
        </is>
      </c>
      <c r="H316" s="56" t="inlineStr">
        <is>
          <t>Summer Sale</t>
        </is>
      </c>
      <c r="I316" s="56" t="inlineStr">
        <is>
          <t>P004</t>
        </is>
      </c>
      <c r="J316" s="56" t="inlineStr">
        <is>
          <t>Beauty Tool</t>
        </is>
      </c>
      <c r="K316" s="56" t="inlineStr">
        <is>
          <t>Beauty</t>
        </is>
      </c>
      <c r="L316" s="56" t="inlineStr">
        <is>
          <t>Ningbo Beauty Supply</t>
        </is>
      </c>
      <c r="M316" s="80" t="n">
        <v>29.27</v>
      </c>
      <c r="N316" s="80" t="n">
        <v>6.92</v>
      </c>
      <c r="O316" s="80" t="n">
        <v>5</v>
      </c>
      <c r="P316" s="80" t="n">
        <v>0.03</v>
      </c>
      <c r="Q316" s="80" t="n">
        <v>13.55</v>
      </c>
      <c r="R316" s="80" t="n">
        <v>3</v>
      </c>
      <c r="S316" s="80">
        <f>IF(AC316="Cancelled",0,M316*R316)</f>
        <v/>
      </c>
      <c r="T316" s="80">
        <f>IF(AC316="Cancelled",0,N316*R316)</f>
        <v/>
      </c>
      <c r="U316" s="80">
        <f>IF(AC316="Cancelled",0,O316*R316)</f>
        <v/>
      </c>
      <c r="V316" s="80">
        <f>IF(AC316="Cancelled",0,ROUND(P316*S316,2))</f>
        <v/>
      </c>
      <c r="W316" s="80" t="inlineStr">
        <is>
          <t>No</t>
        </is>
      </c>
      <c r="X316" s="80" t="n">
        <v>0</v>
      </c>
      <c r="Y316" s="80">
        <f>IF(AC316="Cancelled",0,T316+U316+V316+Q316+X316)</f>
        <v/>
      </c>
      <c r="Z316" s="80">
        <f>IF(AC316="Cancelled",-Q316,S316-Y316)</f>
        <v/>
      </c>
      <c r="AA316" s="81">
        <f>IF(OR(AC316="Cancelled",S316=0),0,Z316/S316)</f>
        <v/>
      </c>
      <c r="AB316" s="82">
        <f>IFERROR(S316/Q316,0)</f>
        <v/>
      </c>
      <c r="AC316" s="56" t="inlineStr">
        <is>
          <t>Delivered</t>
        </is>
      </c>
    </row>
    <row r="317" ht="14.25" customHeight="1" s="57">
      <c r="A317" s="56" t="inlineStr">
        <is>
          <t>ORD-00120</t>
        </is>
      </c>
      <c r="B317" s="79" t="n">
        <v>45957</v>
      </c>
      <c r="C317" s="56" t="n">
        <v>2025</v>
      </c>
      <c r="D317" s="56" t="n">
        <v>10</v>
      </c>
      <c r="E317" s="56" t="inlineStr">
        <is>
          <t>Kuwait</t>
        </is>
      </c>
      <c r="F317" s="56" t="inlineStr">
        <is>
          <t>Kuwait City</t>
        </is>
      </c>
      <c r="G317" s="56" t="inlineStr">
        <is>
          <t>Google Ads</t>
        </is>
      </c>
      <c r="H317" s="56" t="inlineStr">
        <is>
          <t>Launch Test</t>
        </is>
      </c>
      <c r="I317" s="56" t="inlineStr">
        <is>
          <t>P009</t>
        </is>
      </c>
      <c r="J317" s="56" t="inlineStr">
        <is>
          <t>Car Vacuum Cleaner</t>
        </is>
      </c>
      <c r="K317" s="56" t="inlineStr">
        <is>
          <t>Automotive</t>
        </is>
      </c>
      <c r="L317" s="56" t="inlineStr">
        <is>
          <t>Dongguan Auto Tools</t>
        </is>
      </c>
      <c r="M317" s="80" t="n">
        <v>44.55</v>
      </c>
      <c r="N317" s="80" t="n">
        <v>14.85</v>
      </c>
      <c r="O317" s="80" t="n">
        <v>6.53</v>
      </c>
      <c r="P317" s="80" t="n">
        <v>0.03</v>
      </c>
      <c r="Q317" s="80" t="n">
        <v>25.47</v>
      </c>
      <c r="R317" s="80" t="n">
        <v>3</v>
      </c>
      <c r="S317" s="80">
        <f>IF(AC317="Cancelled",0,M317*R317)</f>
        <v/>
      </c>
      <c r="T317" s="80">
        <f>IF(AC317="Cancelled",0,N317*R317)</f>
        <v/>
      </c>
      <c r="U317" s="80">
        <f>IF(AC317="Cancelled",0,O317*R317)</f>
        <v/>
      </c>
      <c r="V317" s="80">
        <f>IF(AC317="Cancelled",0,ROUND(P317*S317,2))</f>
        <v/>
      </c>
      <c r="W317" s="80" t="inlineStr">
        <is>
          <t>No</t>
        </is>
      </c>
      <c r="X317" s="80" t="n">
        <v>0</v>
      </c>
      <c r="Y317" s="80">
        <f>IF(AC317="Cancelled",0,T317+U317+V317+Q317+X317)</f>
        <v/>
      </c>
      <c r="Z317" s="80">
        <f>IF(AC317="Cancelled",-Q317,S317-Y317)</f>
        <v/>
      </c>
      <c r="AA317" s="81">
        <f>IF(OR(AC317="Cancelled",S317=0),0,Z317/S317)</f>
        <v/>
      </c>
      <c r="AB317" s="82">
        <f>IFERROR(S317/Q317,0)</f>
        <v/>
      </c>
      <c r="AC317" s="56" t="inlineStr">
        <is>
          <t>Delivered</t>
        </is>
      </c>
    </row>
    <row r="318" ht="14.25" customHeight="1" s="57">
      <c r="A318" s="56" t="inlineStr">
        <is>
          <t>ORD-00373</t>
        </is>
      </c>
      <c r="B318" s="79" t="n">
        <v>45958</v>
      </c>
      <c r="C318" s="56" t="n">
        <v>2025</v>
      </c>
      <c r="D318" s="56" t="n">
        <v>10</v>
      </c>
      <c r="E318" s="56" t="inlineStr">
        <is>
          <t>Oman</t>
        </is>
      </c>
      <c r="F318" s="56" t="inlineStr">
        <is>
          <t>Muscat</t>
        </is>
      </c>
      <c r="G318" s="56" t="inlineStr">
        <is>
          <t>TikTok Ads</t>
        </is>
      </c>
      <c r="H318" s="56" t="inlineStr">
        <is>
          <t>Bundle Promo</t>
        </is>
      </c>
      <c r="I318" s="56" t="inlineStr">
        <is>
          <t>P005</t>
        </is>
      </c>
      <c r="J318" s="56" t="inlineStr">
        <is>
          <t>Mini Printer</t>
        </is>
      </c>
      <c r="K318" s="56" t="inlineStr">
        <is>
          <t>Electronics</t>
        </is>
      </c>
      <c r="L318" s="56" t="inlineStr">
        <is>
          <t>Shenzhen Print Tech</t>
        </is>
      </c>
      <c r="M318" s="80" t="n">
        <v>64.73</v>
      </c>
      <c r="N318" s="80" t="n">
        <v>23.25</v>
      </c>
      <c r="O318" s="80" t="n">
        <v>7.52</v>
      </c>
      <c r="P318" s="80" t="n">
        <v>0.03</v>
      </c>
      <c r="Q318" s="80" t="n">
        <v>5.7</v>
      </c>
      <c r="R318" s="80" t="n">
        <v>1</v>
      </c>
      <c r="S318" s="80">
        <f>IF(AC318="Cancelled",0,M318*R318)</f>
        <v/>
      </c>
      <c r="T318" s="80">
        <f>IF(AC318="Cancelled",0,N318*R318)</f>
        <v/>
      </c>
      <c r="U318" s="80">
        <f>IF(AC318="Cancelled",0,O318*R318)</f>
        <v/>
      </c>
      <c r="V318" s="80">
        <f>IF(AC318="Cancelled",0,ROUND(P318*S318,2))</f>
        <v/>
      </c>
      <c r="W318" s="80" t="inlineStr">
        <is>
          <t>No</t>
        </is>
      </c>
      <c r="X318" s="80" t="n">
        <v>0</v>
      </c>
      <c r="Y318" s="80">
        <f>IF(AC318="Cancelled",0,T318+U318+V318+Q318+X318)</f>
        <v/>
      </c>
      <c r="Z318" s="80">
        <f>IF(AC318="Cancelled",-Q318,S318-Y318)</f>
        <v/>
      </c>
      <c r="AA318" s="81">
        <f>IF(OR(AC318="Cancelled",S318=0),0,Z318/S318)</f>
        <v/>
      </c>
      <c r="AB318" s="82">
        <f>IFERROR(S318/Q318,0)</f>
        <v/>
      </c>
      <c r="AC318" s="56" t="inlineStr">
        <is>
          <t>Delivered</t>
        </is>
      </c>
    </row>
    <row r="319" ht="14.25" customHeight="1" s="57">
      <c r="A319" s="56" t="inlineStr">
        <is>
          <t>ORD-00413</t>
        </is>
      </c>
      <c r="B319" s="79" t="n">
        <v>45958</v>
      </c>
      <c r="C319" s="56" t="n">
        <v>2025</v>
      </c>
      <c r="D319" s="56" t="n">
        <v>10</v>
      </c>
      <c r="E319" s="56" t="inlineStr">
        <is>
          <t>Saudi Arabia</t>
        </is>
      </c>
      <c r="F319" s="56" t="inlineStr">
        <is>
          <t>Jeddah</t>
        </is>
      </c>
      <c r="G319" s="56" t="inlineStr">
        <is>
          <t>Google Ads</t>
        </is>
      </c>
      <c r="H319" s="56" t="inlineStr">
        <is>
          <t>Bundle Promo</t>
        </is>
      </c>
      <c r="I319" s="56" t="inlineStr">
        <is>
          <t>P004</t>
        </is>
      </c>
      <c r="J319" s="56" t="inlineStr">
        <is>
          <t>Beauty Tool</t>
        </is>
      </c>
      <c r="K319" s="56" t="inlineStr">
        <is>
          <t>Beauty</t>
        </is>
      </c>
      <c r="L319" s="56" t="inlineStr">
        <is>
          <t>Ningbo Beauty Supply</t>
        </is>
      </c>
      <c r="M319" s="80" t="n">
        <v>27.58</v>
      </c>
      <c r="N319" s="80" t="n">
        <v>7</v>
      </c>
      <c r="O319" s="80" t="n">
        <v>4.42</v>
      </c>
      <c r="P319" s="80" t="n">
        <v>0.03</v>
      </c>
      <c r="Q319" s="80" t="n">
        <v>22.58</v>
      </c>
      <c r="R319" s="80" t="n">
        <v>3</v>
      </c>
      <c r="S319" s="80">
        <f>IF(AC319="Cancelled",0,M319*R319)</f>
        <v/>
      </c>
      <c r="T319" s="80">
        <f>IF(AC319="Cancelled",0,N319*R319)</f>
        <v/>
      </c>
      <c r="U319" s="80">
        <f>IF(AC319="Cancelled",0,O319*R319)</f>
        <v/>
      </c>
      <c r="V319" s="80">
        <f>IF(AC319="Cancelled",0,ROUND(P319*S319,2))</f>
        <v/>
      </c>
      <c r="W319" s="80" t="inlineStr">
        <is>
          <t>No</t>
        </is>
      </c>
      <c r="X319" s="80" t="n">
        <v>0</v>
      </c>
      <c r="Y319" s="80">
        <f>IF(AC319="Cancelled",0,T319+U319+V319+Q319+X319)</f>
        <v/>
      </c>
      <c r="Z319" s="80">
        <f>IF(AC319="Cancelled",-Q319,S319-Y319)</f>
        <v/>
      </c>
      <c r="AA319" s="81">
        <f>IF(OR(AC319="Cancelled",S319=0),0,Z319/S319)</f>
        <v/>
      </c>
      <c r="AB319" s="82">
        <f>IFERROR(S319/Q319,0)</f>
        <v/>
      </c>
      <c r="AC319" s="56" t="inlineStr">
        <is>
          <t>Delivered</t>
        </is>
      </c>
    </row>
    <row r="320" ht="14.25" customHeight="1" s="57">
      <c r="A320" s="56" t="inlineStr">
        <is>
          <t>ORD-00305</t>
        </is>
      </c>
      <c r="B320" s="79" t="n">
        <v>45962</v>
      </c>
      <c r="C320" s="56" t="n">
        <v>2025</v>
      </c>
      <c r="D320" s="56" t="n">
        <v>11</v>
      </c>
      <c r="E320" s="56" t="inlineStr">
        <is>
          <t>UAE</t>
        </is>
      </c>
      <c r="F320" s="56" t="inlineStr">
        <is>
          <t>Abu Dhabi</t>
        </is>
      </c>
      <c r="G320" s="56" t="inlineStr">
        <is>
          <t>TikTok Ads</t>
        </is>
      </c>
      <c r="H320" s="56" t="inlineStr">
        <is>
          <t>New Creative A/B</t>
        </is>
      </c>
      <c r="I320" s="56" t="inlineStr">
        <is>
          <t>P006</t>
        </is>
      </c>
      <c r="J320" s="56" t="inlineStr">
        <is>
          <t>Posture Corrector</t>
        </is>
      </c>
      <c r="K320" s="56" t="inlineStr">
        <is>
          <t>Fitness</t>
        </is>
      </c>
      <c r="L320" s="56" t="inlineStr">
        <is>
          <t>Hangzhou Health Gear</t>
        </is>
      </c>
      <c r="M320" s="80" t="n">
        <v>31.75</v>
      </c>
      <c r="N320" s="80" t="n">
        <v>9.609999999999999</v>
      </c>
      <c r="O320" s="80" t="n">
        <v>3.74</v>
      </c>
      <c r="P320" s="80" t="n">
        <v>0.03</v>
      </c>
      <c r="Q320" s="80" t="n">
        <v>4.88</v>
      </c>
      <c r="R320" s="80" t="n">
        <v>1</v>
      </c>
      <c r="S320" s="80">
        <f>IF(AC320="Cancelled",0,M320*R320)</f>
        <v/>
      </c>
      <c r="T320" s="80">
        <f>IF(AC320="Cancelled",0,N320*R320)</f>
        <v/>
      </c>
      <c r="U320" s="80">
        <f>IF(AC320="Cancelled",0,O320*R320)</f>
        <v/>
      </c>
      <c r="V320" s="80">
        <f>IF(AC320="Cancelled",0,ROUND(P320*S320,2))</f>
        <v/>
      </c>
      <c r="W320" s="80" t="inlineStr">
        <is>
          <t>No</t>
        </is>
      </c>
      <c r="X320" s="80" t="n">
        <v>0</v>
      </c>
      <c r="Y320" s="80">
        <f>IF(AC320="Cancelled",0,T320+U320+V320+Q320+X320)</f>
        <v/>
      </c>
      <c r="Z320" s="80">
        <f>IF(AC320="Cancelled",-Q320,S320-Y320)</f>
        <v/>
      </c>
      <c r="AA320" s="81">
        <f>IF(OR(AC320="Cancelled",S320=0),0,Z320/S320)</f>
        <v/>
      </c>
      <c r="AB320" s="82">
        <f>IFERROR(S320/Q320,0)</f>
        <v/>
      </c>
      <c r="AC320" s="56" t="inlineStr">
        <is>
          <t>Delivered</t>
        </is>
      </c>
    </row>
    <row r="321" ht="14.25" customHeight="1" s="57">
      <c r="A321" s="56" t="inlineStr">
        <is>
          <t>ORD-00323</t>
        </is>
      </c>
      <c r="B321" s="79" t="n">
        <v>45962</v>
      </c>
      <c r="C321" s="56" t="n">
        <v>2025</v>
      </c>
      <c r="D321" s="56" t="n">
        <v>11</v>
      </c>
      <c r="E321" s="56" t="inlineStr">
        <is>
          <t>UAE</t>
        </is>
      </c>
      <c r="F321" s="56" t="inlineStr">
        <is>
          <t>Abu Dhabi</t>
        </is>
      </c>
      <c r="G321" s="56" t="inlineStr">
        <is>
          <t>Meta Ads</t>
        </is>
      </c>
      <c r="H321" s="56" t="inlineStr">
        <is>
          <t>Retargeting</t>
        </is>
      </c>
      <c r="I321" s="56" t="inlineStr">
        <is>
          <t>P010</t>
        </is>
      </c>
      <c r="J321" s="56" t="inlineStr">
        <is>
          <t>Smart Water Bottle</t>
        </is>
      </c>
      <c r="K321" s="56" t="inlineStr">
        <is>
          <t>Lifestyle</t>
        </is>
      </c>
      <c r="L321" s="56" t="inlineStr">
        <is>
          <t>Shenzhen Smart Home</t>
        </is>
      </c>
      <c r="M321" s="80" t="n">
        <v>34.09</v>
      </c>
      <c r="N321" s="80" t="n">
        <v>10.59</v>
      </c>
      <c r="O321" s="80" t="n">
        <v>3.88</v>
      </c>
      <c r="P321" s="80" t="n">
        <v>0.03</v>
      </c>
      <c r="Q321" s="80" t="n">
        <v>15.15</v>
      </c>
      <c r="R321" s="80" t="n">
        <v>2</v>
      </c>
      <c r="S321" s="80">
        <f>IF(AC321="Cancelled",0,M321*R321)</f>
        <v/>
      </c>
      <c r="T321" s="80">
        <f>IF(AC321="Cancelled",0,N321*R321)</f>
        <v/>
      </c>
      <c r="U321" s="80">
        <f>IF(AC321="Cancelled",0,O321*R321)</f>
        <v/>
      </c>
      <c r="V321" s="80">
        <f>IF(AC321="Cancelled",0,ROUND(P321*S321,2))</f>
        <v/>
      </c>
      <c r="W321" s="80" t="inlineStr">
        <is>
          <t>No</t>
        </is>
      </c>
      <c r="X321" s="80" t="n">
        <v>0</v>
      </c>
      <c r="Y321" s="80">
        <f>IF(AC321="Cancelled",0,T321+U321+V321+Q321+X321)</f>
        <v/>
      </c>
      <c r="Z321" s="80">
        <f>IF(AC321="Cancelled",-Q321,S321-Y321)</f>
        <v/>
      </c>
      <c r="AA321" s="81">
        <f>IF(OR(AC321="Cancelled",S321=0),0,Z321/S321)</f>
        <v/>
      </c>
      <c r="AB321" s="82">
        <f>IFERROR(S321/Q321,0)</f>
        <v/>
      </c>
      <c r="AC321" s="56" t="inlineStr">
        <is>
          <t>Delivered</t>
        </is>
      </c>
    </row>
    <row r="322" ht="14.25" customHeight="1" s="57">
      <c r="A322" s="56" t="inlineStr">
        <is>
          <t>ORD-00328</t>
        </is>
      </c>
      <c r="B322" s="79" t="n">
        <v>45962</v>
      </c>
      <c r="C322" s="56" t="n">
        <v>2025</v>
      </c>
      <c r="D322" s="56" t="n">
        <v>11</v>
      </c>
      <c r="E322" s="56" t="inlineStr">
        <is>
          <t>Qatar</t>
        </is>
      </c>
      <c r="F322" s="56" t="inlineStr">
        <is>
          <t>Doha</t>
        </is>
      </c>
      <c r="G322" s="56" t="inlineStr">
        <is>
          <t>Meta Ads</t>
        </is>
      </c>
      <c r="H322" s="56" t="inlineStr">
        <is>
          <t>Summer Sale</t>
        </is>
      </c>
      <c r="I322" s="56" t="inlineStr">
        <is>
          <t>P002</t>
        </is>
      </c>
      <c r="J322" s="56" t="inlineStr">
        <is>
          <t>Phone Case</t>
        </is>
      </c>
      <c r="K322" s="56" t="inlineStr">
        <is>
          <t>Accessories</t>
        </is>
      </c>
      <c r="L322" s="56" t="inlineStr">
        <is>
          <t>Guangzhou Cases Ltd.</t>
        </is>
      </c>
      <c r="M322" s="80" t="n">
        <v>14.19</v>
      </c>
      <c r="N322" s="80" t="n">
        <v>2.1</v>
      </c>
      <c r="O322" s="80" t="n">
        <v>1.84</v>
      </c>
      <c r="P322" s="80" t="n">
        <v>0.03</v>
      </c>
      <c r="Q322" s="80" t="n">
        <v>4.38</v>
      </c>
      <c r="R322" s="80" t="n">
        <v>2</v>
      </c>
      <c r="S322" s="80">
        <f>IF(AC322="Cancelled",0,M322*R322)</f>
        <v/>
      </c>
      <c r="T322" s="80">
        <f>IF(AC322="Cancelled",0,N322*R322)</f>
        <v/>
      </c>
      <c r="U322" s="80">
        <f>IF(AC322="Cancelled",0,O322*R322)</f>
        <v/>
      </c>
      <c r="V322" s="80">
        <f>IF(AC322="Cancelled",0,ROUND(P322*S322,2))</f>
        <v/>
      </c>
      <c r="W322" s="80" t="inlineStr">
        <is>
          <t>No</t>
        </is>
      </c>
      <c r="X322" s="80" t="n">
        <v>0</v>
      </c>
      <c r="Y322" s="80">
        <f>IF(AC322="Cancelled",0,T322+U322+V322+Q322+X322)</f>
        <v/>
      </c>
      <c r="Z322" s="80">
        <f>IF(AC322="Cancelled",-Q322,S322-Y322)</f>
        <v/>
      </c>
      <c r="AA322" s="81">
        <f>IF(OR(AC322="Cancelled",S322=0),0,Z322/S322)</f>
        <v/>
      </c>
      <c r="AB322" s="82">
        <f>IFERROR(S322/Q322,0)</f>
        <v/>
      </c>
      <c r="AC322" s="56" t="inlineStr">
        <is>
          <t>Delivered</t>
        </is>
      </c>
    </row>
    <row r="323" ht="14.25" customHeight="1" s="57">
      <c r="A323" s="56" t="inlineStr">
        <is>
          <t>ORD-00402</t>
        </is>
      </c>
      <c r="B323" s="79" t="n">
        <v>45962</v>
      </c>
      <c r="C323" s="56" t="n">
        <v>2025</v>
      </c>
      <c r="D323" s="56" t="n">
        <v>11</v>
      </c>
      <c r="E323" s="56" t="inlineStr">
        <is>
          <t>Qatar</t>
        </is>
      </c>
      <c r="F323" s="56" t="inlineStr">
        <is>
          <t>Doha</t>
        </is>
      </c>
      <c r="G323" s="56" t="inlineStr">
        <is>
          <t>Influencer</t>
        </is>
      </c>
      <c r="H323" s="56" t="inlineStr">
        <is>
          <t>Retargeting</t>
        </is>
      </c>
      <c r="I323" s="56" t="inlineStr">
        <is>
          <t>P006</t>
        </is>
      </c>
      <c r="J323" s="56" t="inlineStr">
        <is>
          <t>Posture Corrector</t>
        </is>
      </c>
      <c r="K323" s="56" t="inlineStr">
        <is>
          <t>Fitness</t>
        </is>
      </c>
      <c r="L323" s="56" t="inlineStr">
        <is>
          <t>Hangzhou Health Gear</t>
        </is>
      </c>
      <c r="M323" s="80" t="n">
        <v>34.48</v>
      </c>
      <c r="N323" s="80" t="n">
        <v>9.44</v>
      </c>
      <c r="O323" s="80" t="n">
        <v>3.91</v>
      </c>
      <c r="P323" s="80" t="n">
        <v>0.03</v>
      </c>
      <c r="Q323" s="80" t="n">
        <v>5.67</v>
      </c>
      <c r="R323" s="80" t="n">
        <v>1</v>
      </c>
      <c r="S323" s="80">
        <f>IF(AC323="Cancelled",0,M323*R323)</f>
        <v/>
      </c>
      <c r="T323" s="80">
        <f>IF(AC323="Cancelled",0,N323*R323)</f>
        <v/>
      </c>
      <c r="U323" s="80">
        <f>IF(AC323="Cancelled",0,O323*R323)</f>
        <v/>
      </c>
      <c r="V323" s="80">
        <f>IF(AC323="Cancelled",0,ROUND(P323*S323,2))</f>
        <v/>
      </c>
      <c r="W323" s="80" t="inlineStr">
        <is>
          <t>No</t>
        </is>
      </c>
      <c r="X323" s="80" t="n">
        <v>0</v>
      </c>
      <c r="Y323" s="80">
        <f>IF(AC323="Cancelled",0,T323+U323+V323+Q323+X323)</f>
        <v/>
      </c>
      <c r="Z323" s="80">
        <f>IF(AC323="Cancelled",-Q323,S323-Y323)</f>
        <v/>
      </c>
      <c r="AA323" s="81">
        <f>IF(OR(AC323="Cancelled",S323=0),0,Z323/S323)</f>
        <v/>
      </c>
      <c r="AB323" s="82">
        <f>IFERROR(S323/Q323,0)</f>
        <v/>
      </c>
      <c r="AC323" s="56" t="inlineStr">
        <is>
          <t>Delivered</t>
        </is>
      </c>
    </row>
    <row r="324" ht="14.25" customHeight="1" s="57">
      <c r="A324" s="56" t="inlineStr">
        <is>
          <t>ORD-00319</t>
        </is>
      </c>
      <c r="B324" s="79" t="n">
        <v>45963</v>
      </c>
      <c r="C324" s="56" t="n">
        <v>2025</v>
      </c>
      <c r="D324" s="56" t="n">
        <v>11</v>
      </c>
      <c r="E324" s="56" t="inlineStr">
        <is>
          <t>UAE</t>
        </is>
      </c>
      <c r="F324" s="56" t="inlineStr">
        <is>
          <t>Dubai</t>
        </is>
      </c>
      <c r="G324" s="56" t="inlineStr">
        <is>
          <t>Organic Search</t>
        </is>
      </c>
      <c r="H324" s="56" t="inlineStr">
        <is>
          <t>New Creative A/B</t>
        </is>
      </c>
      <c r="I324" s="56" t="inlineStr">
        <is>
          <t>P007</t>
        </is>
      </c>
      <c r="J324" s="56" t="inlineStr">
        <is>
          <t>Pet Grooming Glove</t>
        </is>
      </c>
      <c r="K324" s="56" t="inlineStr">
        <is>
          <t>Pets</t>
        </is>
      </c>
      <c r="L324" s="56" t="inlineStr">
        <is>
          <t>Yiwu Pet Products</t>
        </is>
      </c>
      <c r="M324" s="80" t="n">
        <v>19.11</v>
      </c>
      <c r="N324" s="80" t="n">
        <v>3.56</v>
      </c>
      <c r="O324" s="80" t="n">
        <v>2.41</v>
      </c>
      <c r="P324" s="80" t="n">
        <v>0.03</v>
      </c>
      <c r="Q324" s="80" t="n">
        <v>0</v>
      </c>
      <c r="R324" s="80" t="n">
        <v>2</v>
      </c>
      <c r="S324" s="80">
        <f>IF(AC324="Cancelled",0,M324*R324)</f>
        <v/>
      </c>
      <c r="T324" s="80">
        <f>IF(AC324="Cancelled",0,N324*R324)</f>
        <v/>
      </c>
      <c r="U324" s="80">
        <f>IF(AC324="Cancelled",0,O324*R324)</f>
        <v/>
      </c>
      <c r="V324" s="80">
        <f>IF(AC324="Cancelled",0,ROUND(P324*S324,2))</f>
        <v/>
      </c>
      <c r="W324" s="80" t="inlineStr">
        <is>
          <t>No</t>
        </is>
      </c>
      <c r="X324" s="80" t="n">
        <v>0</v>
      </c>
      <c r="Y324" s="80">
        <f>IF(AC324="Cancelled",0,T324+U324+V324+Q324+X324)</f>
        <v/>
      </c>
      <c r="Z324" s="80">
        <f>IF(AC324="Cancelled",-Q324,S324-Y324)</f>
        <v/>
      </c>
      <c r="AA324" s="81">
        <f>IF(OR(AC324="Cancelled",S324=0),0,Z324/S324)</f>
        <v/>
      </c>
      <c r="AB324" s="82">
        <f>IFERROR(S324/Q324,0)</f>
        <v/>
      </c>
      <c r="AC324" s="56" t="inlineStr">
        <is>
          <t>Delivered</t>
        </is>
      </c>
    </row>
    <row r="325" ht="14.25" customHeight="1" s="57">
      <c r="A325" s="56" t="inlineStr">
        <is>
          <t>ORD-00450</t>
        </is>
      </c>
      <c r="B325" s="79" t="n">
        <v>45964</v>
      </c>
      <c r="C325" s="56" t="n">
        <v>2025</v>
      </c>
      <c r="D325" s="56" t="n">
        <v>11</v>
      </c>
      <c r="E325" s="56" t="inlineStr">
        <is>
          <t>Oman</t>
        </is>
      </c>
      <c r="F325" s="56" t="inlineStr">
        <is>
          <t>Muscat</t>
        </is>
      </c>
      <c r="G325" s="56" t="inlineStr">
        <is>
          <t>TikTok Ads</t>
        </is>
      </c>
      <c r="H325" s="56" t="inlineStr">
        <is>
          <t>Retargeting</t>
        </is>
      </c>
      <c r="I325" s="56" t="inlineStr">
        <is>
          <t>P002</t>
        </is>
      </c>
      <c r="J325" s="56" t="inlineStr">
        <is>
          <t>Phone Case</t>
        </is>
      </c>
      <c r="K325" s="56" t="inlineStr">
        <is>
          <t>Accessories</t>
        </is>
      </c>
      <c r="L325" s="56" t="inlineStr">
        <is>
          <t>Guangzhou Cases Ltd.</t>
        </is>
      </c>
      <c r="M325" s="80" t="n">
        <v>16.12</v>
      </c>
      <c r="N325" s="80" t="n">
        <v>1.99</v>
      </c>
      <c r="O325" s="80" t="n">
        <v>2.23</v>
      </c>
      <c r="P325" s="80" t="n">
        <v>0.03</v>
      </c>
      <c r="Q325" s="80" t="n">
        <v>8</v>
      </c>
      <c r="R325" s="80" t="n">
        <v>1</v>
      </c>
      <c r="S325" s="80">
        <f>IF(AC325="Cancelled",0,M325*R325)</f>
        <v/>
      </c>
      <c r="T325" s="80">
        <f>IF(AC325="Cancelled",0,N325*R325)</f>
        <v/>
      </c>
      <c r="U325" s="80">
        <f>IF(AC325="Cancelled",0,O325*R325)</f>
        <v/>
      </c>
      <c r="V325" s="80">
        <f>IF(AC325="Cancelled",0,ROUND(P325*S325,2))</f>
        <v/>
      </c>
      <c r="W325" s="80" t="inlineStr">
        <is>
          <t>No</t>
        </is>
      </c>
      <c r="X325" s="80" t="n">
        <v>0</v>
      </c>
      <c r="Y325" s="80">
        <f>IF(AC325="Cancelled",0,T325+U325+V325+Q325+X325)</f>
        <v/>
      </c>
      <c r="Z325" s="80">
        <f>IF(AC325="Cancelled",-Q325,S325-Y325)</f>
        <v/>
      </c>
      <c r="AA325" s="81">
        <f>IF(OR(AC325="Cancelled",S325=0),0,Z325/S325)</f>
        <v/>
      </c>
      <c r="AB325" s="82">
        <f>IFERROR(S325/Q325,0)</f>
        <v/>
      </c>
      <c r="AC325" s="56" t="inlineStr">
        <is>
          <t>Delivered</t>
        </is>
      </c>
    </row>
    <row r="326" ht="14.25" customHeight="1" s="57">
      <c r="A326" s="56" t="inlineStr">
        <is>
          <t>ORD-00443</t>
        </is>
      </c>
      <c r="B326" s="79" t="n">
        <v>45965</v>
      </c>
      <c r="C326" s="56" t="n">
        <v>2025</v>
      </c>
      <c r="D326" s="56" t="n">
        <v>11</v>
      </c>
      <c r="E326" s="56" t="inlineStr">
        <is>
          <t>UAE</t>
        </is>
      </c>
      <c r="F326" s="56" t="inlineStr">
        <is>
          <t>Sharjah</t>
        </is>
      </c>
      <c r="G326" s="56" t="inlineStr">
        <is>
          <t>TikTok Ads</t>
        </is>
      </c>
      <c r="H326" s="56" t="inlineStr">
        <is>
          <t>Retargeting</t>
        </is>
      </c>
      <c r="I326" s="56" t="inlineStr">
        <is>
          <t>P009</t>
        </is>
      </c>
      <c r="J326" s="56" t="inlineStr">
        <is>
          <t>Car Vacuum Cleaner</t>
        </is>
      </c>
      <c r="K326" s="56" t="inlineStr">
        <is>
          <t>Automotive</t>
        </is>
      </c>
      <c r="L326" s="56" t="inlineStr">
        <is>
          <t>Dongguan Auto Tools</t>
        </is>
      </c>
      <c r="M326" s="80" t="n">
        <v>46.75</v>
      </c>
      <c r="N326" s="80" t="n">
        <v>14.25</v>
      </c>
      <c r="O326" s="80" t="n">
        <v>7.27</v>
      </c>
      <c r="P326" s="80" t="n">
        <v>0.03</v>
      </c>
      <c r="Q326" s="80" t="n">
        <v>14.75</v>
      </c>
      <c r="R326" s="80" t="n">
        <v>3</v>
      </c>
      <c r="S326" s="80">
        <f>IF(AC326="Cancelled",0,M326*R326)</f>
        <v/>
      </c>
      <c r="T326" s="80">
        <f>IF(AC326="Cancelled",0,N326*R326)</f>
        <v/>
      </c>
      <c r="U326" s="80">
        <f>IF(AC326="Cancelled",0,O326*R326)</f>
        <v/>
      </c>
      <c r="V326" s="80">
        <f>IF(AC326="Cancelled",0,ROUND(P326*S326,2))</f>
        <v/>
      </c>
      <c r="W326" s="80" t="inlineStr">
        <is>
          <t>No</t>
        </is>
      </c>
      <c r="X326" s="80" t="n">
        <v>0</v>
      </c>
      <c r="Y326" s="80">
        <f>IF(AC326="Cancelled",0,T326+U326+V326+Q326+X326)</f>
        <v/>
      </c>
      <c r="Z326" s="80">
        <f>IF(AC326="Cancelled",-Q326,S326-Y326)</f>
        <v/>
      </c>
      <c r="AA326" s="81">
        <f>IF(OR(AC326="Cancelled",S326=0),0,Z326/S326)</f>
        <v/>
      </c>
      <c r="AB326" s="82">
        <f>IFERROR(S326/Q326,0)</f>
        <v/>
      </c>
      <c r="AC326" s="56" t="inlineStr">
        <is>
          <t>Delivered</t>
        </is>
      </c>
    </row>
    <row r="327" ht="14.25" customHeight="1" s="57">
      <c r="A327" s="56" t="inlineStr">
        <is>
          <t>ORD-00101</t>
        </is>
      </c>
      <c r="B327" s="79" t="n">
        <v>45966</v>
      </c>
      <c r="C327" s="56" t="n">
        <v>2025</v>
      </c>
      <c r="D327" s="56" t="n">
        <v>11</v>
      </c>
      <c r="E327" s="56" t="inlineStr">
        <is>
          <t>Saudi Arabia</t>
        </is>
      </c>
      <c r="F327" s="56" t="inlineStr">
        <is>
          <t>Riyadh</t>
        </is>
      </c>
      <c r="G327" s="56" t="inlineStr">
        <is>
          <t>TikTok Ads</t>
        </is>
      </c>
      <c r="H327" s="56" t="inlineStr">
        <is>
          <t>Launch Test</t>
        </is>
      </c>
      <c r="I327" s="56" t="inlineStr">
        <is>
          <t>P002</t>
        </is>
      </c>
      <c r="J327" s="56" t="inlineStr">
        <is>
          <t>Phone Case</t>
        </is>
      </c>
      <c r="K327" s="56" t="inlineStr">
        <is>
          <t>Accessories</t>
        </is>
      </c>
      <c r="L327" s="56" t="inlineStr">
        <is>
          <t>Guangzhou Cases Ltd.</t>
        </is>
      </c>
      <c r="M327" s="80" t="n">
        <v>15.08</v>
      </c>
      <c r="N327" s="80" t="n">
        <v>2.1</v>
      </c>
      <c r="O327" s="80" t="n">
        <v>2.18</v>
      </c>
      <c r="P327" s="80" t="n">
        <v>0.03</v>
      </c>
      <c r="Q327" s="80" t="n">
        <v>2.91</v>
      </c>
      <c r="R327" s="80" t="n">
        <v>1</v>
      </c>
      <c r="S327" s="80">
        <f>IF(AC327="Cancelled",0,M327*R327)</f>
        <v/>
      </c>
      <c r="T327" s="80">
        <f>IF(AC327="Cancelled",0,N327*R327)</f>
        <v/>
      </c>
      <c r="U327" s="80">
        <f>IF(AC327="Cancelled",0,O327*R327)</f>
        <v/>
      </c>
      <c r="V327" s="80">
        <f>IF(AC327="Cancelled",0,ROUND(P327*S327,2))</f>
        <v/>
      </c>
      <c r="W327" s="80" t="inlineStr">
        <is>
          <t>No</t>
        </is>
      </c>
      <c r="X327" s="80" t="n">
        <v>0</v>
      </c>
      <c r="Y327" s="80">
        <f>IF(AC327="Cancelled",0,T327+U327+V327+Q327+X327)</f>
        <v/>
      </c>
      <c r="Z327" s="80">
        <f>IF(AC327="Cancelled",-Q327,S327-Y327)</f>
        <v/>
      </c>
      <c r="AA327" s="81">
        <f>IF(OR(AC327="Cancelled",S327=0),0,Z327/S327)</f>
        <v/>
      </c>
      <c r="AB327" s="82">
        <f>IFERROR(S327/Q327,0)</f>
        <v/>
      </c>
      <c r="AC327" s="56" t="inlineStr">
        <is>
          <t>Delivered</t>
        </is>
      </c>
    </row>
    <row r="328" ht="14.25" customHeight="1" s="57">
      <c r="A328" s="56" t="inlineStr">
        <is>
          <t>ORD-00214</t>
        </is>
      </c>
      <c r="B328" s="79" t="n">
        <v>45967</v>
      </c>
      <c r="C328" s="56" t="n">
        <v>2025</v>
      </c>
      <c r="D328" s="56" t="n">
        <v>11</v>
      </c>
      <c r="E328" s="56" t="inlineStr">
        <is>
          <t>UAE</t>
        </is>
      </c>
      <c r="F328" s="56" t="inlineStr">
        <is>
          <t>Abu Dhabi</t>
        </is>
      </c>
      <c r="G328" s="56" t="inlineStr">
        <is>
          <t>TikTok Ads</t>
        </is>
      </c>
      <c r="H328" s="56" t="inlineStr">
        <is>
          <t>Summer Sale</t>
        </is>
      </c>
      <c r="I328" s="56" t="inlineStr">
        <is>
          <t>P005</t>
        </is>
      </c>
      <c r="J328" s="56" t="inlineStr">
        <is>
          <t>Mini Printer</t>
        </is>
      </c>
      <c r="K328" s="56" t="inlineStr">
        <is>
          <t>Electronics</t>
        </is>
      </c>
      <c r="L328" s="56" t="inlineStr">
        <is>
          <t>Shenzhen Print Tech</t>
        </is>
      </c>
      <c r="M328" s="80" t="n">
        <v>66.56999999999999</v>
      </c>
      <c r="N328" s="80" t="n">
        <v>22.75</v>
      </c>
      <c r="O328" s="80" t="n">
        <v>7.57</v>
      </c>
      <c r="P328" s="80" t="n">
        <v>0.03</v>
      </c>
      <c r="Q328" s="80" t="n">
        <v>9.93</v>
      </c>
      <c r="R328" s="80" t="n">
        <v>2</v>
      </c>
      <c r="S328" s="80">
        <f>IF(AC328="Cancelled",0,M328*R328)</f>
        <v/>
      </c>
      <c r="T328" s="80">
        <f>IF(AC328="Cancelled",0,N328*R328)</f>
        <v/>
      </c>
      <c r="U328" s="80">
        <f>IF(AC328="Cancelled",0,O328*R328)</f>
        <v/>
      </c>
      <c r="V328" s="80">
        <f>IF(AC328="Cancelled",0,ROUND(P328*S328,2))</f>
        <v/>
      </c>
      <c r="W328" s="80" t="inlineStr">
        <is>
          <t>No</t>
        </is>
      </c>
      <c r="X328" s="80" t="n">
        <v>0</v>
      </c>
      <c r="Y328" s="80">
        <f>IF(AC328="Cancelled",0,T328+U328+V328+Q328+X328)</f>
        <v/>
      </c>
      <c r="Z328" s="80">
        <f>IF(AC328="Cancelled",-Q328,S328-Y328)</f>
        <v/>
      </c>
      <c r="AA328" s="81">
        <f>IF(OR(AC328="Cancelled",S328=0),0,Z328/S328)</f>
        <v/>
      </c>
      <c r="AB328" s="82">
        <f>IFERROR(S328/Q328,0)</f>
        <v/>
      </c>
      <c r="AC328" s="56" t="inlineStr">
        <is>
          <t>Delivered</t>
        </is>
      </c>
    </row>
    <row r="329" ht="14.25" customHeight="1" s="57">
      <c r="A329" s="56" t="inlineStr">
        <is>
          <t>ORD-00026</t>
        </is>
      </c>
      <c r="B329" s="79" t="n">
        <v>45968</v>
      </c>
      <c r="C329" s="56" t="n">
        <v>2025</v>
      </c>
      <c r="D329" s="56" t="n">
        <v>11</v>
      </c>
      <c r="E329" s="56" t="inlineStr">
        <is>
          <t>UAE</t>
        </is>
      </c>
      <c r="F329" s="56" t="inlineStr">
        <is>
          <t>Dubai</t>
        </is>
      </c>
      <c r="G329" s="56" t="inlineStr">
        <is>
          <t>Influencer</t>
        </is>
      </c>
      <c r="H329" s="56" t="inlineStr">
        <is>
          <t>Launch Test</t>
        </is>
      </c>
      <c r="I329" s="56" t="inlineStr">
        <is>
          <t>P006</t>
        </is>
      </c>
      <c r="J329" s="56" t="inlineStr">
        <is>
          <t>Posture Corrector</t>
        </is>
      </c>
      <c r="K329" s="56" t="inlineStr">
        <is>
          <t>Fitness</t>
        </is>
      </c>
      <c r="L329" s="56" t="inlineStr">
        <is>
          <t>Hangzhou Health Gear</t>
        </is>
      </c>
      <c r="M329" s="80" t="n">
        <v>37.69</v>
      </c>
      <c r="N329" s="80" t="n">
        <v>8.65</v>
      </c>
      <c r="O329" s="80" t="n">
        <v>4.04</v>
      </c>
      <c r="P329" s="80" t="n">
        <v>0.03</v>
      </c>
      <c r="Q329" s="80" t="n">
        <v>9.369999999999999</v>
      </c>
      <c r="R329" s="80" t="n">
        <v>1</v>
      </c>
      <c r="S329" s="80">
        <f>IF(AC329="Cancelled",0,M329*R329)</f>
        <v/>
      </c>
      <c r="T329" s="80">
        <f>IF(AC329="Cancelled",0,N329*R329)</f>
        <v/>
      </c>
      <c r="U329" s="80">
        <f>IF(AC329="Cancelled",0,O329*R329)</f>
        <v/>
      </c>
      <c r="V329" s="80">
        <f>IF(AC329="Cancelled",0,ROUND(P329*S329,2))</f>
        <v/>
      </c>
      <c r="W329" s="80" t="inlineStr">
        <is>
          <t>No</t>
        </is>
      </c>
      <c r="X329" s="80" t="n">
        <v>0</v>
      </c>
      <c r="Y329" s="80">
        <f>IF(AC329="Cancelled",0,T329+U329+V329+Q329+X329)</f>
        <v/>
      </c>
      <c r="Z329" s="80">
        <f>IF(AC329="Cancelled",-Q329,S329-Y329)</f>
        <v/>
      </c>
      <c r="AA329" s="81">
        <f>IF(OR(AC329="Cancelled",S329=0),0,Z329/S329)</f>
        <v/>
      </c>
      <c r="AB329" s="82">
        <f>IFERROR(S329/Q329,0)</f>
        <v/>
      </c>
      <c r="AC329" s="56" t="inlineStr">
        <is>
          <t>Delivered</t>
        </is>
      </c>
    </row>
    <row r="330" ht="14.25" customHeight="1" s="57">
      <c r="A330" s="56" t="inlineStr">
        <is>
          <t>ORD-00261</t>
        </is>
      </c>
      <c r="B330" s="79" t="n">
        <v>45968</v>
      </c>
      <c r="C330" s="56" t="n">
        <v>2025</v>
      </c>
      <c r="D330" s="56" t="n">
        <v>11</v>
      </c>
      <c r="E330" s="56" t="inlineStr">
        <is>
          <t>UAE</t>
        </is>
      </c>
      <c r="F330" s="56" t="inlineStr">
        <is>
          <t>Abu Dhabi</t>
        </is>
      </c>
      <c r="G330" s="56" t="inlineStr">
        <is>
          <t>TikTok Ads</t>
        </is>
      </c>
      <c r="H330" s="56" t="inlineStr">
        <is>
          <t>Bundle Promo</t>
        </is>
      </c>
      <c r="I330" s="56" t="inlineStr">
        <is>
          <t>P006</t>
        </is>
      </c>
      <c r="J330" s="56" t="inlineStr">
        <is>
          <t>Posture Corrector</t>
        </is>
      </c>
      <c r="K330" s="56" t="inlineStr">
        <is>
          <t>Fitness</t>
        </is>
      </c>
      <c r="L330" s="56" t="inlineStr">
        <is>
          <t>Hangzhou Health Gear</t>
        </is>
      </c>
      <c r="M330" s="80" t="n">
        <v>35.31</v>
      </c>
      <c r="N330" s="80" t="n">
        <v>9.02</v>
      </c>
      <c r="O330" s="80" t="n">
        <v>3.89</v>
      </c>
      <c r="P330" s="80" t="n">
        <v>0.03</v>
      </c>
      <c r="Q330" s="80" t="n">
        <v>8.5</v>
      </c>
      <c r="R330" s="80" t="n">
        <v>3</v>
      </c>
      <c r="S330" s="80">
        <f>IF(AC330="Cancelled",0,M330*R330)</f>
        <v/>
      </c>
      <c r="T330" s="80">
        <f>IF(AC330="Cancelled",0,N330*R330)</f>
        <v/>
      </c>
      <c r="U330" s="80">
        <f>IF(AC330="Cancelled",0,O330*R330)</f>
        <v/>
      </c>
      <c r="V330" s="80">
        <f>IF(AC330="Cancelled",0,ROUND(P330*S330,2))</f>
        <v/>
      </c>
      <c r="W330" s="80" t="inlineStr">
        <is>
          <t>No</t>
        </is>
      </c>
      <c r="X330" s="80" t="n">
        <v>0</v>
      </c>
      <c r="Y330" s="80">
        <f>IF(AC330="Cancelled",0,T330+U330+V330+Q330+X330)</f>
        <v/>
      </c>
      <c r="Z330" s="80">
        <f>IF(AC330="Cancelled",-Q330,S330-Y330)</f>
        <v/>
      </c>
      <c r="AA330" s="81">
        <f>IF(OR(AC330="Cancelled",S330=0),0,Z330/S330)</f>
        <v/>
      </c>
      <c r="AB330" s="82">
        <f>IFERROR(S330/Q330,0)</f>
        <v/>
      </c>
      <c r="AC330" s="56" t="inlineStr">
        <is>
          <t>Delivered</t>
        </is>
      </c>
    </row>
    <row r="331" ht="14.25" customHeight="1" s="57">
      <c r="A331" s="56" t="inlineStr">
        <is>
          <t>ORD-00487</t>
        </is>
      </c>
      <c r="B331" s="79" t="n">
        <v>45971</v>
      </c>
      <c r="C331" s="56" t="n">
        <v>2025</v>
      </c>
      <c r="D331" s="56" t="n">
        <v>11</v>
      </c>
      <c r="E331" s="56" t="inlineStr">
        <is>
          <t>UAE</t>
        </is>
      </c>
      <c r="F331" s="56" t="inlineStr">
        <is>
          <t>Abu Dhabi</t>
        </is>
      </c>
      <c r="G331" s="56" t="inlineStr">
        <is>
          <t>TikTok Ads</t>
        </is>
      </c>
      <c r="H331" s="56" t="inlineStr">
        <is>
          <t>Bundle Promo</t>
        </is>
      </c>
      <c r="I331" s="56" t="inlineStr">
        <is>
          <t>P009</t>
        </is>
      </c>
      <c r="J331" s="56" t="inlineStr">
        <is>
          <t>Car Vacuum Cleaner</t>
        </is>
      </c>
      <c r="K331" s="56" t="inlineStr">
        <is>
          <t>Automotive</t>
        </is>
      </c>
      <c r="L331" s="56" t="inlineStr">
        <is>
          <t>Dongguan Auto Tools</t>
        </is>
      </c>
      <c r="M331" s="80" t="n">
        <v>50.03</v>
      </c>
      <c r="N331" s="80" t="n">
        <v>13.96</v>
      </c>
      <c r="O331" s="80" t="n">
        <v>6.49</v>
      </c>
      <c r="P331" s="80" t="n">
        <v>0.03</v>
      </c>
      <c r="Q331" s="80" t="n">
        <v>6.15</v>
      </c>
      <c r="R331" s="80" t="n">
        <v>1</v>
      </c>
      <c r="S331" s="80">
        <f>IF(AC331="Cancelled",0,M331*R331)</f>
        <v/>
      </c>
      <c r="T331" s="80">
        <f>IF(AC331="Cancelled",0,N331*R331)</f>
        <v/>
      </c>
      <c r="U331" s="80">
        <f>IF(AC331="Cancelled",0,O331*R331)</f>
        <v/>
      </c>
      <c r="V331" s="80">
        <f>IF(AC331="Cancelled",0,ROUND(P331*S331,2))</f>
        <v/>
      </c>
      <c r="W331" s="80" t="inlineStr">
        <is>
          <t>No</t>
        </is>
      </c>
      <c r="X331" s="80" t="n">
        <v>0</v>
      </c>
      <c r="Y331" s="80">
        <f>IF(AC331="Cancelled",0,T331+U331+V331+Q331+X331)</f>
        <v/>
      </c>
      <c r="Z331" s="80">
        <f>IF(AC331="Cancelled",-Q331,S331-Y331)</f>
        <v/>
      </c>
      <c r="AA331" s="81">
        <f>IF(OR(AC331="Cancelled",S331=0),0,Z331/S331)</f>
        <v/>
      </c>
      <c r="AB331" s="82">
        <f>IFERROR(S331/Q331,0)</f>
        <v/>
      </c>
      <c r="AC331" s="56" t="inlineStr">
        <is>
          <t>Delivered</t>
        </is>
      </c>
    </row>
    <row r="332" ht="14.25" customHeight="1" s="57">
      <c r="A332" s="56" t="inlineStr">
        <is>
          <t>ORD-00008</t>
        </is>
      </c>
      <c r="B332" s="79" t="n">
        <v>45974</v>
      </c>
      <c r="C332" s="56" t="n">
        <v>2025</v>
      </c>
      <c r="D332" s="56" t="n">
        <v>11</v>
      </c>
      <c r="E332" s="56" t="inlineStr">
        <is>
          <t>UAE</t>
        </is>
      </c>
      <c r="F332" s="56" t="inlineStr">
        <is>
          <t>Abu Dhabi</t>
        </is>
      </c>
      <c r="G332" s="56" t="inlineStr">
        <is>
          <t>TikTok Ads</t>
        </is>
      </c>
      <c r="H332" s="56" t="inlineStr">
        <is>
          <t>Summer Sale</t>
        </is>
      </c>
      <c r="I332" s="56" t="inlineStr">
        <is>
          <t>P009</t>
        </is>
      </c>
      <c r="J332" s="56" t="inlineStr">
        <is>
          <t>Car Vacuum Cleaner</t>
        </is>
      </c>
      <c r="K332" s="56" t="inlineStr">
        <is>
          <t>Automotive</t>
        </is>
      </c>
      <c r="L332" s="56" t="inlineStr">
        <is>
          <t>Dongguan Auto Tools</t>
        </is>
      </c>
      <c r="M332" s="80" t="n">
        <v>47.03</v>
      </c>
      <c r="N332" s="80" t="n">
        <v>15.02</v>
      </c>
      <c r="O332" s="80" t="n">
        <v>6.13</v>
      </c>
      <c r="P332" s="80" t="n">
        <v>0.03</v>
      </c>
      <c r="Q332" s="80" t="n">
        <v>2.67</v>
      </c>
      <c r="R332" s="80" t="n">
        <v>1</v>
      </c>
      <c r="S332" s="80">
        <f>IF(AC332="Cancelled",0,M332*R332)</f>
        <v/>
      </c>
      <c r="T332" s="80">
        <f>IF(AC332="Cancelled",0,N332*R332)</f>
        <v/>
      </c>
      <c r="U332" s="80">
        <f>IF(AC332="Cancelled",0,O332*R332)</f>
        <v/>
      </c>
      <c r="V332" s="80">
        <f>IF(AC332="Cancelled",0,ROUND(P332*S332,2))</f>
        <v/>
      </c>
      <c r="W332" s="80" t="inlineStr">
        <is>
          <t>No</t>
        </is>
      </c>
      <c r="X332" s="80" t="n">
        <v>0</v>
      </c>
      <c r="Y332" s="80">
        <f>IF(AC332="Cancelled",0,T332+U332+V332+Q332+X332)</f>
        <v/>
      </c>
      <c r="Z332" s="80">
        <f>IF(AC332="Cancelled",-Q332,S332-Y332)</f>
        <v/>
      </c>
      <c r="AA332" s="81">
        <f>IF(OR(AC332="Cancelled",S332=0),0,Z332/S332)</f>
        <v/>
      </c>
      <c r="AB332" s="82">
        <f>IFERROR(S332/Q332,0)</f>
        <v/>
      </c>
      <c r="AC332" s="56" t="inlineStr">
        <is>
          <t>Delivered</t>
        </is>
      </c>
    </row>
    <row r="333" ht="14.25" customHeight="1" s="57">
      <c r="A333" s="56" t="inlineStr">
        <is>
          <t>ORD-00270</t>
        </is>
      </c>
      <c r="B333" s="79" t="n">
        <v>45977</v>
      </c>
      <c r="C333" s="56" t="n">
        <v>2025</v>
      </c>
      <c r="D333" s="56" t="n">
        <v>11</v>
      </c>
      <c r="E333" s="56" t="inlineStr">
        <is>
          <t>Oman</t>
        </is>
      </c>
      <c r="F333" s="56" t="inlineStr">
        <is>
          <t>Muscat</t>
        </is>
      </c>
      <c r="G333" s="56" t="inlineStr">
        <is>
          <t>TikTok Ads</t>
        </is>
      </c>
      <c r="H333" s="56" t="inlineStr">
        <is>
          <t>New Creative A/B</t>
        </is>
      </c>
      <c r="I333" s="56" t="inlineStr">
        <is>
          <t>P002</t>
        </is>
      </c>
      <c r="J333" s="56" t="inlineStr">
        <is>
          <t>Phone Case</t>
        </is>
      </c>
      <c r="K333" s="56" t="inlineStr">
        <is>
          <t>Accessories</t>
        </is>
      </c>
      <c r="L333" s="56" t="inlineStr">
        <is>
          <t>Guangzhou Cases Ltd.</t>
        </is>
      </c>
      <c r="M333" s="80" t="n">
        <v>16.4</v>
      </c>
      <c r="N333" s="80" t="n">
        <v>2.12</v>
      </c>
      <c r="O333" s="80" t="n">
        <v>1.94</v>
      </c>
      <c r="P333" s="80" t="n">
        <v>0.03</v>
      </c>
      <c r="Q333" s="80" t="n">
        <v>19.5</v>
      </c>
      <c r="R333" s="80" t="n">
        <v>2</v>
      </c>
      <c r="S333" s="80">
        <f>IF(AC333="Cancelled",0,M333*R333)</f>
        <v/>
      </c>
      <c r="T333" s="80">
        <f>IF(AC333="Cancelled",0,N333*R333)</f>
        <v/>
      </c>
      <c r="U333" s="80">
        <f>IF(AC333="Cancelled",0,O333*R333)</f>
        <v/>
      </c>
      <c r="V333" s="80">
        <f>IF(AC333="Cancelled",0,ROUND(P333*S333,2))</f>
        <v/>
      </c>
      <c r="W333" s="80" t="inlineStr">
        <is>
          <t>No</t>
        </is>
      </c>
      <c r="X333" s="80" t="n">
        <v>0</v>
      </c>
      <c r="Y333" s="80">
        <f>IF(AC333="Cancelled",0,T333+U333+V333+Q333+X333)</f>
        <v/>
      </c>
      <c r="Z333" s="80">
        <f>IF(AC333="Cancelled",-Q333,S333-Y333)</f>
        <v/>
      </c>
      <c r="AA333" s="81">
        <f>IF(OR(AC333="Cancelled",S333=0),0,Z333/S333)</f>
        <v/>
      </c>
      <c r="AB333" s="82">
        <f>IFERROR(S333/Q333,0)</f>
        <v/>
      </c>
      <c r="AC333" s="56" t="inlineStr">
        <is>
          <t>Delivered</t>
        </is>
      </c>
    </row>
    <row r="334" ht="14.25" customHeight="1" s="57">
      <c r="A334" s="56" t="inlineStr">
        <is>
          <t>ORD-00148</t>
        </is>
      </c>
      <c r="B334" s="79" t="n">
        <v>45978</v>
      </c>
      <c r="C334" s="56" t="n">
        <v>2025</v>
      </c>
      <c r="D334" s="56" t="n">
        <v>11</v>
      </c>
      <c r="E334" s="56" t="inlineStr">
        <is>
          <t>UAE</t>
        </is>
      </c>
      <c r="F334" s="56" t="inlineStr">
        <is>
          <t>Sharjah</t>
        </is>
      </c>
      <c r="G334" s="56" t="inlineStr">
        <is>
          <t>Organic Search</t>
        </is>
      </c>
      <c r="H334" s="56" t="inlineStr">
        <is>
          <t>Bundle Promo</t>
        </is>
      </c>
      <c r="I334" s="56" t="inlineStr">
        <is>
          <t>P008</t>
        </is>
      </c>
      <c r="J334" s="56" t="inlineStr">
        <is>
          <t>Portable Blender</t>
        </is>
      </c>
      <c r="K334" s="56" t="inlineStr">
        <is>
          <t>Kitchen</t>
        </is>
      </c>
      <c r="L334" s="56" t="inlineStr">
        <is>
          <t>Foshan Appliances</t>
        </is>
      </c>
      <c r="M334" s="80" t="n">
        <v>48.53</v>
      </c>
      <c r="N334" s="80" t="n">
        <v>15.84</v>
      </c>
      <c r="O334" s="80" t="n">
        <v>6.67</v>
      </c>
      <c r="P334" s="80" t="n">
        <v>0.03</v>
      </c>
      <c r="Q334" s="80" t="n">
        <v>0</v>
      </c>
      <c r="R334" s="80" t="n">
        <v>1</v>
      </c>
      <c r="S334" s="80">
        <f>IF(AC334="Cancelled",0,M334*R334)</f>
        <v/>
      </c>
      <c r="T334" s="80">
        <f>IF(AC334="Cancelled",0,N334*R334)</f>
        <v/>
      </c>
      <c r="U334" s="80">
        <f>IF(AC334="Cancelled",0,O334*R334)</f>
        <v/>
      </c>
      <c r="V334" s="80">
        <f>IF(AC334="Cancelled",0,ROUND(P334*S334,2))</f>
        <v/>
      </c>
      <c r="W334" s="80" t="inlineStr">
        <is>
          <t>No</t>
        </is>
      </c>
      <c r="X334" s="80" t="n">
        <v>0</v>
      </c>
      <c r="Y334" s="80">
        <f>IF(AC334="Cancelled",0,T334+U334+V334+Q334+X334)</f>
        <v/>
      </c>
      <c r="Z334" s="80">
        <f>IF(AC334="Cancelled",-Q334,S334-Y334)</f>
        <v/>
      </c>
      <c r="AA334" s="81">
        <f>IF(OR(AC334="Cancelled",S334=0),0,Z334/S334)</f>
        <v/>
      </c>
      <c r="AB334" s="82">
        <f>IFERROR(S334/Q334,0)</f>
        <v/>
      </c>
      <c r="AC334" s="56" t="inlineStr">
        <is>
          <t>Delivered</t>
        </is>
      </c>
    </row>
    <row r="335" ht="14.25" customHeight="1" s="57">
      <c r="A335" s="56" t="inlineStr">
        <is>
          <t>ORD-00411</t>
        </is>
      </c>
      <c r="B335" s="79" t="n">
        <v>45980</v>
      </c>
      <c r="C335" s="56" t="n">
        <v>2025</v>
      </c>
      <c r="D335" s="56" t="n">
        <v>11</v>
      </c>
      <c r="E335" s="56" t="inlineStr">
        <is>
          <t>UAE</t>
        </is>
      </c>
      <c r="F335" s="56" t="inlineStr">
        <is>
          <t>Abu Dhabi</t>
        </is>
      </c>
      <c r="G335" s="56" t="inlineStr">
        <is>
          <t>Google Ads</t>
        </is>
      </c>
      <c r="H335" s="56" t="inlineStr">
        <is>
          <t>Summer Sale</t>
        </is>
      </c>
      <c r="I335" s="56" t="inlineStr">
        <is>
          <t>P007</t>
        </is>
      </c>
      <c r="J335" s="56" t="inlineStr">
        <is>
          <t>Pet Grooming Glove</t>
        </is>
      </c>
      <c r="K335" s="56" t="inlineStr">
        <is>
          <t>Pets</t>
        </is>
      </c>
      <c r="L335" s="56" t="inlineStr">
        <is>
          <t>Yiwu Pet Products</t>
        </is>
      </c>
      <c r="M335" s="80" t="n">
        <v>21.97</v>
      </c>
      <c r="N335" s="80" t="n">
        <v>3.75</v>
      </c>
      <c r="O335" s="80" t="n">
        <v>2.33</v>
      </c>
      <c r="P335" s="80" t="n">
        <v>0.03</v>
      </c>
      <c r="Q335" s="80" t="n">
        <v>1.32</v>
      </c>
      <c r="R335" s="80" t="n">
        <v>1</v>
      </c>
      <c r="S335" s="80">
        <f>IF(AC335="Cancelled",0,M335*R335)</f>
        <v/>
      </c>
      <c r="T335" s="80">
        <f>IF(AC335="Cancelled",0,N335*R335)</f>
        <v/>
      </c>
      <c r="U335" s="80">
        <f>IF(AC335="Cancelled",0,O335*R335)</f>
        <v/>
      </c>
      <c r="V335" s="80">
        <f>IF(AC335="Cancelled",0,ROUND(P335*S335,2))</f>
        <v/>
      </c>
      <c r="W335" s="80" t="inlineStr">
        <is>
          <t>No</t>
        </is>
      </c>
      <c r="X335" s="80" t="n">
        <v>0</v>
      </c>
      <c r="Y335" s="80">
        <f>IF(AC335="Cancelled",0,T335+U335+V335+Q335+X335)</f>
        <v/>
      </c>
      <c r="Z335" s="80">
        <f>IF(AC335="Cancelled",-Q335,S335-Y335)</f>
        <v/>
      </c>
      <c r="AA335" s="81">
        <f>IF(OR(AC335="Cancelled",S335=0),0,Z335/S335)</f>
        <v/>
      </c>
      <c r="AB335" s="82">
        <f>IFERROR(S335/Q335,0)</f>
        <v/>
      </c>
      <c r="AC335" s="56" t="inlineStr">
        <is>
          <t>Delivered</t>
        </is>
      </c>
    </row>
    <row r="336" ht="14.25" customHeight="1" s="57">
      <c r="A336" s="56" t="inlineStr">
        <is>
          <t>ORD-00445</t>
        </is>
      </c>
      <c r="B336" s="79" t="n">
        <v>45980</v>
      </c>
      <c r="C336" s="56" t="n">
        <v>2025</v>
      </c>
      <c r="D336" s="56" t="n">
        <v>11</v>
      </c>
      <c r="E336" s="56" t="inlineStr">
        <is>
          <t>Kuwait</t>
        </is>
      </c>
      <c r="F336" s="56" t="inlineStr">
        <is>
          <t>Kuwait City</t>
        </is>
      </c>
      <c r="G336" s="56" t="inlineStr">
        <is>
          <t>TikTok Ads</t>
        </is>
      </c>
      <c r="H336" s="56" t="inlineStr">
        <is>
          <t>New Creative A/B</t>
        </is>
      </c>
      <c r="I336" s="56" t="inlineStr">
        <is>
          <t>P001</t>
        </is>
      </c>
      <c r="J336" s="56" t="inlineStr">
        <is>
          <t>Wireless Earbuds</t>
        </is>
      </c>
      <c r="K336" s="56" t="inlineStr">
        <is>
          <t>Electronics</t>
        </is>
      </c>
      <c r="L336" s="56" t="inlineStr">
        <is>
          <t>Shenzhen Audio Co.</t>
        </is>
      </c>
      <c r="M336" s="80" t="n">
        <v>36.72</v>
      </c>
      <c r="N336" s="80" t="n">
        <v>8.710000000000001</v>
      </c>
      <c r="O336" s="80" t="n">
        <v>4.51</v>
      </c>
      <c r="P336" s="80" t="n">
        <v>0.03</v>
      </c>
      <c r="Q336" s="80" t="n">
        <v>9.99</v>
      </c>
      <c r="R336" s="80" t="n">
        <v>2</v>
      </c>
      <c r="S336" s="80">
        <f>IF(AC336="Cancelled",0,M336*R336)</f>
        <v/>
      </c>
      <c r="T336" s="80">
        <f>IF(AC336="Cancelled",0,N336*R336)</f>
        <v/>
      </c>
      <c r="U336" s="80">
        <f>IF(AC336="Cancelled",0,O336*R336)</f>
        <v/>
      </c>
      <c r="V336" s="80">
        <f>IF(AC336="Cancelled",0,ROUND(P336*S336,2))</f>
        <v/>
      </c>
      <c r="W336" s="80" t="inlineStr">
        <is>
          <t>No</t>
        </is>
      </c>
      <c r="X336" s="80" t="n">
        <v>0</v>
      </c>
      <c r="Y336" s="80">
        <f>IF(AC336="Cancelled",0,T336+U336+V336+Q336+X336)</f>
        <v/>
      </c>
      <c r="Z336" s="80">
        <f>IF(AC336="Cancelled",-Q336,S336-Y336)</f>
        <v/>
      </c>
      <c r="AA336" s="81">
        <f>IF(OR(AC336="Cancelled",S336=0),0,Z336/S336)</f>
        <v/>
      </c>
      <c r="AB336" s="82">
        <f>IFERROR(S336/Q336,0)</f>
        <v/>
      </c>
      <c r="AC336" s="56" t="inlineStr">
        <is>
          <t>Delivered</t>
        </is>
      </c>
    </row>
    <row r="337" ht="14.25" customHeight="1" s="57">
      <c r="A337" s="56" t="inlineStr">
        <is>
          <t>ORD-00167</t>
        </is>
      </c>
      <c r="B337" s="79" t="n">
        <v>45981</v>
      </c>
      <c r="C337" s="56" t="n">
        <v>2025</v>
      </c>
      <c r="D337" s="56" t="n">
        <v>11</v>
      </c>
      <c r="E337" s="56" t="inlineStr">
        <is>
          <t>Oman</t>
        </is>
      </c>
      <c r="F337" s="56" t="inlineStr">
        <is>
          <t>Muscat</t>
        </is>
      </c>
      <c r="G337" s="56" t="inlineStr">
        <is>
          <t>TikTok Ads</t>
        </is>
      </c>
      <c r="H337" s="56" t="inlineStr">
        <is>
          <t>Retargeting</t>
        </is>
      </c>
      <c r="I337" s="56" t="inlineStr">
        <is>
          <t>P010</t>
        </is>
      </c>
      <c r="J337" s="56" t="inlineStr">
        <is>
          <t>Smart Water Bottle</t>
        </is>
      </c>
      <c r="K337" s="56" t="inlineStr">
        <is>
          <t>Lifestyle</t>
        </is>
      </c>
      <c r="L337" s="56" t="inlineStr">
        <is>
          <t>Shenzhen Smart Home</t>
        </is>
      </c>
      <c r="M337" s="80" t="n">
        <v>30.92</v>
      </c>
      <c r="N337" s="80" t="n">
        <v>10.64</v>
      </c>
      <c r="O337" s="80" t="n">
        <v>4.05</v>
      </c>
      <c r="P337" s="80" t="n">
        <v>0.03</v>
      </c>
      <c r="Q337" s="80" t="n">
        <v>18.18</v>
      </c>
      <c r="R337" s="80" t="n">
        <v>2</v>
      </c>
      <c r="S337" s="80">
        <f>IF(AC337="Cancelled",0,M337*R337)</f>
        <v/>
      </c>
      <c r="T337" s="80">
        <f>IF(AC337="Cancelled",0,N337*R337)</f>
        <v/>
      </c>
      <c r="U337" s="80">
        <f>IF(AC337="Cancelled",0,O337*R337)</f>
        <v/>
      </c>
      <c r="V337" s="80">
        <f>IF(AC337="Cancelled",0,ROUND(P337*S337,2))</f>
        <v/>
      </c>
      <c r="W337" s="80" t="inlineStr">
        <is>
          <t>No</t>
        </is>
      </c>
      <c r="X337" s="80" t="n">
        <v>0</v>
      </c>
      <c r="Y337" s="80">
        <f>IF(AC337="Cancelled",0,T337+U337+V337+Q337+X337)</f>
        <v/>
      </c>
      <c r="Z337" s="80">
        <f>IF(AC337="Cancelled",-Q337,S337-Y337)</f>
        <v/>
      </c>
      <c r="AA337" s="81">
        <f>IF(OR(AC337="Cancelled",S337=0),0,Z337/S337)</f>
        <v/>
      </c>
      <c r="AB337" s="82">
        <f>IFERROR(S337/Q337,0)</f>
        <v/>
      </c>
      <c r="AC337" s="56" t="inlineStr">
        <is>
          <t>Delivered</t>
        </is>
      </c>
    </row>
    <row r="338" ht="14.25" customHeight="1" s="57">
      <c r="A338" s="56" t="inlineStr">
        <is>
          <t>ORD-00030</t>
        </is>
      </c>
      <c r="B338" s="79" t="n">
        <v>45983</v>
      </c>
      <c r="C338" s="56" t="n">
        <v>2025</v>
      </c>
      <c r="D338" s="56" t="n">
        <v>11</v>
      </c>
      <c r="E338" s="56" t="inlineStr">
        <is>
          <t>UAE</t>
        </is>
      </c>
      <c r="F338" s="56" t="inlineStr">
        <is>
          <t>Sharjah</t>
        </is>
      </c>
      <c r="G338" s="56" t="inlineStr">
        <is>
          <t>Meta Ads</t>
        </is>
      </c>
      <c r="H338" s="56" t="inlineStr">
        <is>
          <t>Bundle Promo</t>
        </is>
      </c>
      <c r="I338" s="56" t="inlineStr">
        <is>
          <t>P010</t>
        </is>
      </c>
      <c r="J338" s="56" t="inlineStr">
        <is>
          <t>Smart Water Bottle</t>
        </is>
      </c>
      <c r="K338" s="56" t="inlineStr">
        <is>
          <t>Lifestyle</t>
        </is>
      </c>
      <c r="L338" s="56" t="inlineStr">
        <is>
          <t>Shenzhen Smart Home</t>
        </is>
      </c>
      <c r="M338" s="80" t="n">
        <v>32.56</v>
      </c>
      <c r="N338" s="80" t="n">
        <v>10.49</v>
      </c>
      <c r="O338" s="80" t="n">
        <v>3.68</v>
      </c>
      <c r="P338" s="80" t="n">
        <v>0.03</v>
      </c>
      <c r="Q338" s="80" t="n">
        <v>8.220000000000001</v>
      </c>
      <c r="R338" s="80" t="n">
        <v>1</v>
      </c>
      <c r="S338" s="80">
        <f>IF(AC338="Cancelled",0,M338*R338)</f>
        <v/>
      </c>
      <c r="T338" s="80">
        <f>IF(AC338="Cancelled",0,N338*R338)</f>
        <v/>
      </c>
      <c r="U338" s="80">
        <f>IF(AC338="Cancelled",0,O338*R338)</f>
        <v/>
      </c>
      <c r="V338" s="80">
        <f>IF(AC338="Cancelled",0,ROUND(P338*S338,2))</f>
        <v/>
      </c>
      <c r="W338" s="80" t="inlineStr">
        <is>
          <t>No</t>
        </is>
      </c>
      <c r="X338" s="80" t="n">
        <v>0</v>
      </c>
      <c r="Y338" s="80">
        <f>IF(AC338="Cancelled",0,T338+U338+V338+Q338+X338)</f>
        <v/>
      </c>
      <c r="Z338" s="80">
        <f>IF(AC338="Cancelled",-Q338,S338-Y338)</f>
        <v/>
      </c>
      <c r="AA338" s="81">
        <f>IF(OR(AC338="Cancelled",S338=0),0,Z338/S338)</f>
        <v/>
      </c>
      <c r="AB338" s="82">
        <f>IFERROR(S338/Q338,0)</f>
        <v/>
      </c>
      <c r="AC338" s="56" t="inlineStr">
        <is>
          <t>Delivered</t>
        </is>
      </c>
    </row>
    <row r="339" ht="14.25" customHeight="1" s="57">
      <c r="A339" s="56" t="inlineStr">
        <is>
          <t>ORD-00070</t>
        </is>
      </c>
      <c r="B339" s="79" t="n">
        <v>45984</v>
      </c>
      <c r="C339" s="56" t="n">
        <v>2025</v>
      </c>
      <c r="D339" s="56" t="n">
        <v>11</v>
      </c>
      <c r="E339" s="56" t="inlineStr">
        <is>
          <t>UAE</t>
        </is>
      </c>
      <c r="F339" s="56" t="inlineStr">
        <is>
          <t>Abu Dhabi</t>
        </is>
      </c>
      <c r="G339" s="56" t="inlineStr">
        <is>
          <t>Email</t>
        </is>
      </c>
      <c r="H339" s="56" t="inlineStr">
        <is>
          <t>Launch Test</t>
        </is>
      </c>
      <c r="I339" s="56" t="inlineStr">
        <is>
          <t>P003</t>
        </is>
      </c>
      <c r="J339" s="56" t="inlineStr">
        <is>
          <t>LED Strip Lights</t>
        </is>
      </c>
      <c r="K339" s="56" t="inlineStr">
        <is>
          <t>Home Decor</t>
        </is>
      </c>
      <c r="L339" s="56" t="inlineStr">
        <is>
          <t>Yiwu Lighting Factory</t>
        </is>
      </c>
      <c r="M339" s="80" t="n">
        <v>24.97</v>
      </c>
      <c r="N339" s="80" t="n">
        <v>5.79</v>
      </c>
      <c r="O339" s="80" t="n">
        <v>3.5</v>
      </c>
      <c r="P339" s="80" t="n">
        <v>0.03</v>
      </c>
      <c r="Q339" s="80" t="n">
        <v>20.49</v>
      </c>
      <c r="R339" s="80" t="n">
        <v>3</v>
      </c>
      <c r="S339" s="80">
        <f>IF(AC339="Cancelled",0,M339*R339)</f>
        <v/>
      </c>
      <c r="T339" s="80">
        <f>IF(AC339="Cancelled",0,N339*R339)</f>
        <v/>
      </c>
      <c r="U339" s="80">
        <f>IF(AC339="Cancelled",0,O339*R339)</f>
        <v/>
      </c>
      <c r="V339" s="80">
        <f>IF(AC339="Cancelled",0,ROUND(P339*S339,2))</f>
        <v/>
      </c>
      <c r="W339" s="80" t="inlineStr">
        <is>
          <t>No</t>
        </is>
      </c>
      <c r="X339" s="80" t="n">
        <v>0</v>
      </c>
      <c r="Y339" s="80">
        <f>IF(AC339="Cancelled",0,T339+U339+V339+Q339+X339)</f>
        <v/>
      </c>
      <c r="Z339" s="80">
        <f>IF(AC339="Cancelled",-Q339,S339-Y339)</f>
        <v/>
      </c>
      <c r="AA339" s="81">
        <f>IF(OR(AC339="Cancelled",S339=0),0,Z339/S339)</f>
        <v/>
      </c>
      <c r="AB339" s="82">
        <f>IFERROR(S339/Q339,0)</f>
        <v/>
      </c>
      <c r="AC339" s="56" t="inlineStr">
        <is>
          <t>Delivered</t>
        </is>
      </c>
    </row>
    <row r="340" ht="14.25" customHeight="1" s="57">
      <c r="A340" s="56" t="inlineStr">
        <is>
          <t>ORD-00103</t>
        </is>
      </c>
      <c r="B340" s="79" t="n">
        <v>45984</v>
      </c>
      <c r="C340" s="56" t="n">
        <v>2025</v>
      </c>
      <c r="D340" s="56" t="n">
        <v>11</v>
      </c>
      <c r="E340" s="56" t="inlineStr">
        <is>
          <t>Kuwait</t>
        </is>
      </c>
      <c r="F340" s="56" t="inlineStr">
        <is>
          <t>Kuwait City</t>
        </is>
      </c>
      <c r="G340" s="56" t="inlineStr">
        <is>
          <t>Organic Search</t>
        </is>
      </c>
      <c r="H340" s="56" t="inlineStr">
        <is>
          <t>New Creative A/B</t>
        </is>
      </c>
      <c r="I340" s="56" t="inlineStr">
        <is>
          <t>P009</t>
        </is>
      </c>
      <c r="J340" s="56" t="inlineStr">
        <is>
          <t>Car Vacuum Cleaner</t>
        </is>
      </c>
      <c r="K340" s="56" t="inlineStr">
        <is>
          <t>Automotive</t>
        </is>
      </c>
      <c r="L340" s="56" t="inlineStr">
        <is>
          <t>Dongguan Auto Tools</t>
        </is>
      </c>
      <c r="M340" s="80" t="n">
        <v>47.52</v>
      </c>
      <c r="N340" s="80" t="n">
        <v>13.77</v>
      </c>
      <c r="O340" s="80" t="n">
        <v>6.11</v>
      </c>
      <c r="P340" s="80" t="n">
        <v>0.03</v>
      </c>
      <c r="Q340" s="80" t="n">
        <v>0</v>
      </c>
      <c r="R340" s="80" t="n">
        <v>2</v>
      </c>
      <c r="S340" s="80">
        <f>IF(AC340="Cancelled",0,M340*R340)</f>
        <v/>
      </c>
      <c r="T340" s="80">
        <f>IF(AC340="Cancelled",0,N340*R340)</f>
        <v/>
      </c>
      <c r="U340" s="80">
        <f>IF(AC340="Cancelled",0,O340*R340)</f>
        <v/>
      </c>
      <c r="V340" s="80">
        <f>IF(AC340="Cancelled",0,ROUND(P340*S340,2))</f>
        <v/>
      </c>
      <c r="W340" s="80" t="inlineStr">
        <is>
          <t>No</t>
        </is>
      </c>
      <c r="X340" s="80" t="n">
        <v>0</v>
      </c>
      <c r="Y340" s="80">
        <f>IF(AC340="Cancelled",0,T340+U340+V340+Q340+X340)</f>
        <v/>
      </c>
      <c r="Z340" s="80">
        <f>IF(AC340="Cancelled",-Q340,S340-Y340)</f>
        <v/>
      </c>
      <c r="AA340" s="81">
        <f>IF(OR(AC340="Cancelled",S340=0),0,Z340/S340)</f>
        <v/>
      </c>
      <c r="AB340" s="82">
        <f>IFERROR(S340/Q340,0)</f>
        <v/>
      </c>
      <c r="AC340" s="56" t="inlineStr">
        <is>
          <t>Delivered</t>
        </is>
      </c>
    </row>
    <row r="341" ht="14.25" customHeight="1" s="57">
      <c r="A341" s="56" t="inlineStr">
        <is>
          <t>ORD-00297</t>
        </is>
      </c>
      <c r="B341" s="79" t="n">
        <v>45984</v>
      </c>
      <c r="C341" s="56" t="n">
        <v>2025</v>
      </c>
      <c r="D341" s="56" t="n">
        <v>11</v>
      </c>
      <c r="E341" s="56" t="inlineStr">
        <is>
          <t>Kuwait</t>
        </is>
      </c>
      <c r="F341" s="56" t="inlineStr">
        <is>
          <t>Kuwait City</t>
        </is>
      </c>
      <c r="G341" s="56" t="inlineStr">
        <is>
          <t>Email</t>
        </is>
      </c>
      <c r="H341" s="56" t="inlineStr">
        <is>
          <t>Retargeting</t>
        </is>
      </c>
      <c r="I341" s="56" t="inlineStr">
        <is>
          <t>P007</t>
        </is>
      </c>
      <c r="J341" s="56" t="inlineStr">
        <is>
          <t>Pet Grooming Glove</t>
        </is>
      </c>
      <c r="K341" s="56" t="inlineStr">
        <is>
          <t>Pets</t>
        </is>
      </c>
      <c r="L341" s="56" t="inlineStr">
        <is>
          <t>Yiwu Pet Products</t>
        </is>
      </c>
      <c r="M341" s="80" t="n">
        <v>19.59</v>
      </c>
      <c r="N341" s="80" t="n">
        <v>3.74</v>
      </c>
      <c r="O341" s="80" t="n">
        <v>2.7</v>
      </c>
      <c r="P341" s="80" t="n">
        <v>0.03</v>
      </c>
      <c r="Q341" s="80" t="n">
        <v>9.98</v>
      </c>
      <c r="R341" s="80" t="n">
        <v>1</v>
      </c>
      <c r="S341" s="80">
        <f>IF(AC341="Cancelled",0,M341*R341)</f>
        <v/>
      </c>
      <c r="T341" s="80">
        <f>IF(AC341="Cancelled",0,N341*R341)</f>
        <v/>
      </c>
      <c r="U341" s="80">
        <f>IF(AC341="Cancelled",0,O341*R341)</f>
        <v/>
      </c>
      <c r="V341" s="80">
        <f>IF(AC341="Cancelled",0,ROUND(P341*S341,2))</f>
        <v/>
      </c>
      <c r="W341" s="80" t="inlineStr">
        <is>
          <t>No</t>
        </is>
      </c>
      <c r="X341" s="80" t="n">
        <v>0</v>
      </c>
      <c r="Y341" s="80">
        <f>IF(AC341="Cancelled",0,T341+U341+V341+Q341+X341)</f>
        <v/>
      </c>
      <c r="Z341" s="80">
        <f>IF(AC341="Cancelled",-Q341,S341-Y341)</f>
        <v/>
      </c>
      <c r="AA341" s="81">
        <f>IF(OR(AC341="Cancelled",S341=0),0,Z341/S341)</f>
        <v/>
      </c>
      <c r="AB341" s="82">
        <f>IFERROR(S341/Q341,0)</f>
        <v/>
      </c>
      <c r="AC341" s="56" t="inlineStr">
        <is>
          <t>Delivered</t>
        </is>
      </c>
    </row>
    <row r="342" ht="14.25" customHeight="1" s="57">
      <c r="A342" s="56" t="inlineStr">
        <is>
          <t>ORD-00371</t>
        </is>
      </c>
      <c r="B342" s="79" t="n">
        <v>45984</v>
      </c>
      <c r="C342" s="56" t="n">
        <v>2025</v>
      </c>
      <c r="D342" s="56" t="n">
        <v>11</v>
      </c>
      <c r="E342" s="56" t="inlineStr">
        <is>
          <t>UAE</t>
        </is>
      </c>
      <c r="F342" s="56" t="inlineStr">
        <is>
          <t>Dubai</t>
        </is>
      </c>
      <c r="G342" s="56" t="inlineStr">
        <is>
          <t>Meta Ads</t>
        </is>
      </c>
      <c r="H342" s="56" t="inlineStr">
        <is>
          <t>New Creative A/B</t>
        </is>
      </c>
      <c r="I342" s="56" t="inlineStr">
        <is>
          <t>P010</t>
        </is>
      </c>
      <c r="J342" s="56" t="inlineStr">
        <is>
          <t>Smart Water Bottle</t>
        </is>
      </c>
      <c r="K342" s="56" t="inlineStr">
        <is>
          <t>Lifestyle</t>
        </is>
      </c>
      <c r="L342" s="56" t="inlineStr">
        <is>
          <t>Shenzhen Smart Home</t>
        </is>
      </c>
      <c r="M342" s="80" t="n">
        <v>31.04</v>
      </c>
      <c r="N342" s="80" t="n">
        <v>9.92</v>
      </c>
      <c r="O342" s="80" t="n">
        <v>4.27</v>
      </c>
      <c r="P342" s="80" t="n">
        <v>0.03</v>
      </c>
      <c r="Q342" s="80" t="n">
        <v>10.27</v>
      </c>
      <c r="R342" s="80" t="n">
        <v>1</v>
      </c>
      <c r="S342" s="80">
        <f>IF(AC342="Cancelled",0,M342*R342)</f>
        <v/>
      </c>
      <c r="T342" s="80">
        <f>IF(AC342="Cancelled",0,N342*R342)</f>
        <v/>
      </c>
      <c r="U342" s="80">
        <f>IF(AC342="Cancelled",0,O342*R342)</f>
        <v/>
      </c>
      <c r="V342" s="80">
        <f>IF(AC342="Cancelled",0,ROUND(P342*S342,2))</f>
        <v/>
      </c>
      <c r="W342" s="80" t="inlineStr">
        <is>
          <t>No</t>
        </is>
      </c>
      <c r="X342" s="80" t="n">
        <v>0</v>
      </c>
      <c r="Y342" s="80">
        <f>IF(AC342="Cancelled",0,T342+U342+V342+Q342+X342)</f>
        <v/>
      </c>
      <c r="Z342" s="80">
        <f>IF(AC342="Cancelled",-Q342,S342-Y342)</f>
        <v/>
      </c>
      <c r="AA342" s="81">
        <f>IF(OR(AC342="Cancelled",S342=0),0,Z342/S342)</f>
        <v/>
      </c>
      <c r="AB342" s="82">
        <f>IFERROR(S342/Q342,0)</f>
        <v/>
      </c>
      <c r="AC342" s="56" t="inlineStr">
        <is>
          <t>Delivered</t>
        </is>
      </c>
    </row>
    <row r="343" ht="14.25" customHeight="1" s="57">
      <c r="A343" s="56" t="inlineStr">
        <is>
          <t>ORD-00322</t>
        </is>
      </c>
      <c r="B343" s="79" t="n">
        <v>45985</v>
      </c>
      <c r="C343" s="56" t="n">
        <v>2025</v>
      </c>
      <c r="D343" s="56" t="n">
        <v>11</v>
      </c>
      <c r="E343" s="56" t="inlineStr">
        <is>
          <t>UAE</t>
        </is>
      </c>
      <c r="F343" s="56" t="inlineStr">
        <is>
          <t>Dubai</t>
        </is>
      </c>
      <c r="G343" s="56" t="inlineStr">
        <is>
          <t>TikTok Ads</t>
        </is>
      </c>
      <c r="H343" s="56" t="inlineStr">
        <is>
          <t>Summer Sale</t>
        </is>
      </c>
      <c r="I343" s="56" t="inlineStr">
        <is>
          <t>P005</t>
        </is>
      </c>
      <c r="J343" s="56" t="inlineStr">
        <is>
          <t>Mini Printer</t>
        </is>
      </c>
      <c r="K343" s="56" t="inlineStr">
        <is>
          <t>Electronics</t>
        </is>
      </c>
      <c r="L343" s="56" t="inlineStr">
        <is>
          <t>Shenzhen Print Tech</t>
        </is>
      </c>
      <c r="M343" s="80" t="n">
        <v>63.99</v>
      </c>
      <c r="N343" s="80" t="n">
        <v>22.69</v>
      </c>
      <c r="O343" s="80" t="n">
        <v>7.52</v>
      </c>
      <c r="P343" s="80" t="n">
        <v>0.03</v>
      </c>
      <c r="Q343" s="80" t="n">
        <v>4.93</v>
      </c>
      <c r="R343" s="80" t="n">
        <v>2</v>
      </c>
      <c r="S343" s="80">
        <f>IF(AC343="Cancelled",0,M343*R343)</f>
        <v/>
      </c>
      <c r="T343" s="80">
        <f>IF(AC343="Cancelled",0,N343*R343)</f>
        <v/>
      </c>
      <c r="U343" s="80">
        <f>IF(AC343="Cancelled",0,O343*R343)</f>
        <v/>
      </c>
      <c r="V343" s="80">
        <f>IF(AC343="Cancelled",0,ROUND(P343*S343,2))</f>
        <v/>
      </c>
      <c r="W343" s="80" t="inlineStr">
        <is>
          <t>No</t>
        </is>
      </c>
      <c r="X343" s="80" t="n">
        <v>0</v>
      </c>
      <c r="Y343" s="80">
        <f>IF(AC343="Cancelled",0,T343+U343+V343+Q343+X343)</f>
        <v/>
      </c>
      <c r="Z343" s="80">
        <f>IF(AC343="Cancelled",-Q343,S343-Y343)</f>
        <v/>
      </c>
      <c r="AA343" s="81">
        <f>IF(OR(AC343="Cancelled",S343=0),0,Z343/S343)</f>
        <v/>
      </c>
      <c r="AB343" s="82">
        <f>IFERROR(S343/Q343,0)</f>
        <v/>
      </c>
      <c r="AC343" s="56" t="inlineStr">
        <is>
          <t>Delivered</t>
        </is>
      </c>
    </row>
    <row r="344" ht="14.25" customHeight="1" s="57">
      <c r="A344" s="56" t="inlineStr">
        <is>
          <t>ORD-00355</t>
        </is>
      </c>
      <c r="B344" s="79" t="n">
        <v>45987</v>
      </c>
      <c r="C344" s="56" t="n">
        <v>2025</v>
      </c>
      <c r="D344" s="56" t="n">
        <v>11</v>
      </c>
      <c r="E344" s="56" t="inlineStr">
        <is>
          <t>Kuwait</t>
        </is>
      </c>
      <c r="F344" s="56" t="inlineStr">
        <is>
          <t>Kuwait City</t>
        </is>
      </c>
      <c r="G344" s="56" t="inlineStr">
        <is>
          <t>TikTok Ads</t>
        </is>
      </c>
      <c r="H344" s="56" t="inlineStr">
        <is>
          <t>Summer Sale</t>
        </is>
      </c>
      <c r="I344" s="56" t="inlineStr">
        <is>
          <t>P006</t>
        </is>
      </c>
      <c r="J344" s="56" t="inlineStr">
        <is>
          <t>Posture Corrector</t>
        </is>
      </c>
      <c r="K344" s="56" t="inlineStr">
        <is>
          <t>Fitness</t>
        </is>
      </c>
      <c r="L344" s="56" t="inlineStr">
        <is>
          <t>Hangzhou Health Gear</t>
        </is>
      </c>
      <c r="M344" s="80" t="n">
        <v>37.29</v>
      </c>
      <c r="N344" s="80" t="n">
        <v>8.73</v>
      </c>
      <c r="O344" s="80" t="n">
        <v>4.22</v>
      </c>
      <c r="P344" s="80" t="n">
        <v>0.03</v>
      </c>
      <c r="Q344" s="80" t="n">
        <v>15</v>
      </c>
      <c r="R344" s="80" t="n">
        <v>2</v>
      </c>
      <c r="S344" s="80">
        <f>IF(AC344="Cancelled",0,M344*R344)</f>
        <v/>
      </c>
      <c r="T344" s="80">
        <f>IF(AC344="Cancelled",0,N344*R344)</f>
        <v/>
      </c>
      <c r="U344" s="80">
        <f>IF(AC344="Cancelled",0,O344*R344)</f>
        <v/>
      </c>
      <c r="V344" s="80">
        <f>IF(AC344="Cancelled",0,ROUND(P344*S344,2))</f>
        <v/>
      </c>
      <c r="W344" s="80" t="inlineStr">
        <is>
          <t>No</t>
        </is>
      </c>
      <c r="X344" s="80" t="n">
        <v>0</v>
      </c>
      <c r="Y344" s="80">
        <f>IF(AC344="Cancelled",0,T344+U344+V344+Q344+X344)</f>
        <v/>
      </c>
      <c r="Z344" s="80">
        <f>IF(AC344="Cancelled",-Q344,S344-Y344)</f>
        <v/>
      </c>
      <c r="AA344" s="81">
        <f>IF(OR(AC344="Cancelled",S344=0),0,Z344/S344)</f>
        <v/>
      </c>
      <c r="AB344" s="82">
        <f>IFERROR(S344/Q344,0)</f>
        <v/>
      </c>
      <c r="AC344" s="56" t="inlineStr">
        <is>
          <t>Delivered</t>
        </is>
      </c>
    </row>
    <row r="345" ht="14.25" customHeight="1" s="57">
      <c r="A345" s="56" t="inlineStr">
        <is>
          <t>ORD-00447</t>
        </is>
      </c>
      <c r="B345" s="79" t="n">
        <v>45987</v>
      </c>
      <c r="C345" s="56" t="n">
        <v>2025</v>
      </c>
      <c r="D345" s="56" t="n">
        <v>11</v>
      </c>
      <c r="E345" s="56" t="inlineStr">
        <is>
          <t>Saudi Arabia</t>
        </is>
      </c>
      <c r="F345" s="56" t="inlineStr">
        <is>
          <t>Riyadh</t>
        </is>
      </c>
      <c r="G345" s="56" t="inlineStr">
        <is>
          <t>Google Ads</t>
        </is>
      </c>
      <c r="H345" s="56" t="inlineStr">
        <is>
          <t>Launch Test</t>
        </is>
      </c>
      <c r="I345" s="56" t="inlineStr">
        <is>
          <t>P009</t>
        </is>
      </c>
      <c r="J345" s="56" t="inlineStr">
        <is>
          <t>Car Vacuum Cleaner</t>
        </is>
      </c>
      <c r="K345" s="56" t="inlineStr">
        <is>
          <t>Automotive</t>
        </is>
      </c>
      <c r="L345" s="56" t="inlineStr">
        <is>
          <t>Dongguan Auto Tools</t>
        </is>
      </c>
      <c r="M345" s="80" t="n">
        <v>43.42</v>
      </c>
      <c r="N345" s="80" t="n">
        <v>13.8</v>
      </c>
      <c r="O345" s="80" t="n">
        <v>6.43</v>
      </c>
      <c r="P345" s="80" t="n">
        <v>0.03</v>
      </c>
      <c r="Q345" s="80" t="n">
        <v>4.89</v>
      </c>
      <c r="R345" s="80" t="n">
        <v>1</v>
      </c>
      <c r="S345" s="80">
        <f>IF(AC345="Cancelled",0,M345*R345)</f>
        <v/>
      </c>
      <c r="T345" s="80">
        <f>IF(AC345="Cancelled",0,N345*R345)</f>
        <v/>
      </c>
      <c r="U345" s="80">
        <f>IF(AC345="Cancelled",0,O345*R345)</f>
        <v/>
      </c>
      <c r="V345" s="80">
        <f>IF(AC345="Cancelled",0,ROUND(P345*S345,2))</f>
        <v/>
      </c>
      <c r="W345" s="80" t="inlineStr">
        <is>
          <t>No</t>
        </is>
      </c>
      <c r="X345" s="80" t="n">
        <v>0</v>
      </c>
      <c r="Y345" s="80">
        <f>IF(AC345="Cancelled",0,T345+U345+V345+Q345+X345)</f>
        <v/>
      </c>
      <c r="Z345" s="80">
        <f>IF(AC345="Cancelled",-Q345,S345-Y345)</f>
        <v/>
      </c>
      <c r="AA345" s="81">
        <f>IF(OR(AC345="Cancelled",S345=0),0,Z345/S345)</f>
        <v/>
      </c>
      <c r="AB345" s="82">
        <f>IFERROR(S345/Q345,0)</f>
        <v/>
      </c>
      <c r="AC345" s="56" t="inlineStr">
        <is>
          <t>Delivered</t>
        </is>
      </c>
    </row>
    <row r="346" ht="14.25" customHeight="1" s="57">
      <c r="A346" s="56" t="inlineStr">
        <is>
          <t>ORD-00339</t>
        </is>
      </c>
      <c r="B346" s="79" t="n">
        <v>45989</v>
      </c>
      <c r="C346" s="56" t="n">
        <v>2025</v>
      </c>
      <c r="D346" s="56" t="n">
        <v>11</v>
      </c>
      <c r="E346" s="56" t="inlineStr">
        <is>
          <t>Oman</t>
        </is>
      </c>
      <c r="F346" s="56" t="inlineStr">
        <is>
          <t>Muscat</t>
        </is>
      </c>
      <c r="G346" s="56" t="inlineStr">
        <is>
          <t>TikTok Ads</t>
        </is>
      </c>
      <c r="H346" s="56" t="inlineStr">
        <is>
          <t>Bundle Promo</t>
        </is>
      </c>
      <c r="I346" s="56" t="inlineStr">
        <is>
          <t>P010</t>
        </is>
      </c>
      <c r="J346" s="56" t="inlineStr">
        <is>
          <t>Smart Water Bottle</t>
        </is>
      </c>
      <c r="K346" s="56" t="inlineStr">
        <is>
          <t>Lifestyle</t>
        </is>
      </c>
      <c r="L346" s="56" t="inlineStr">
        <is>
          <t>Shenzhen Smart Home</t>
        </is>
      </c>
      <c r="M346" s="80" t="n">
        <v>34.43</v>
      </c>
      <c r="N346" s="80" t="n">
        <v>9.640000000000001</v>
      </c>
      <c r="O346" s="80" t="n">
        <v>4.38</v>
      </c>
      <c r="P346" s="80" t="n">
        <v>0.03</v>
      </c>
      <c r="Q346" s="80" t="n">
        <v>1.48</v>
      </c>
      <c r="R346" s="80" t="n">
        <v>1</v>
      </c>
      <c r="S346" s="80">
        <f>IF(AC346="Cancelled",0,M346*R346)</f>
        <v/>
      </c>
      <c r="T346" s="80">
        <f>IF(AC346="Cancelled",0,N346*R346)</f>
        <v/>
      </c>
      <c r="U346" s="80">
        <f>IF(AC346="Cancelled",0,O346*R346)</f>
        <v/>
      </c>
      <c r="V346" s="80">
        <f>IF(AC346="Cancelled",0,ROUND(P346*S346,2))</f>
        <v/>
      </c>
      <c r="W346" s="80" t="inlineStr">
        <is>
          <t>No</t>
        </is>
      </c>
      <c r="X346" s="80" t="n">
        <v>0</v>
      </c>
      <c r="Y346" s="80">
        <f>IF(AC346="Cancelled",0,T346+U346+V346+Q346+X346)</f>
        <v/>
      </c>
      <c r="Z346" s="80">
        <f>IF(AC346="Cancelled",-Q346,S346-Y346)</f>
        <v/>
      </c>
      <c r="AA346" s="81">
        <f>IF(OR(AC346="Cancelled",S346=0),0,Z346/S346)</f>
        <v/>
      </c>
      <c r="AB346" s="82">
        <f>IFERROR(S346/Q346,0)</f>
        <v/>
      </c>
      <c r="AC346" s="56" t="inlineStr">
        <is>
          <t>Cancelled</t>
        </is>
      </c>
    </row>
    <row r="347" ht="14.25" customHeight="1" s="57">
      <c r="A347" s="56" t="inlineStr">
        <is>
          <t>ORD-00287</t>
        </is>
      </c>
      <c r="B347" s="79" t="n">
        <v>45992</v>
      </c>
      <c r="C347" s="56" t="n">
        <v>2025</v>
      </c>
      <c r="D347" s="56" t="n">
        <v>12</v>
      </c>
      <c r="E347" s="56" t="inlineStr">
        <is>
          <t>Saudi Arabia</t>
        </is>
      </c>
      <c r="F347" s="56" t="inlineStr">
        <is>
          <t>Riyadh</t>
        </is>
      </c>
      <c r="G347" s="56" t="inlineStr">
        <is>
          <t>Organic Search</t>
        </is>
      </c>
      <c r="H347" s="56" t="inlineStr">
        <is>
          <t>Retargeting</t>
        </is>
      </c>
      <c r="I347" s="56" t="inlineStr">
        <is>
          <t>P002</t>
        </is>
      </c>
      <c r="J347" s="56" t="inlineStr">
        <is>
          <t>Phone Case</t>
        </is>
      </c>
      <c r="K347" s="56" t="inlineStr">
        <is>
          <t>Accessories</t>
        </is>
      </c>
      <c r="L347" s="56" t="inlineStr">
        <is>
          <t>Guangzhou Cases Ltd.</t>
        </is>
      </c>
      <c r="M347" s="80" t="n">
        <v>14.16</v>
      </c>
      <c r="N347" s="80" t="n">
        <v>1.91</v>
      </c>
      <c r="O347" s="80" t="n">
        <v>1.83</v>
      </c>
      <c r="P347" s="80" t="n">
        <v>0.03</v>
      </c>
      <c r="Q347" s="80" t="n">
        <v>0</v>
      </c>
      <c r="R347" s="80" t="n">
        <v>2</v>
      </c>
      <c r="S347" s="80">
        <f>IF(AC347="Cancelled",0,M347*R347)</f>
        <v/>
      </c>
      <c r="T347" s="80">
        <f>IF(AC347="Cancelled",0,N347*R347)</f>
        <v/>
      </c>
      <c r="U347" s="80">
        <f>IF(AC347="Cancelled",0,O347*R347)</f>
        <v/>
      </c>
      <c r="V347" s="80">
        <f>IF(AC347="Cancelled",0,ROUND(P347*S347,2))</f>
        <v/>
      </c>
      <c r="W347" s="80" t="inlineStr">
        <is>
          <t>No</t>
        </is>
      </c>
      <c r="X347" s="80" t="n">
        <v>0</v>
      </c>
      <c r="Y347" s="80">
        <f>IF(AC347="Cancelled",0,T347+U347+V347+Q347+X347)</f>
        <v/>
      </c>
      <c r="Z347" s="80">
        <f>IF(AC347="Cancelled",-Q347,S347-Y347)</f>
        <v/>
      </c>
      <c r="AA347" s="81">
        <f>IF(OR(AC347="Cancelled",S347=0),0,Z347/S347)</f>
        <v/>
      </c>
      <c r="AB347" s="82">
        <f>IFERROR(S347/Q347,0)</f>
        <v/>
      </c>
      <c r="AC347" s="56" t="inlineStr">
        <is>
          <t>Delivered</t>
        </is>
      </c>
    </row>
    <row r="348" ht="14.25" customHeight="1" s="57">
      <c r="A348" s="56" t="inlineStr">
        <is>
          <t>ORD-00316</t>
        </is>
      </c>
      <c r="B348" s="79" t="n">
        <v>45993</v>
      </c>
      <c r="C348" s="56" t="n">
        <v>2025</v>
      </c>
      <c r="D348" s="56" t="n">
        <v>12</v>
      </c>
      <c r="E348" s="56" t="inlineStr">
        <is>
          <t>Oman</t>
        </is>
      </c>
      <c r="F348" s="56" t="inlineStr">
        <is>
          <t>Muscat</t>
        </is>
      </c>
      <c r="G348" s="56" t="inlineStr">
        <is>
          <t>Meta Ads</t>
        </is>
      </c>
      <c r="H348" s="56" t="inlineStr">
        <is>
          <t>Retargeting</t>
        </is>
      </c>
      <c r="I348" s="56" t="inlineStr">
        <is>
          <t>P002</t>
        </is>
      </c>
      <c r="J348" s="56" t="inlineStr">
        <is>
          <t>Phone Case</t>
        </is>
      </c>
      <c r="K348" s="56" t="inlineStr">
        <is>
          <t>Accessories</t>
        </is>
      </c>
      <c r="L348" s="56" t="inlineStr">
        <is>
          <t>Guangzhou Cases Ltd.</t>
        </is>
      </c>
      <c r="M348" s="80" t="n">
        <v>14.29</v>
      </c>
      <c r="N348" s="80" t="n">
        <v>1.95</v>
      </c>
      <c r="O348" s="80" t="n">
        <v>2.27</v>
      </c>
      <c r="P348" s="80" t="n">
        <v>0.03</v>
      </c>
      <c r="Q348" s="80" t="n">
        <v>7.31</v>
      </c>
      <c r="R348" s="80" t="n">
        <v>2</v>
      </c>
      <c r="S348" s="80">
        <f>IF(AC348="Cancelled",0,M348*R348)</f>
        <v/>
      </c>
      <c r="T348" s="80">
        <f>IF(AC348="Cancelled",0,N348*R348)</f>
        <v/>
      </c>
      <c r="U348" s="80">
        <f>IF(AC348="Cancelled",0,O348*R348)</f>
        <v/>
      </c>
      <c r="V348" s="80">
        <f>IF(AC348="Cancelled",0,ROUND(P348*S348,2))</f>
        <v/>
      </c>
      <c r="W348" s="80" t="inlineStr">
        <is>
          <t>No</t>
        </is>
      </c>
      <c r="X348" s="80" t="n">
        <v>0</v>
      </c>
      <c r="Y348" s="80">
        <f>IF(AC348="Cancelled",0,T348+U348+V348+Q348+X348)</f>
        <v/>
      </c>
      <c r="Z348" s="80">
        <f>IF(AC348="Cancelled",-Q348,S348-Y348)</f>
        <v/>
      </c>
      <c r="AA348" s="81">
        <f>IF(OR(AC348="Cancelled",S348=0),0,Z348/S348)</f>
        <v/>
      </c>
      <c r="AB348" s="82">
        <f>IFERROR(S348/Q348,0)</f>
        <v/>
      </c>
      <c r="AC348" s="56" t="inlineStr">
        <is>
          <t>Delivered</t>
        </is>
      </c>
    </row>
    <row r="349" ht="14.25" customHeight="1" s="57">
      <c r="A349" s="56" t="inlineStr">
        <is>
          <t>ORD-00452</t>
        </is>
      </c>
      <c r="B349" s="79" t="n">
        <v>45993</v>
      </c>
      <c r="C349" s="56" t="n">
        <v>2025</v>
      </c>
      <c r="D349" s="56" t="n">
        <v>12</v>
      </c>
      <c r="E349" s="56" t="inlineStr">
        <is>
          <t>UAE</t>
        </is>
      </c>
      <c r="F349" s="56" t="inlineStr">
        <is>
          <t>Sharjah</t>
        </is>
      </c>
      <c r="G349" s="56" t="inlineStr">
        <is>
          <t>Influencer</t>
        </is>
      </c>
      <c r="H349" s="56" t="inlineStr">
        <is>
          <t>Launch Test</t>
        </is>
      </c>
      <c r="I349" s="56" t="inlineStr">
        <is>
          <t>P008</t>
        </is>
      </c>
      <c r="J349" s="56" t="inlineStr">
        <is>
          <t>Portable Blender</t>
        </is>
      </c>
      <c r="K349" s="56" t="inlineStr">
        <is>
          <t>Kitchen</t>
        </is>
      </c>
      <c r="L349" s="56" t="inlineStr">
        <is>
          <t>Foshan Appliances</t>
        </is>
      </c>
      <c r="M349" s="80" t="n">
        <v>51.71</v>
      </c>
      <c r="N349" s="80" t="n">
        <v>17.07</v>
      </c>
      <c r="O349" s="80" t="n">
        <v>6.1</v>
      </c>
      <c r="P349" s="80" t="n">
        <v>0.03</v>
      </c>
      <c r="Q349" s="80" t="n">
        <v>5.52</v>
      </c>
      <c r="R349" s="80" t="n">
        <v>2</v>
      </c>
      <c r="S349" s="80">
        <f>IF(AC349="Cancelled",0,M349*R349)</f>
        <v/>
      </c>
      <c r="T349" s="80">
        <f>IF(AC349="Cancelled",0,N349*R349)</f>
        <v/>
      </c>
      <c r="U349" s="80">
        <f>IF(AC349="Cancelled",0,O349*R349)</f>
        <v/>
      </c>
      <c r="V349" s="80">
        <f>IF(AC349="Cancelled",0,ROUND(P349*S349,2))</f>
        <v/>
      </c>
      <c r="W349" s="80" t="inlineStr">
        <is>
          <t>No</t>
        </is>
      </c>
      <c r="X349" s="80" t="n">
        <v>0</v>
      </c>
      <c r="Y349" s="80">
        <f>IF(AC349="Cancelled",0,T349+U349+V349+Q349+X349)</f>
        <v/>
      </c>
      <c r="Z349" s="80">
        <f>IF(AC349="Cancelled",-Q349,S349-Y349)</f>
        <v/>
      </c>
      <c r="AA349" s="81">
        <f>IF(OR(AC349="Cancelled",S349=0),0,Z349/S349)</f>
        <v/>
      </c>
      <c r="AB349" s="82">
        <f>IFERROR(S349/Q349,0)</f>
        <v/>
      </c>
      <c r="AC349" s="56" t="inlineStr">
        <is>
          <t>Delivered</t>
        </is>
      </c>
    </row>
    <row r="350" ht="14.25" customHeight="1" s="57">
      <c r="A350" s="56" t="inlineStr">
        <is>
          <t>ORD-00457</t>
        </is>
      </c>
      <c r="B350" s="79" t="n">
        <v>45993</v>
      </c>
      <c r="C350" s="56" t="n">
        <v>2025</v>
      </c>
      <c r="D350" s="56" t="n">
        <v>12</v>
      </c>
      <c r="E350" s="56" t="inlineStr">
        <is>
          <t>Kuwait</t>
        </is>
      </c>
      <c r="F350" s="56" t="inlineStr">
        <is>
          <t>Kuwait City</t>
        </is>
      </c>
      <c r="G350" s="56" t="inlineStr">
        <is>
          <t>Email</t>
        </is>
      </c>
      <c r="H350" s="56" t="inlineStr">
        <is>
          <t>New Creative A/B</t>
        </is>
      </c>
      <c r="I350" s="56" t="inlineStr">
        <is>
          <t>P008</t>
        </is>
      </c>
      <c r="J350" s="56" t="inlineStr">
        <is>
          <t>Portable Blender</t>
        </is>
      </c>
      <c r="K350" s="56" t="inlineStr">
        <is>
          <t>Kitchen</t>
        </is>
      </c>
      <c r="L350" s="56" t="inlineStr">
        <is>
          <t>Foshan Appliances</t>
        </is>
      </c>
      <c r="M350" s="80" t="n">
        <v>46.83</v>
      </c>
      <c r="N350" s="80" t="n">
        <v>15.27</v>
      </c>
      <c r="O350" s="80" t="n">
        <v>5.87</v>
      </c>
      <c r="P350" s="80" t="n">
        <v>0.03</v>
      </c>
      <c r="Q350" s="80" t="n">
        <v>11.98</v>
      </c>
      <c r="R350" s="80" t="n">
        <v>3</v>
      </c>
      <c r="S350" s="80">
        <f>IF(AC350="Cancelled",0,M350*R350)</f>
        <v/>
      </c>
      <c r="T350" s="80">
        <f>IF(AC350="Cancelled",0,N350*R350)</f>
        <v/>
      </c>
      <c r="U350" s="80">
        <f>IF(AC350="Cancelled",0,O350*R350)</f>
        <v/>
      </c>
      <c r="V350" s="80">
        <f>IF(AC350="Cancelled",0,ROUND(P350*S350,2))</f>
        <v/>
      </c>
      <c r="W350" s="80" t="inlineStr">
        <is>
          <t>No</t>
        </is>
      </c>
      <c r="X350" s="80" t="n">
        <v>0</v>
      </c>
      <c r="Y350" s="80">
        <f>IF(AC350="Cancelled",0,T350+U350+V350+Q350+X350)</f>
        <v/>
      </c>
      <c r="Z350" s="80">
        <f>IF(AC350="Cancelled",-Q350,S350-Y350)</f>
        <v/>
      </c>
      <c r="AA350" s="81">
        <f>IF(OR(AC350="Cancelled",S350=0),0,Z350/S350)</f>
        <v/>
      </c>
      <c r="AB350" s="82">
        <f>IFERROR(S350/Q350,0)</f>
        <v/>
      </c>
      <c r="AC350" s="56" t="inlineStr">
        <is>
          <t>Delivered</t>
        </is>
      </c>
    </row>
    <row r="351" ht="14.25" customHeight="1" s="57">
      <c r="A351" s="56" t="inlineStr">
        <is>
          <t>ORD-00327</t>
        </is>
      </c>
      <c r="B351" s="79" t="n">
        <v>45995</v>
      </c>
      <c r="C351" s="56" t="n">
        <v>2025</v>
      </c>
      <c r="D351" s="56" t="n">
        <v>12</v>
      </c>
      <c r="E351" s="56" t="inlineStr">
        <is>
          <t>Saudi Arabia</t>
        </is>
      </c>
      <c r="F351" s="56" t="inlineStr">
        <is>
          <t>Riyadh</t>
        </is>
      </c>
      <c r="G351" s="56" t="inlineStr">
        <is>
          <t>Meta Ads</t>
        </is>
      </c>
      <c r="H351" s="56" t="inlineStr">
        <is>
          <t>New Creative A/B</t>
        </is>
      </c>
      <c r="I351" s="56" t="inlineStr">
        <is>
          <t>P010</t>
        </is>
      </c>
      <c r="J351" s="56" t="inlineStr">
        <is>
          <t>Smart Water Bottle</t>
        </is>
      </c>
      <c r="K351" s="56" t="inlineStr">
        <is>
          <t>Lifestyle</t>
        </is>
      </c>
      <c r="L351" s="56" t="inlineStr">
        <is>
          <t>Shenzhen Smart Home</t>
        </is>
      </c>
      <c r="M351" s="80" t="n">
        <v>30.88</v>
      </c>
      <c r="N351" s="80" t="n">
        <v>9.779999999999999</v>
      </c>
      <c r="O351" s="80" t="n">
        <v>3.72</v>
      </c>
      <c r="P351" s="80" t="n">
        <v>0.03</v>
      </c>
      <c r="Q351" s="80" t="n">
        <v>10.36</v>
      </c>
      <c r="R351" s="80" t="n">
        <v>1</v>
      </c>
      <c r="S351" s="80">
        <f>IF(AC351="Cancelled",0,M351*R351)</f>
        <v/>
      </c>
      <c r="T351" s="80">
        <f>IF(AC351="Cancelled",0,N351*R351)</f>
        <v/>
      </c>
      <c r="U351" s="80">
        <f>IF(AC351="Cancelled",0,O351*R351)</f>
        <v/>
      </c>
      <c r="V351" s="80">
        <f>IF(AC351="Cancelled",0,ROUND(P351*S351,2))</f>
        <v/>
      </c>
      <c r="W351" s="80" t="inlineStr">
        <is>
          <t>No</t>
        </is>
      </c>
      <c r="X351" s="80" t="n">
        <v>0</v>
      </c>
      <c r="Y351" s="80">
        <f>IF(AC351="Cancelled",0,T351+U351+V351+Q351+X351)</f>
        <v/>
      </c>
      <c r="Z351" s="80">
        <f>IF(AC351="Cancelled",-Q351,S351-Y351)</f>
        <v/>
      </c>
      <c r="AA351" s="81">
        <f>IF(OR(AC351="Cancelled",S351=0),0,Z351/S351)</f>
        <v/>
      </c>
      <c r="AB351" s="82">
        <f>IFERROR(S351/Q351,0)</f>
        <v/>
      </c>
      <c r="AC351" s="56" t="inlineStr">
        <is>
          <t>Delivered</t>
        </is>
      </c>
    </row>
    <row r="352" ht="14.25" customHeight="1" s="57">
      <c r="A352" s="56" t="inlineStr">
        <is>
          <t>ORD-00348</t>
        </is>
      </c>
      <c r="B352" s="79" t="n">
        <v>45995</v>
      </c>
      <c r="C352" s="56" t="n">
        <v>2025</v>
      </c>
      <c r="D352" s="56" t="n">
        <v>12</v>
      </c>
      <c r="E352" s="56" t="inlineStr">
        <is>
          <t>UAE</t>
        </is>
      </c>
      <c r="F352" s="56" t="inlineStr">
        <is>
          <t>Sharjah</t>
        </is>
      </c>
      <c r="G352" s="56" t="inlineStr">
        <is>
          <t>Meta Ads</t>
        </is>
      </c>
      <c r="H352" s="56" t="inlineStr">
        <is>
          <t>Bundle Promo</t>
        </is>
      </c>
      <c r="I352" s="56" t="inlineStr">
        <is>
          <t>P009</t>
        </is>
      </c>
      <c r="J352" s="56" t="inlineStr">
        <is>
          <t>Car Vacuum Cleaner</t>
        </is>
      </c>
      <c r="K352" s="56" t="inlineStr">
        <is>
          <t>Automotive</t>
        </is>
      </c>
      <c r="L352" s="56" t="inlineStr">
        <is>
          <t>Dongguan Auto Tools</t>
        </is>
      </c>
      <c r="M352" s="80" t="n">
        <v>46.16</v>
      </c>
      <c r="N352" s="80" t="n">
        <v>13.94</v>
      </c>
      <c r="O352" s="80" t="n">
        <v>6.97</v>
      </c>
      <c r="P352" s="80" t="n">
        <v>0.03</v>
      </c>
      <c r="Q352" s="80" t="n">
        <v>3.14</v>
      </c>
      <c r="R352" s="80" t="n">
        <v>1</v>
      </c>
      <c r="S352" s="80">
        <f>IF(AC352="Cancelled",0,M352*R352)</f>
        <v/>
      </c>
      <c r="T352" s="80">
        <f>IF(AC352="Cancelled",0,N352*R352)</f>
        <v/>
      </c>
      <c r="U352" s="80">
        <f>IF(AC352="Cancelled",0,O352*R352)</f>
        <v/>
      </c>
      <c r="V352" s="80">
        <f>IF(AC352="Cancelled",0,ROUND(P352*S352,2))</f>
        <v/>
      </c>
      <c r="W352" s="80" t="inlineStr">
        <is>
          <t>No</t>
        </is>
      </c>
      <c r="X352" s="80" t="n">
        <v>0</v>
      </c>
      <c r="Y352" s="80">
        <f>IF(AC352="Cancelled",0,T352+U352+V352+Q352+X352)</f>
        <v/>
      </c>
      <c r="Z352" s="80">
        <f>IF(AC352="Cancelled",-Q352,S352-Y352)</f>
        <v/>
      </c>
      <c r="AA352" s="81">
        <f>IF(OR(AC352="Cancelled",S352=0),0,Z352/S352)</f>
        <v/>
      </c>
      <c r="AB352" s="82">
        <f>IFERROR(S352/Q352,0)</f>
        <v/>
      </c>
      <c r="AC352" s="56" t="inlineStr">
        <is>
          <t>Delivered</t>
        </is>
      </c>
    </row>
    <row r="353" ht="14.25" customHeight="1" s="57">
      <c r="A353" s="56" t="inlineStr">
        <is>
          <t>ORD-00099</t>
        </is>
      </c>
      <c r="B353" s="79" t="n">
        <v>45996</v>
      </c>
      <c r="C353" s="56" t="n">
        <v>2025</v>
      </c>
      <c r="D353" s="56" t="n">
        <v>12</v>
      </c>
      <c r="E353" s="56" t="inlineStr">
        <is>
          <t>UAE</t>
        </is>
      </c>
      <c r="F353" s="56" t="inlineStr">
        <is>
          <t>Abu Dhabi</t>
        </is>
      </c>
      <c r="G353" s="56" t="inlineStr">
        <is>
          <t>TikTok Ads</t>
        </is>
      </c>
      <c r="H353" s="56" t="inlineStr">
        <is>
          <t>Launch Test</t>
        </is>
      </c>
      <c r="I353" s="56" t="inlineStr">
        <is>
          <t>P001</t>
        </is>
      </c>
      <c r="J353" s="56" t="inlineStr">
        <is>
          <t>Wireless Earbuds</t>
        </is>
      </c>
      <c r="K353" s="56" t="inlineStr">
        <is>
          <t>Electronics</t>
        </is>
      </c>
      <c r="L353" s="56" t="inlineStr">
        <is>
          <t>Shenzhen Audio Co.</t>
        </is>
      </c>
      <c r="M353" s="80" t="n">
        <v>36.59</v>
      </c>
      <c r="N353" s="80" t="n">
        <v>8.82</v>
      </c>
      <c r="O353" s="80" t="n">
        <v>4.42</v>
      </c>
      <c r="P353" s="80" t="n">
        <v>0.03</v>
      </c>
      <c r="Q353" s="80" t="n">
        <v>10.45</v>
      </c>
      <c r="R353" s="80" t="n">
        <v>3</v>
      </c>
      <c r="S353" s="80">
        <f>IF(AC353="Cancelled",0,M353*R353)</f>
        <v/>
      </c>
      <c r="T353" s="80">
        <f>IF(AC353="Cancelled",0,N353*R353)</f>
        <v/>
      </c>
      <c r="U353" s="80">
        <f>IF(AC353="Cancelled",0,O353*R353)</f>
        <v/>
      </c>
      <c r="V353" s="80">
        <f>IF(AC353="Cancelled",0,ROUND(P353*S353,2))</f>
        <v/>
      </c>
      <c r="W353" s="80" t="inlineStr">
        <is>
          <t>No</t>
        </is>
      </c>
      <c r="X353" s="80" t="n">
        <v>0</v>
      </c>
      <c r="Y353" s="80">
        <f>IF(AC353="Cancelled",0,T353+U353+V353+Q353+X353)</f>
        <v/>
      </c>
      <c r="Z353" s="80">
        <f>IF(AC353="Cancelled",-Q353,S353-Y353)</f>
        <v/>
      </c>
      <c r="AA353" s="81">
        <f>IF(OR(AC353="Cancelled",S353=0),0,Z353/S353)</f>
        <v/>
      </c>
      <c r="AB353" s="82">
        <f>IFERROR(S353/Q353,0)</f>
        <v/>
      </c>
      <c r="AC353" s="56" t="inlineStr">
        <is>
          <t>Delivered</t>
        </is>
      </c>
    </row>
    <row r="354" ht="14.25" customHeight="1" s="57">
      <c r="A354" s="56" t="inlineStr">
        <is>
          <t>ORD-00264</t>
        </is>
      </c>
      <c r="B354" s="79" t="n">
        <v>45996</v>
      </c>
      <c r="C354" s="56" t="n">
        <v>2025</v>
      </c>
      <c r="D354" s="56" t="n">
        <v>12</v>
      </c>
      <c r="E354" s="56" t="inlineStr">
        <is>
          <t>UAE</t>
        </is>
      </c>
      <c r="F354" s="56" t="inlineStr">
        <is>
          <t>Abu Dhabi</t>
        </is>
      </c>
      <c r="G354" s="56" t="inlineStr">
        <is>
          <t>Organic Search</t>
        </is>
      </c>
      <c r="H354" s="56" t="inlineStr">
        <is>
          <t>Launch Test</t>
        </is>
      </c>
      <c r="I354" s="56" t="inlineStr">
        <is>
          <t>P010</t>
        </is>
      </c>
      <c r="J354" s="56" t="inlineStr">
        <is>
          <t>Smart Water Bottle</t>
        </is>
      </c>
      <c r="K354" s="56" t="inlineStr">
        <is>
          <t>Lifestyle</t>
        </is>
      </c>
      <c r="L354" s="56" t="inlineStr">
        <is>
          <t>Shenzhen Smart Home</t>
        </is>
      </c>
      <c r="M354" s="80" t="n">
        <v>34.22</v>
      </c>
      <c r="N354" s="80" t="n">
        <v>9.57</v>
      </c>
      <c r="O354" s="80" t="n">
        <v>3.77</v>
      </c>
      <c r="P354" s="80" t="n">
        <v>0.03</v>
      </c>
      <c r="Q354" s="80" t="n">
        <v>0</v>
      </c>
      <c r="R354" s="80" t="n">
        <v>2</v>
      </c>
      <c r="S354" s="80">
        <f>IF(AC354="Cancelled",0,M354*R354)</f>
        <v/>
      </c>
      <c r="T354" s="80">
        <f>IF(AC354="Cancelled",0,N354*R354)</f>
        <v/>
      </c>
      <c r="U354" s="80">
        <f>IF(AC354="Cancelled",0,O354*R354)</f>
        <v/>
      </c>
      <c r="V354" s="80">
        <f>IF(AC354="Cancelled",0,ROUND(P354*S354,2))</f>
        <v/>
      </c>
      <c r="W354" s="80" t="inlineStr">
        <is>
          <t>No</t>
        </is>
      </c>
      <c r="X354" s="80" t="n">
        <v>0</v>
      </c>
      <c r="Y354" s="80">
        <f>IF(AC354="Cancelled",0,T354+U354+V354+Q354+X354)</f>
        <v/>
      </c>
      <c r="Z354" s="80">
        <f>IF(AC354="Cancelled",-Q354,S354-Y354)</f>
        <v/>
      </c>
      <c r="AA354" s="81">
        <f>IF(OR(AC354="Cancelled",S354=0),0,Z354/S354)</f>
        <v/>
      </c>
      <c r="AB354" s="82">
        <f>IFERROR(S354/Q354,0)</f>
        <v/>
      </c>
      <c r="AC354" s="56" t="inlineStr">
        <is>
          <t>Delivered</t>
        </is>
      </c>
    </row>
    <row r="355" ht="14.25" customHeight="1" s="57">
      <c r="A355" s="56" t="inlineStr">
        <is>
          <t>ORD-00182</t>
        </is>
      </c>
      <c r="B355" s="79" t="n">
        <v>46001</v>
      </c>
      <c r="C355" s="56" t="n">
        <v>2025</v>
      </c>
      <c r="D355" s="56" t="n">
        <v>12</v>
      </c>
      <c r="E355" s="56" t="inlineStr">
        <is>
          <t>UAE</t>
        </is>
      </c>
      <c r="F355" s="56" t="inlineStr">
        <is>
          <t>Sharjah</t>
        </is>
      </c>
      <c r="G355" s="56" t="inlineStr">
        <is>
          <t>TikTok Ads</t>
        </is>
      </c>
      <c r="H355" s="56" t="inlineStr">
        <is>
          <t>Bundle Promo</t>
        </is>
      </c>
      <c r="I355" s="56" t="inlineStr">
        <is>
          <t>P004</t>
        </is>
      </c>
      <c r="J355" s="56" t="inlineStr">
        <is>
          <t>Beauty Tool</t>
        </is>
      </c>
      <c r="K355" s="56" t="inlineStr">
        <is>
          <t>Beauty</t>
        </is>
      </c>
      <c r="L355" s="56" t="inlineStr">
        <is>
          <t>Ningbo Beauty Supply</t>
        </is>
      </c>
      <c r="M355" s="80" t="n">
        <v>33.19</v>
      </c>
      <c r="N355" s="80" t="n">
        <v>7.18</v>
      </c>
      <c r="O355" s="80" t="n">
        <v>4.57</v>
      </c>
      <c r="P355" s="80" t="n">
        <v>0.03</v>
      </c>
      <c r="Q355" s="80" t="n">
        <v>8.720000000000001</v>
      </c>
      <c r="R355" s="80" t="n">
        <v>1</v>
      </c>
      <c r="S355" s="80">
        <f>IF(AC355="Cancelled",0,M355*R355)</f>
        <v/>
      </c>
      <c r="T355" s="80">
        <f>IF(AC355="Cancelled",0,N355*R355)</f>
        <v/>
      </c>
      <c r="U355" s="80">
        <f>IF(AC355="Cancelled",0,O355*R355)</f>
        <v/>
      </c>
      <c r="V355" s="80">
        <f>IF(AC355="Cancelled",0,ROUND(P355*S355,2))</f>
        <v/>
      </c>
      <c r="W355" s="80" t="inlineStr">
        <is>
          <t>No</t>
        </is>
      </c>
      <c r="X355" s="80" t="n">
        <v>0</v>
      </c>
      <c r="Y355" s="80">
        <f>IF(AC355="Cancelled",0,T355+U355+V355+Q355+X355)</f>
        <v/>
      </c>
      <c r="Z355" s="80">
        <f>IF(AC355="Cancelled",-Q355,S355-Y355)</f>
        <v/>
      </c>
      <c r="AA355" s="81">
        <f>IF(OR(AC355="Cancelled",S355=0),0,Z355/S355)</f>
        <v/>
      </c>
      <c r="AB355" s="82">
        <f>IFERROR(S355/Q355,0)</f>
        <v/>
      </c>
      <c r="AC355" s="56" t="inlineStr">
        <is>
          <t>Delivered</t>
        </is>
      </c>
    </row>
    <row r="356" ht="14.25" customHeight="1" s="57">
      <c r="A356" s="56" t="inlineStr">
        <is>
          <t>ORD-00059</t>
        </is>
      </c>
      <c r="B356" s="79" t="n">
        <v>46005</v>
      </c>
      <c r="C356" s="56" t="n">
        <v>2025</v>
      </c>
      <c r="D356" s="56" t="n">
        <v>12</v>
      </c>
      <c r="E356" s="56" t="inlineStr">
        <is>
          <t>Qatar</t>
        </is>
      </c>
      <c r="F356" s="56" t="inlineStr">
        <is>
          <t>Doha</t>
        </is>
      </c>
      <c r="G356" s="56" t="inlineStr">
        <is>
          <t>TikTok Ads</t>
        </is>
      </c>
      <c r="H356" s="56" t="inlineStr">
        <is>
          <t>Retargeting</t>
        </is>
      </c>
      <c r="I356" s="56" t="inlineStr">
        <is>
          <t>P008</t>
        </is>
      </c>
      <c r="J356" s="56" t="inlineStr">
        <is>
          <t>Portable Blender</t>
        </is>
      </c>
      <c r="K356" s="56" t="inlineStr">
        <is>
          <t>Kitchen</t>
        </is>
      </c>
      <c r="L356" s="56" t="inlineStr">
        <is>
          <t>Foshan Appliances</t>
        </is>
      </c>
      <c r="M356" s="80" t="n">
        <v>48.91</v>
      </c>
      <c r="N356" s="80" t="n">
        <v>15.24</v>
      </c>
      <c r="O356" s="80" t="n">
        <v>5.78</v>
      </c>
      <c r="P356" s="80" t="n">
        <v>0.03</v>
      </c>
      <c r="Q356" s="80" t="n">
        <v>4.68</v>
      </c>
      <c r="R356" s="80" t="n">
        <v>2</v>
      </c>
      <c r="S356" s="80">
        <f>IF(AC356="Cancelled",0,M356*R356)</f>
        <v/>
      </c>
      <c r="T356" s="80">
        <f>IF(AC356="Cancelled",0,N356*R356)</f>
        <v/>
      </c>
      <c r="U356" s="80">
        <f>IF(AC356="Cancelled",0,O356*R356)</f>
        <v/>
      </c>
      <c r="V356" s="80">
        <f>IF(AC356="Cancelled",0,ROUND(P356*S356,2))</f>
        <v/>
      </c>
      <c r="W356" s="80" t="inlineStr">
        <is>
          <t>No</t>
        </is>
      </c>
      <c r="X356" s="80" t="n">
        <v>0</v>
      </c>
      <c r="Y356" s="80">
        <f>IF(AC356="Cancelled",0,T356+U356+V356+Q356+X356)</f>
        <v/>
      </c>
      <c r="Z356" s="80">
        <f>IF(AC356="Cancelled",-Q356,S356-Y356)</f>
        <v/>
      </c>
      <c r="AA356" s="81">
        <f>IF(OR(AC356="Cancelled",S356=0),0,Z356/S356)</f>
        <v/>
      </c>
      <c r="AB356" s="82">
        <f>IFERROR(S356/Q356,0)</f>
        <v/>
      </c>
      <c r="AC356" s="56" t="inlineStr">
        <is>
          <t>Delivered</t>
        </is>
      </c>
    </row>
    <row r="357" ht="14.25" customHeight="1" s="57">
      <c r="A357" s="56" t="inlineStr">
        <is>
          <t>ORD-00104</t>
        </is>
      </c>
      <c r="B357" s="79" t="n">
        <v>46006</v>
      </c>
      <c r="C357" s="56" t="n">
        <v>2025</v>
      </c>
      <c r="D357" s="56" t="n">
        <v>12</v>
      </c>
      <c r="E357" s="56" t="inlineStr">
        <is>
          <t>Saudi Arabia</t>
        </is>
      </c>
      <c r="F357" s="56" t="inlineStr">
        <is>
          <t>Riyadh</t>
        </is>
      </c>
      <c r="G357" s="56" t="inlineStr">
        <is>
          <t>TikTok Ads</t>
        </is>
      </c>
      <c r="H357" s="56" t="inlineStr">
        <is>
          <t>Launch Test</t>
        </is>
      </c>
      <c r="I357" s="56" t="inlineStr">
        <is>
          <t>P002</t>
        </is>
      </c>
      <c r="J357" s="56" t="inlineStr">
        <is>
          <t>Phone Case</t>
        </is>
      </c>
      <c r="K357" s="56" t="inlineStr">
        <is>
          <t>Accessories</t>
        </is>
      </c>
      <c r="L357" s="56" t="inlineStr">
        <is>
          <t>Guangzhou Cases Ltd.</t>
        </is>
      </c>
      <c r="M357" s="80" t="n">
        <v>16.16</v>
      </c>
      <c r="N357" s="80" t="n">
        <v>1.92</v>
      </c>
      <c r="O357" s="80" t="n">
        <v>2.01</v>
      </c>
      <c r="P357" s="80" t="n">
        <v>0.03</v>
      </c>
      <c r="Q357" s="80" t="n">
        <v>7.23</v>
      </c>
      <c r="R357" s="80" t="n">
        <v>1</v>
      </c>
      <c r="S357" s="80">
        <f>IF(AC357="Cancelled",0,M357*R357)</f>
        <v/>
      </c>
      <c r="T357" s="80">
        <f>IF(AC357="Cancelled",0,N357*R357)</f>
        <v/>
      </c>
      <c r="U357" s="80">
        <f>IF(AC357="Cancelled",0,O357*R357)</f>
        <v/>
      </c>
      <c r="V357" s="80">
        <f>IF(AC357="Cancelled",0,ROUND(P357*S357,2))</f>
        <v/>
      </c>
      <c r="W357" s="80" t="inlineStr">
        <is>
          <t>No</t>
        </is>
      </c>
      <c r="X357" s="80" t="n">
        <v>0</v>
      </c>
      <c r="Y357" s="80">
        <f>IF(AC357="Cancelled",0,T357+U357+V357+Q357+X357)</f>
        <v/>
      </c>
      <c r="Z357" s="80">
        <f>IF(AC357="Cancelled",-Q357,S357-Y357)</f>
        <v/>
      </c>
      <c r="AA357" s="81">
        <f>IF(OR(AC357="Cancelled",S357=0),0,Z357/S357)</f>
        <v/>
      </c>
      <c r="AB357" s="82">
        <f>IFERROR(S357/Q357,0)</f>
        <v/>
      </c>
      <c r="AC357" s="56" t="inlineStr">
        <is>
          <t>Delivered</t>
        </is>
      </c>
    </row>
    <row r="358" ht="14.25" customHeight="1" s="57">
      <c r="A358" s="56" t="inlineStr">
        <is>
          <t>ORD-00455</t>
        </is>
      </c>
      <c r="B358" s="79" t="n">
        <v>46007</v>
      </c>
      <c r="C358" s="56" t="n">
        <v>2025</v>
      </c>
      <c r="D358" s="56" t="n">
        <v>12</v>
      </c>
      <c r="E358" s="56" t="inlineStr">
        <is>
          <t>UAE</t>
        </is>
      </c>
      <c r="F358" s="56" t="inlineStr">
        <is>
          <t>Sharjah</t>
        </is>
      </c>
      <c r="G358" s="56" t="inlineStr">
        <is>
          <t>Meta Ads</t>
        </is>
      </c>
      <c r="H358" s="56" t="inlineStr">
        <is>
          <t>New Creative A/B</t>
        </is>
      </c>
      <c r="I358" s="56" t="inlineStr">
        <is>
          <t>P005</t>
        </is>
      </c>
      <c r="J358" s="56" t="inlineStr">
        <is>
          <t>Mini Printer</t>
        </is>
      </c>
      <c r="K358" s="56" t="inlineStr">
        <is>
          <t>Electronics</t>
        </is>
      </c>
      <c r="L358" s="56" t="inlineStr">
        <is>
          <t>Shenzhen Print Tech</t>
        </is>
      </c>
      <c r="M358" s="80" t="n">
        <v>61.04</v>
      </c>
      <c r="N358" s="80" t="n">
        <v>22.85</v>
      </c>
      <c r="O358" s="80" t="n">
        <v>6.98</v>
      </c>
      <c r="P358" s="80" t="n">
        <v>0.03</v>
      </c>
      <c r="Q358" s="80" t="n">
        <v>8.9</v>
      </c>
      <c r="R358" s="80" t="n">
        <v>3</v>
      </c>
      <c r="S358" s="80">
        <f>IF(AC358="Cancelled",0,M358*R358)</f>
        <v/>
      </c>
      <c r="T358" s="80">
        <f>IF(AC358="Cancelled",0,N358*R358)</f>
        <v/>
      </c>
      <c r="U358" s="80">
        <f>IF(AC358="Cancelled",0,O358*R358)</f>
        <v/>
      </c>
      <c r="V358" s="80">
        <f>IF(AC358="Cancelled",0,ROUND(P358*S358,2))</f>
        <v/>
      </c>
      <c r="W358" s="80" t="inlineStr">
        <is>
          <t>No</t>
        </is>
      </c>
      <c r="X358" s="80" t="n">
        <v>0</v>
      </c>
      <c r="Y358" s="80">
        <f>IF(AC358="Cancelled",0,T358+U358+V358+Q358+X358)</f>
        <v/>
      </c>
      <c r="Z358" s="80">
        <f>IF(AC358="Cancelled",-Q358,S358-Y358)</f>
        <v/>
      </c>
      <c r="AA358" s="81">
        <f>IF(OR(AC358="Cancelled",S358=0),0,Z358/S358)</f>
        <v/>
      </c>
      <c r="AB358" s="82">
        <f>IFERROR(S358/Q358,0)</f>
        <v/>
      </c>
      <c r="AC358" s="56" t="inlineStr">
        <is>
          <t>Delivered</t>
        </is>
      </c>
    </row>
    <row r="359" ht="14.25" customHeight="1" s="57">
      <c r="A359" s="56" t="inlineStr">
        <is>
          <t>ORD-00391</t>
        </is>
      </c>
      <c r="B359" s="79" t="n">
        <v>46008</v>
      </c>
      <c r="C359" s="56" t="n">
        <v>2025</v>
      </c>
      <c r="D359" s="56" t="n">
        <v>12</v>
      </c>
      <c r="E359" s="56" t="inlineStr">
        <is>
          <t>UAE</t>
        </is>
      </c>
      <c r="F359" s="56" t="inlineStr">
        <is>
          <t>Dubai</t>
        </is>
      </c>
      <c r="G359" s="56" t="inlineStr">
        <is>
          <t>TikTok Ads</t>
        </is>
      </c>
      <c r="H359" s="56" t="inlineStr">
        <is>
          <t>New Creative A/B</t>
        </is>
      </c>
      <c r="I359" s="56" t="inlineStr">
        <is>
          <t>P007</t>
        </is>
      </c>
      <c r="J359" s="56" t="inlineStr">
        <is>
          <t>Pet Grooming Glove</t>
        </is>
      </c>
      <c r="K359" s="56" t="inlineStr">
        <is>
          <t>Pets</t>
        </is>
      </c>
      <c r="L359" s="56" t="inlineStr">
        <is>
          <t>Yiwu Pet Products</t>
        </is>
      </c>
      <c r="M359" s="80" t="n">
        <v>19.12</v>
      </c>
      <c r="N359" s="80" t="n">
        <v>3.41</v>
      </c>
      <c r="O359" s="80" t="n">
        <v>2.28</v>
      </c>
      <c r="P359" s="80" t="n">
        <v>0.03</v>
      </c>
      <c r="Q359" s="80" t="n">
        <v>9.56</v>
      </c>
      <c r="R359" s="80" t="n">
        <v>2</v>
      </c>
      <c r="S359" s="80">
        <f>IF(AC359="Cancelled",0,M359*R359)</f>
        <v/>
      </c>
      <c r="T359" s="80">
        <f>IF(AC359="Cancelled",0,N359*R359)</f>
        <v/>
      </c>
      <c r="U359" s="80">
        <f>IF(AC359="Cancelled",0,O359*R359)</f>
        <v/>
      </c>
      <c r="V359" s="80">
        <f>IF(AC359="Cancelled",0,ROUND(P359*S359,2))</f>
        <v/>
      </c>
      <c r="W359" s="80" t="inlineStr">
        <is>
          <t>No</t>
        </is>
      </c>
      <c r="X359" s="80" t="n">
        <v>0</v>
      </c>
      <c r="Y359" s="80">
        <f>IF(AC359="Cancelled",0,T359+U359+V359+Q359+X359)</f>
        <v/>
      </c>
      <c r="Z359" s="80">
        <f>IF(AC359="Cancelled",-Q359,S359-Y359)</f>
        <v/>
      </c>
      <c r="AA359" s="81">
        <f>IF(OR(AC359="Cancelled",S359=0),0,Z359/S359)</f>
        <v/>
      </c>
      <c r="AB359" s="82">
        <f>IFERROR(S359/Q359,0)</f>
        <v/>
      </c>
      <c r="AC359" s="56" t="inlineStr">
        <is>
          <t>Delivered</t>
        </is>
      </c>
    </row>
    <row r="360" ht="14.25" customHeight="1" s="57">
      <c r="A360" s="56" t="inlineStr">
        <is>
          <t>ORD-00021</t>
        </is>
      </c>
      <c r="B360" s="79" t="n">
        <v>46011</v>
      </c>
      <c r="C360" s="56" t="n">
        <v>2025</v>
      </c>
      <c r="D360" s="56" t="n">
        <v>12</v>
      </c>
      <c r="E360" s="56" t="inlineStr">
        <is>
          <t>Qatar</t>
        </is>
      </c>
      <c r="F360" s="56" t="inlineStr">
        <is>
          <t>Doha</t>
        </is>
      </c>
      <c r="G360" s="56" t="inlineStr">
        <is>
          <t>Organic Search</t>
        </is>
      </c>
      <c r="H360" s="56" t="inlineStr">
        <is>
          <t>New Creative A/B</t>
        </is>
      </c>
      <c r="I360" s="56" t="inlineStr">
        <is>
          <t>P009</t>
        </is>
      </c>
      <c r="J360" s="56" t="inlineStr">
        <is>
          <t>Car Vacuum Cleaner</t>
        </is>
      </c>
      <c r="K360" s="56" t="inlineStr">
        <is>
          <t>Automotive</t>
        </is>
      </c>
      <c r="L360" s="56" t="inlineStr">
        <is>
          <t>Dongguan Auto Tools</t>
        </is>
      </c>
      <c r="M360" s="80" t="n">
        <v>48.35</v>
      </c>
      <c r="N360" s="80" t="n">
        <v>15.06</v>
      </c>
      <c r="O360" s="80" t="n">
        <v>7.46</v>
      </c>
      <c r="P360" s="80" t="n">
        <v>0.03</v>
      </c>
      <c r="Q360" s="80" t="n">
        <v>0</v>
      </c>
      <c r="R360" s="80" t="n">
        <v>3</v>
      </c>
      <c r="S360" s="80">
        <f>IF(AC360="Cancelled",0,M360*R360)</f>
        <v/>
      </c>
      <c r="T360" s="80">
        <f>IF(AC360="Cancelled",0,N360*R360)</f>
        <v/>
      </c>
      <c r="U360" s="80">
        <f>IF(AC360="Cancelled",0,O360*R360)</f>
        <v/>
      </c>
      <c r="V360" s="80">
        <f>IF(AC360="Cancelled",0,ROUND(P360*S360,2))</f>
        <v/>
      </c>
      <c r="W360" s="80" t="inlineStr">
        <is>
          <t>No</t>
        </is>
      </c>
      <c r="X360" s="80" t="n">
        <v>0</v>
      </c>
      <c r="Y360" s="80">
        <f>IF(AC360="Cancelled",0,T360+U360+V360+Q360+X360)</f>
        <v/>
      </c>
      <c r="Z360" s="80">
        <f>IF(AC360="Cancelled",-Q360,S360-Y360)</f>
        <v/>
      </c>
      <c r="AA360" s="81">
        <f>IF(OR(AC360="Cancelled",S360=0),0,Z360/S360)</f>
        <v/>
      </c>
      <c r="AB360" s="82">
        <f>IFERROR(S360/Q360,0)</f>
        <v/>
      </c>
      <c r="AC360" s="56" t="inlineStr">
        <is>
          <t>Delivered</t>
        </is>
      </c>
    </row>
    <row r="361" ht="14.25" customHeight="1" s="57">
      <c r="A361" s="56" t="inlineStr">
        <is>
          <t>ORD-00220</t>
        </is>
      </c>
      <c r="B361" s="79" t="n">
        <v>46011</v>
      </c>
      <c r="C361" s="56" t="n">
        <v>2025</v>
      </c>
      <c r="D361" s="56" t="n">
        <v>12</v>
      </c>
      <c r="E361" s="56" t="inlineStr">
        <is>
          <t>Qatar</t>
        </is>
      </c>
      <c r="F361" s="56" t="inlineStr">
        <is>
          <t>Doha</t>
        </is>
      </c>
      <c r="G361" s="56" t="inlineStr">
        <is>
          <t>Meta Ads</t>
        </is>
      </c>
      <c r="H361" s="56" t="inlineStr">
        <is>
          <t>Retargeting</t>
        </is>
      </c>
      <c r="I361" s="56" t="inlineStr">
        <is>
          <t>P009</t>
        </is>
      </c>
      <c r="J361" s="56" t="inlineStr">
        <is>
          <t>Car Vacuum Cleaner</t>
        </is>
      </c>
      <c r="K361" s="56" t="inlineStr">
        <is>
          <t>Automotive</t>
        </is>
      </c>
      <c r="L361" s="56" t="inlineStr">
        <is>
          <t>Dongguan Auto Tools</t>
        </is>
      </c>
      <c r="M361" s="80" t="n">
        <v>42.68</v>
      </c>
      <c r="N361" s="80" t="n">
        <v>13.9</v>
      </c>
      <c r="O361" s="80" t="n">
        <v>6.11</v>
      </c>
      <c r="P361" s="80" t="n">
        <v>0.03</v>
      </c>
      <c r="Q361" s="80" t="n">
        <v>18.77</v>
      </c>
      <c r="R361" s="80" t="n">
        <v>2</v>
      </c>
      <c r="S361" s="80">
        <f>IF(AC361="Cancelled",0,M361*R361)</f>
        <v/>
      </c>
      <c r="T361" s="80">
        <f>IF(AC361="Cancelled",0,N361*R361)</f>
        <v/>
      </c>
      <c r="U361" s="80">
        <f>IF(AC361="Cancelled",0,O361*R361)</f>
        <v/>
      </c>
      <c r="V361" s="80">
        <f>IF(AC361="Cancelled",0,ROUND(P361*S361,2))</f>
        <v/>
      </c>
      <c r="W361" s="80" t="inlineStr">
        <is>
          <t>No</t>
        </is>
      </c>
      <c r="X361" s="80" t="n">
        <v>0</v>
      </c>
      <c r="Y361" s="80">
        <f>IF(AC361="Cancelled",0,T361+U361+V361+Q361+X361)</f>
        <v/>
      </c>
      <c r="Z361" s="80">
        <f>IF(AC361="Cancelled",-Q361,S361-Y361)</f>
        <v/>
      </c>
      <c r="AA361" s="81">
        <f>IF(OR(AC361="Cancelled",S361=0),0,Z361/S361)</f>
        <v/>
      </c>
      <c r="AB361" s="82">
        <f>IFERROR(S361/Q361,0)</f>
        <v/>
      </c>
      <c r="AC361" s="56" t="inlineStr">
        <is>
          <t>Delivered</t>
        </is>
      </c>
    </row>
    <row r="362" ht="14.25" customHeight="1" s="57">
      <c r="A362" s="56" t="inlineStr">
        <is>
          <t>ORD-00338</t>
        </is>
      </c>
      <c r="B362" s="79" t="n">
        <v>46013</v>
      </c>
      <c r="C362" s="56" t="n">
        <v>2025</v>
      </c>
      <c r="D362" s="56" t="n">
        <v>12</v>
      </c>
      <c r="E362" s="56" t="inlineStr">
        <is>
          <t>Oman</t>
        </is>
      </c>
      <c r="F362" s="56" t="inlineStr">
        <is>
          <t>Muscat</t>
        </is>
      </c>
      <c r="G362" s="56" t="inlineStr">
        <is>
          <t>Organic Search</t>
        </is>
      </c>
      <c r="H362" s="56" t="inlineStr">
        <is>
          <t>Bundle Promo</t>
        </is>
      </c>
      <c r="I362" s="56" t="inlineStr">
        <is>
          <t>P010</t>
        </is>
      </c>
      <c r="J362" s="56" t="inlineStr">
        <is>
          <t>Smart Water Bottle</t>
        </is>
      </c>
      <c r="K362" s="56" t="inlineStr">
        <is>
          <t>Lifestyle</t>
        </is>
      </c>
      <c r="L362" s="56" t="inlineStr">
        <is>
          <t>Shenzhen Smart Home</t>
        </is>
      </c>
      <c r="M362" s="80" t="n">
        <v>33.95</v>
      </c>
      <c r="N362" s="80" t="n">
        <v>10.23</v>
      </c>
      <c r="O362" s="80" t="n">
        <v>4.47</v>
      </c>
      <c r="P362" s="80" t="n">
        <v>0.03</v>
      </c>
      <c r="Q362" s="80" t="n">
        <v>0</v>
      </c>
      <c r="R362" s="80" t="n">
        <v>1</v>
      </c>
      <c r="S362" s="80">
        <f>IF(AC362="Cancelled",0,M362*R362)</f>
        <v/>
      </c>
      <c r="T362" s="80">
        <f>IF(AC362="Cancelled",0,N362*R362)</f>
        <v/>
      </c>
      <c r="U362" s="80">
        <f>IF(AC362="Cancelled",0,O362*R362)</f>
        <v/>
      </c>
      <c r="V362" s="80">
        <f>IF(AC362="Cancelled",0,ROUND(P362*S362,2))</f>
        <v/>
      </c>
      <c r="W362" s="80" t="inlineStr">
        <is>
          <t>No</t>
        </is>
      </c>
      <c r="X362" s="80" t="n">
        <v>0</v>
      </c>
      <c r="Y362" s="80">
        <f>IF(AC362="Cancelled",0,T362+U362+V362+Q362+X362)</f>
        <v/>
      </c>
      <c r="Z362" s="80">
        <f>IF(AC362="Cancelled",-Q362,S362-Y362)</f>
        <v/>
      </c>
      <c r="AA362" s="81">
        <f>IF(OR(AC362="Cancelled",S362=0),0,Z362/S362)</f>
        <v/>
      </c>
      <c r="AB362" s="82">
        <f>IFERROR(S362/Q362,0)</f>
        <v/>
      </c>
      <c r="AC362" s="56" t="inlineStr">
        <is>
          <t>Delivered</t>
        </is>
      </c>
    </row>
    <row r="363" ht="14.25" customHeight="1" s="57">
      <c r="A363" s="56" t="inlineStr">
        <is>
          <t>ORD-00456</t>
        </is>
      </c>
      <c r="B363" s="79" t="n">
        <v>46013</v>
      </c>
      <c r="C363" s="56" t="n">
        <v>2025</v>
      </c>
      <c r="D363" s="56" t="n">
        <v>12</v>
      </c>
      <c r="E363" s="56" t="inlineStr">
        <is>
          <t>Kuwait</t>
        </is>
      </c>
      <c r="F363" s="56" t="inlineStr">
        <is>
          <t>Kuwait City</t>
        </is>
      </c>
      <c r="G363" s="56" t="inlineStr">
        <is>
          <t>Google Ads</t>
        </is>
      </c>
      <c r="H363" s="56" t="inlineStr">
        <is>
          <t>Bundle Promo</t>
        </is>
      </c>
      <c r="I363" s="56" t="inlineStr">
        <is>
          <t>P003</t>
        </is>
      </c>
      <c r="J363" s="56" t="inlineStr">
        <is>
          <t>LED Strip Lights</t>
        </is>
      </c>
      <c r="K363" s="56" t="inlineStr">
        <is>
          <t>Home Decor</t>
        </is>
      </c>
      <c r="L363" s="56" t="inlineStr">
        <is>
          <t>Yiwu Lighting Factory</t>
        </is>
      </c>
      <c r="M363" s="80" t="n">
        <v>27.65</v>
      </c>
      <c r="N363" s="80" t="n">
        <v>6.42</v>
      </c>
      <c r="O363" s="80" t="n">
        <v>3.74</v>
      </c>
      <c r="P363" s="80" t="n">
        <v>0.03</v>
      </c>
      <c r="Q363" s="80" t="n">
        <v>4.27</v>
      </c>
      <c r="R363" s="80" t="n">
        <v>1</v>
      </c>
      <c r="S363" s="80">
        <f>IF(AC363="Cancelled",0,M363*R363)</f>
        <v/>
      </c>
      <c r="T363" s="80">
        <f>IF(AC363="Cancelled",0,N363*R363)</f>
        <v/>
      </c>
      <c r="U363" s="80">
        <f>IF(AC363="Cancelled",0,O363*R363)</f>
        <v/>
      </c>
      <c r="V363" s="80">
        <f>IF(AC363="Cancelled",0,ROUND(P363*S363,2))</f>
        <v/>
      </c>
      <c r="W363" s="80" t="inlineStr">
        <is>
          <t>No</t>
        </is>
      </c>
      <c r="X363" s="80" t="n">
        <v>0</v>
      </c>
      <c r="Y363" s="80">
        <f>IF(AC363="Cancelled",0,T363+U363+V363+Q363+X363)</f>
        <v/>
      </c>
      <c r="Z363" s="80">
        <f>IF(AC363="Cancelled",-Q363,S363-Y363)</f>
        <v/>
      </c>
      <c r="AA363" s="81">
        <f>IF(OR(AC363="Cancelled",S363=0),0,Z363/S363)</f>
        <v/>
      </c>
      <c r="AB363" s="82">
        <f>IFERROR(S363/Q363,0)</f>
        <v/>
      </c>
      <c r="AC363" s="56" t="inlineStr">
        <is>
          <t>Delivered</t>
        </is>
      </c>
    </row>
    <row r="364" ht="14.25" customHeight="1" s="57">
      <c r="A364" s="56" t="inlineStr">
        <is>
          <t>ORD-00097</t>
        </is>
      </c>
      <c r="B364" s="79" t="n">
        <v>46014</v>
      </c>
      <c r="C364" s="56" t="n">
        <v>2025</v>
      </c>
      <c r="D364" s="56" t="n">
        <v>12</v>
      </c>
      <c r="E364" s="56" t="inlineStr">
        <is>
          <t>UAE</t>
        </is>
      </c>
      <c r="F364" s="56" t="inlineStr">
        <is>
          <t>Sharjah</t>
        </is>
      </c>
      <c r="G364" s="56" t="inlineStr">
        <is>
          <t>TikTok Ads</t>
        </is>
      </c>
      <c r="H364" s="56" t="inlineStr">
        <is>
          <t>Launch Test</t>
        </is>
      </c>
      <c r="I364" s="56" t="inlineStr">
        <is>
          <t>P002</t>
        </is>
      </c>
      <c r="J364" s="56" t="inlineStr">
        <is>
          <t>Phone Case</t>
        </is>
      </c>
      <c r="K364" s="56" t="inlineStr">
        <is>
          <t>Accessories</t>
        </is>
      </c>
      <c r="L364" s="56" t="inlineStr">
        <is>
          <t>Guangzhou Cases Ltd.</t>
        </is>
      </c>
      <c r="M364" s="80" t="n">
        <v>15.71</v>
      </c>
      <c r="N364" s="80" t="n">
        <v>1.98</v>
      </c>
      <c r="O364" s="80" t="n">
        <v>2.09</v>
      </c>
      <c r="P364" s="80" t="n">
        <v>0.03</v>
      </c>
      <c r="Q364" s="80" t="n">
        <v>10.3</v>
      </c>
      <c r="R364" s="80" t="n">
        <v>2</v>
      </c>
      <c r="S364" s="80">
        <f>IF(AC364="Cancelled",0,M364*R364)</f>
        <v/>
      </c>
      <c r="T364" s="80">
        <f>IF(AC364="Cancelled",0,N364*R364)</f>
        <v/>
      </c>
      <c r="U364" s="80">
        <f>IF(AC364="Cancelled",0,O364*R364)</f>
        <v/>
      </c>
      <c r="V364" s="80">
        <f>IF(AC364="Cancelled",0,ROUND(P364*S364,2))</f>
        <v/>
      </c>
      <c r="W364" s="80" t="inlineStr">
        <is>
          <t>No</t>
        </is>
      </c>
      <c r="X364" s="80" t="n">
        <v>0</v>
      </c>
      <c r="Y364" s="80">
        <f>IF(AC364="Cancelled",0,T364+U364+V364+Q364+X364)</f>
        <v/>
      </c>
      <c r="Z364" s="80">
        <f>IF(AC364="Cancelled",-Q364,S364-Y364)</f>
        <v/>
      </c>
      <c r="AA364" s="81">
        <f>IF(OR(AC364="Cancelled",S364=0),0,Z364/S364)</f>
        <v/>
      </c>
      <c r="AB364" s="82">
        <f>IFERROR(S364/Q364,0)</f>
        <v/>
      </c>
      <c r="AC364" s="56" t="inlineStr">
        <is>
          <t>Delivered</t>
        </is>
      </c>
    </row>
    <row r="365" ht="14.25" customHeight="1" s="57">
      <c r="A365" s="56" t="inlineStr">
        <is>
          <t>ORD-00065</t>
        </is>
      </c>
      <c r="B365" s="79" t="n">
        <v>46016</v>
      </c>
      <c r="C365" s="56" t="n">
        <v>2025</v>
      </c>
      <c r="D365" s="56" t="n">
        <v>12</v>
      </c>
      <c r="E365" s="56" t="inlineStr">
        <is>
          <t>Kuwait</t>
        </is>
      </c>
      <c r="F365" s="56" t="inlineStr">
        <is>
          <t>Kuwait City</t>
        </is>
      </c>
      <c r="G365" s="56" t="inlineStr">
        <is>
          <t>TikTok Ads</t>
        </is>
      </c>
      <c r="H365" s="56" t="inlineStr">
        <is>
          <t>Retargeting</t>
        </is>
      </c>
      <c r="I365" s="56" t="inlineStr">
        <is>
          <t>P004</t>
        </is>
      </c>
      <c r="J365" s="56" t="inlineStr">
        <is>
          <t>Beauty Tool</t>
        </is>
      </c>
      <c r="K365" s="56" t="inlineStr">
        <is>
          <t>Beauty</t>
        </is>
      </c>
      <c r="L365" s="56" t="inlineStr">
        <is>
          <t>Ningbo Beauty Supply</t>
        </is>
      </c>
      <c r="M365" s="80" t="n">
        <v>32.61</v>
      </c>
      <c r="N365" s="80" t="n">
        <v>6.98</v>
      </c>
      <c r="O365" s="80" t="n">
        <v>4.99</v>
      </c>
      <c r="P365" s="80" t="n">
        <v>0.03</v>
      </c>
      <c r="Q365" s="80" t="n">
        <v>4.48</v>
      </c>
      <c r="R365" s="80" t="n">
        <v>2</v>
      </c>
      <c r="S365" s="80">
        <f>IF(AC365="Cancelled",0,M365*R365)</f>
        <v/>
      </c>
      <c r="T365" s="80">
        <f>IF(AC365="Cancelled",0,N365*R365)</f>
        <v/>
      </c>
      <c r="U365" s="80">
        <f>IF(AC365="Cancelled",0,O365*R365)</f>
        <v/>
      </c>
      <c r="V365" s="80">
        <f>IF(AC365="Cancelled",0,ROUND(P365*S365,2))</f>
        <v/>
      </c>
      <c r="W365" s="80" t="inlineStr">
        <is>
          <t>No</t>
        </is>
      </c>
      <c r="X365" s="80" t="n">
        <v>0</v>
      </c>
      <c r="Y365" s="80">
        <f>IF(AC365="Cancelled",0,T365+U365+V365+Q365+X365)</f>
        <v/>
      </c>
      <c r="Z365" s="80">
        <f>IF(AC365="Cancelled",-Q365,S365-Y365)</f>
        <v/>
      </c>
      <c r="AA365" s="81">
        <f>IF(OR(AC365="Cancelled",S365=0),0,Z365/S365)</f>
        <v/>
      </c>
      <c r="AB365" s="82">
        <f>IFERROR(S365/Q365,0)</f>
        <v/>
      </c>
      <c r="AC365" s="56" t="inlineStr">
        <is>
          <t>Delivered</t>
        </is>
      </c>
    </row>
    <row r="366" ht="14.25" customHeight="1" s="57">
      <c r="A366" s="56" t="inlineStr">
        <is>
          <t>ORD-00217</t>
        </is>
      </c>
      <c r="B366" s="79" t="n">
        <v>46017</v>
      </c>
      <c r="C366" s="56" t="n">
        <v>2025</v>
      </c>
      <c r="D366" s="56" t="n">
        <v>12</v>
      </c>
      <c r="E366" s="56" t="inlineStr">
        <is>
          <t>Qatar</t>
        </is>
      </c>
      <c r="F366" s="56" t="inlineStr">
        <is>
          <t>Doha</t>
        </is>
      </c>
      <c r="G366" s="56" t="inlineStr">
        <is>
          <t>Meta Ads</t>
        </is>
      </c>
      <c r="H366" s="56" t="inlineStr">
        <is>
          <t>Summer Sale</t>
        </is>
      </c>
      <c r="I366" s="56" t="inlineStr">
        <is>
          <t>P002</t>
        </is>
      </c>
      <c r="J366" s="56" t="inlineStr">
        <is>
          <t>Phone Case</t>
        </is>
      </c>
      <c r="K366" s="56" t="inlineStr">
        <is>
          <t>Accessories</t>
        </is>
      </c>
      <c r="L366" s="56" t="inlineStr">
        <is>
          <t>Guangzhou Cases Ltd.</t>
        </is>
      </c>
      <c r="M366" s="80" t="n">
        <v>14.32</v>
      </c>
      <c r="N366" s="80" t="n">
        <v>1.94</v>
      </c>
      <c r="O366" s="80" t="n">
        <v>1.97</v>
      </c>
      <c r="P366" s="80" t="n">
        <v>0.03</v>
      </c>
      <c r="Q366" s="80" t="n">
        <v>10.06</v>
      </c>
      <c r="R366" s="80" t="n">
        <v>2</v>
      </c>
      <c r="S366" s="80">
        <f>IF(AC366="Cancelled",0,M366*R366)</f>
        <v/>
      </c>
      <c r="T366" s="80">
        <f>IF(AC366="Cancelled",0,N366*R366)</f>
        <v/>
      </c>
      <c r="U366" s="80">
        <f>IF(AC366="Cancelled",0,O366*R366)</f>
        <v/>
      </c>
      <c r="V366" s="80">
        <f>IF(AC366="Cancelled",0,ROUND(P366*S366,2))</f>
        <v/>
      </c>
      <c r="W366" s="80" t="inlineStr">
        <is>
          <t>No</t>
        </is>
      </c>
      <c r="X366" s="80" t="n">
        <v>0</v>
      </c>
      <c r="Y366" s="80">
        <f>IF(AC366="Cancelled",0,T366+U366+V366+Q366+X366)</f>
        <v/>
      </c>
      <c r="Z366" s="80">
        <f>IF(AC366="Cancelled",-Q366,S366-Y366)</f>
        <v/>
      </c>
      <c r="AA366" s="81">
        <f>IF(OR(AC366="Cancelled",S366=0),0,Z366/S366)</f>
        <v/>
      </c>
      <c r="AB366" s="82">
        <f>IFERROR(S366/Q366,0)</f>
        <v/>
      </c>
      <c r="AC366" s="56" t="inlineStr">
        <is>
          <t>Delivered</t>
        </is>
      </c>
    </row>
    <row r="367" ht="14.25" customHeight="1" s="57">
      <c r="A367" s="56" t="inlineStr">
        <is>
          <t>ORD-00419</t>
        </is>
      </c>
      <c r="B367" s="79" t="n">
        <v>46017</v>
      </c>
      <c r="C367" s="56" t="n">
        <v>2025</v>
      </c>
      <c r="D367" s="56" t="n">
        <v>12</v>
      </c>
      <c r="E367" s="56" t="inlineStr">
        <is>
          <t>UAE</t>
        </is>
      </c>
      <c r="F367" s="56" t="inlineStr">
        <is>
          <t>Sharjah</t>
        </is>
      </c>
      <c r="G367" s="56" t="inlineStr">
        <is>
          <t>Meta Ads</t>
        </is>
      </c>
      <c r="H367" s="56" t="inlineStr">
        <is>
          <t>Summer Sale</t>
        </is>
      </c>
      <c r="I367" s="56" t="inlineStr">
        <is>
          <t>P003</t>
        </is>
      </c>
      <c r="J367" s="56" t="inlineStr">
        <is>
          <t>LED Strip Lights</t>
        </is>
      </c>
      <c r="K367" s="56" t="inlineStr">
        <is>
          <t>Home Decor</t>
        </is>
      </c>
      <c r="L367" s="56" t="inlineStr">
        <is>
          <t>Yiwu Lighting Factory</t>
        </is>
      </c>
      <c r="M367" s="80" t="n">
        <v>24.19</v>
      </c>
      <c r="N367" s="80" t="n">
        <v>6.39</v>
      </c>
      <c r="O367" s="80" t="n">
        <v>4</v>
      </c>
      <c r="P367" s="80" t="n">
        <v>0.03</v>
      </c>
      <c r="Q367" s="80" t="n">
        <v>17.36</v>
      </c>
      <c r="R367" s="80" t="n">
        <v>2</v>
      </c>
      <c r="S367" s="80">
        <f>IF(AC367="Cancelled",0,M367*R367)</f>
        <v/>
      </c>
      <c r="T367" s="80">
        <f>IF(AC367="Cancelled",0,N367*R367)</f>
        <v/>
      </c>
      <c r="U367" s="80">
        <f>IF(AC367="Cancelled",0,O367*R367)</f>
        <v/>
      </c>
      <c r="V367" s="80">
        <f>IF(AC367="Cancelled",0,ROUND(P367*S367,2))</f>
        <v/>
      </c>
      <c r="W367" s="80" t="inlineStr">
        <is>
          <t>Yes</t>
        </is>
      </c>
      <c r="X367" s="80" t="n">
        <v>25.25</v>
      </c>
      <c r="Y367" s="80">
        <f>IF(AC367="Cancelled",0,T367+U367+V367+Q367+X367)</f>
        <v/>
      </c>
      <c r="Z367" s="80">
        <f>IF(AC367="Cancelled",-Q367,S367-Y367)</f>
        <v/>
      </c>
      <c r="AA367" s="81">
        <f>IF(OR(AC367="Cancelled",S367=0),0,Z367/S367)</f>
        <v/>
      </c>
      <c r="AB367" s="82">
        <f>IFERROR(S367/Q367,0)</f>
        <v/>
      </c>
      <c r="AC367" s="56" t="inlineStr">
        <is>
          <t>Refunded</t>
        </is>
      </c>
    </row>
    <row r="368" ht="14.25" customHeight="1" s="57">
      <c r="A368" s="56" t="inlineStr">
        <is>
          <t>ORD-00472</t>
        </is>
      </c>
      <c r="B368" s="79" t="n">
        <v>46017</v>
      </c>
      <c r="C368" s="56" t="n">
        <v>2025</v>
      </c>
      <c r="D368" s="56" t="n">
        <v>12</v>
      </c>
      <c r="E368" s="56" t="inlineStr">
        <is>
          <t>Oman</t>
        </is>
      </c>
      <c r="F368" s="56" t="inlineStr">
        <is>
          <t>Muscat</t>
        </is>
      </c>
      <c r="G368" s="56" t="inlineStr">
        <is>
          <t>Meta Ads</t>
        </is>
      </c>
      <c r="H368" s="56" t="inlineStr">
        <is>
          <t>Retargeting</t>
        </is>
      </c>
      <c r="I368" s="56" t="inlineStr">
        <is>
          <t>P005</t>
        </is>
      </c>
      <c r="J368" s="56" t="inlineStr">
        <is>
          <t>Mini Printer</t>
        </is>
      </c>
      <c r="K368" s="56" t="inlineStr">
        <is>
          <t>Electronics</t>
        </is>
      </c>
      <c r="L368" s="56" t="inlineStr">
        <is>
          <t>Shenzhen Print Tech</t>
        </is>
      </c>
      <c r="M368" s="80" t="n">
        <v>65.36</v>
      </c>
      <c r="N368" s="80" t="n">
        <v>21.03</v>
      </c>
      <c r="O368" s="80" t="n">
        <v>7.1</v>
      </c>
      <c r="P368" s="80" t="n">
        <v>0.03</v>
      </c>
      <c r="Q368" s="80" t="n">
        <v>16.17</v>
      </c>
      <c r="R368" s="80" t="n">
        <v>2</v>
      </c>
      <c r="S368" s="80">
        <f>IF(AC368="Cancelled",0,M368*R368)</f>
        <v/>
      </c>
      <c r="T368" s="80">
        <f>IF(AC368="Cancelled",0,N368*R368)</f>
        <v/>
      </c>
      <c r="U368" s="80">
        <f>IF(AC368="Cancelled",0,O368*R368)</f>
        <v/>
      </c>
      <c r="V368" s="80">
        <f>IF(AC368="Cancelled",0,ROUND(P368*S368,2))</f>
        <v/>
      </c>
      <c r="W368" s="80" t="inlineStr">
        <is>
          <t>No</t>
        </is>
      </c>
      <c r="X368" s="80" t="n">
        <v>0</v>
      </c>
      <c r="Y368" s="80">
        <f>IF(AC368="Cancelled",0,T368+U368+V368+Q368+X368)</f>
        <v/>
      </c>
      <c r="Z368" s="80">
        <f>IF(AC368="Cancelled",-Q368,S368-Y368)</f>
        <v/>
      </c>
      <c r="AA368" s="81">
        <f>IF(OR(AC368="Cancelled",S368=0),0,Z368/S368)</f>
        <v/>
      </c>
      <c r="AB368" s="82">
        <f>IFERROR(S368/Q368,0)</f>
        <v/>
      </c>
      <c r="AC368" s="56" t="inlineStr">
        <is>
          <t>Delivered</t>
        </is>
      </c>
    </row>
    <row r="369" ht="14.25" customHeight="1" s="57">
      <c r="A369" s="56" t="inlineStr">
        <is>
          <t>ORD-00484</t>
        </is>
      </c>
      <c r="B369" s="79" t="n">
        <v>46017</v>
      </c>
      <c r="C369" s="56" t="n">
        <v>2025</v>
      </c>
      <c r="D369" s="56" t="n">
        <v>12</v>
      </c>
      <c r="E369" s="56" t="inlineStr">
        <is>
          <t>Saudi Arabia</t>
        </is>
      </c>
      <c r="F369" s="56" t="inlineStr">
        <is>
          <t>Jeddah</t>
        </is>
      </c>
      <c r="G369" s="56" t="inlineStr">
        <is>
          <t>Email</t>
        </is>
      </c>
      <c r="H369" s="56" t="inlineStr">
        <is>
          <t>Retargeting</t>
        </is>
      </c>
      <c r="I369" s="56" t="inlineStr">
        <is>
          <t>P005</t>
        </is>
      </c>
      <c r="J369" s="56" t="inlineStr">
        <is>
          <t>Mini Printer</t>
        </is>
      </c>
      <c r="K369" s="56" t="inlineStr">
        <is>
          <t>Electronics</t>
        </is>
      </c>
      <c r="L369" s="56" t="inlineStr">
        <is>
          <t>Shenzhen Print Tech</t>
        </is>
      </c>
      <c r="M369" s="80" t="n">
        <v>55.57</v>
      </c>
      <c r="N369" s="80" t="n">
        <v>22.16</v>
      </c>
      <c r="O369" s="80" t="n">
        <v>7.63</v>
      </c>
      <c r="P369" s="80" t="n">
        <v>0.03</v>
      </c>
      <c r="Q369" s="80" t="n">
        <v>7.65</v>
      </c>
      <c r="R369" s="80" t="n">
        <v>2</v>
      </c>
      <c r="S369" s="80">
        <f>IF(AC369="Cancelled",0,M369*R369)</f>
        <v/>
      </c>
      <c r="T369" s="80">
        <f>IF(AC369="Cancelled",0,N369*R369)</f>
        <v/>
      </c>
      <c r="U369" s="80">
        <f>IF(AC369="Cancelled",0,O369*R369)</f>
        <v/>
      </c>
      <c r="V369" s="80">
        <f>IF(AC369="Cancelled",0,ROUND(P369*S369,2))</f>
        <v/>
      </c>
      <c r="W369" s="80" t="inlineStr">
        <is>
          <t>No</t>
        </is>
      </c>
      <c r="X369" s="80" t="n">
        <v>0</v>
      </c>
      <c r="Y369" s="80">
        <f>IF(AC369="Cancelled",0,T369+U369+V369+Q369+X369)</f>
        <v/>
      </c>
      <c r="Z369" s="80">
        <f>IF(AC369="Cancelled",-Q369,S369-Y369)</f>
        <v/>
      </c>
      <c r="AA369" s="81">
        <f>IF(OR(AC369="Cancelled",S369=0),0,Z369/S369)</f>
        <v/>
      </c>
      <c r="AB369" s="82">
        <f>IFERROR(S369/Q369,0)</f>
        <v/>
      </c>
      <c r="AC369" s="56" t="inlineStr">
        <is>
          <t>Delivered</t>
        </is>
      </c>
    </row>
    <row r="370" ht="14.25" customHeight="1" s="57">
      <c r="A370" s="56" t="inlineStr">
        <is>
          <t>ORD-00243</t>
        </is>
      </c>
      <c r="B370" s="79" t="n">
        <v>46019</v>
      </c>
      <c r="C370" s="56" t="n">
        <v>2025</v>
      </c>
      <c r="D370" s="56" t="n">
        <v>12</v>
      </c>
      <c r="E370" s="56" t="inlineStr">
        <is>
          <t>Oman</t>
        </is>
      </c>
      <c r="F370" s="56" t="inlineStr">
        <is>
          <t>Muscat</t>
        </is>
      </c>
      <c r="G370" s="56" t="inlineStr">
        <is>
          <t>Meta Ads</t>
        </is>
      </c>
      <c r="H370" s="56" t="inlineStr">
        <is>
          <t>Retargeting</t>
        </is>
      </c>
      <c r="I370" s="56" t="inlineStr">
        <is>
          <t>P008</t>
        </is>
      </c>
      <c r="J370" s="56" t="inlineStr">
        <is>
          <t>Portable Blender</t>
        </is>
      </c>
      <c r="K370" s="56" t="inlineStr">
        <is>
          <t>Kitchen</t>
        </is>
      </c>
      <c r="L370" s="56" t="inlineStr">
        <is>
          <t>Foshan Appliances</t>
        </is>
      </c>
      <c r="M370" s="80" t="n">
        <v>46.68</v>
      </c>
      <c r="N370" s="80" t="n">
        <v>17.26</v>
      </c>
      <c r="O370" s="80" t="n">
        <v>6.21</v>
      </c>
      <c r="P370" s="80" t="n">
        <v>0.03</v>
      </c>
      <c r="Q370" s="80" t="n">
        <v>19.11</v>
      </c>
      <c r="R370" s="80" t="n">
        <v>2</v>
      </c>
      <c r="S370" s="80">
        <f>IF(AC370="Cancelled",0,M370*R370)</f>
        <v/>
      </c>
      <c r="T370" s="80">
        <f>IF(AC370="Cancelled",0,N370*R370)</f>
        <v/>
      </c>
      <c r="U370" s="80">
        <f>IF(AC370="Cancelled",0,O370*R370)</f>
        <v/>
      </c>
      <c r="V370" s="80">
        <f>IF(AC370="Cancelled",0,ROUND(P370*S370,2))</f>
        <v/>
      </c>
      <c r="W370" s="80" t="inlineStr">
        <is>
          <t>No</t>
        </is>
      </c>
      <c r="X370" s="80" t="n">
        <v>0</v>
      </c>
      <c r="Y370" s="80">
        <f>IF(AC370="Cancelled",0,T370+U370+V370+Q370+X370)</f>
        <v/>
      </c>
      <c r="Z370" s="80">
        <f>IF(AC370="Cancelled",-Q370,S370-Y370)</f>
        <v/>
      </c>
      <c r="AA370" s="81">
        <f>IF(OR(AC370="Cancelled",S370=0),0,Z370/S370)</f>
        <v/>
      </c>
      <c r="AB370" s="82">
        <f>IFERROR(S370/Q370,0)</f>
        <v/>
      </c>
      <c r="AC370" s="56" t="inlineStr">
        <is>
          <t>Delivered</t>
        </is>
      </c>
    </row>
    <row r="371" ht="14.25" customHeight="1" s="57">
      <c r="A371" s="56" t="inlineStr">
        <is>
          <t>ORD-00468</t>
        </is>
      </c>
      <c r="B371" s="79" t="n">
        <v>46021</v>
      </c>
      <c r="C371" s="56" t="n">
        <v>2025</v>
      </c>
      <c r="D371" s="56" t="n">
        <v>12</v>
      </c>
      <c r="E371" s="56" t="inlineStr">
        <is>
          <t>Qatar</t>
        </is>
      </c>
      <c r="F371" s="56" t="inlineStr">
        <is>
          <t>Doha</t>
        </is>
      </c>
      <c r="G371" s="56" t="inlineStr">
        <is>
          <t>TikTok Ads</t>
        </is>
      </c>
      <c r="H371" s="56" t="inlineStr">
        <is>
          <t>Launch Test</t>
        </is>
      </c>
      <c r="I371" s="56" t="inlineStr">
        <is>
          <t>P009</t>
        </is>
      </c>
      <c r="J371" s="56" t="inlineStr">
        <is>
          <t>Car Vacuum Cleaner</t>
        </is>
      </c>
      <c r="K371" s="56" t="inlineStr">
        <is>
          <t>Automotive</t>
        </is>
      </c>
      <c r="L371" s="56" t="inlineStr">
        <is>
          <t>Dongguan Auto Tools</t>
        </is>
      </c>
      <c r="M371" s="80" t="n">
        <v>42.67</v>
      </c>
      <c r="N371" s="80" t="n">
        <v>13.96</v>
      </c>
      <c r="O371" s="80" t="n">
        <v>6.05</v>
      </c>
      <c r="P371" s="80" t="n">
        <v>0.03</v>
      </c>
      <c r="Q371" s="80" t="n">
        <v>3.95</v>
      </c>
      <c r="R371" s="80" t="n">
        <v>1</v>
      </c>
      <c r="S371" s="80">
        <f>IF(AC371="Cancelled",0,M371*R371)</f>
        <v/>
      </c>
      <c r="T371" s="80">
        <f>IF(AC371="Cancelled",0,N371*R371)</f>
        <v/>
      </c>
      <c r="U371" s="80">
        <f>IF(AC371="Cancelled",0,O371*R371)</f>
        <v/>
      </c>
      <c r="V371" s="80">
        <f>IF(AC371="Cancelled",0,ROUND(P371*S371,2))</f>
        <v/>
      </c>
      <c r="W371" s="80" t="inlineStr">
        <is>
          <t>No</t>
        </is>
      </c>
      <c r="X371" s="80" t="n">
        <v>0</v>
      </c>
      <c r="Y371" s="80">
        <f>IF(AC371="Cancelled",0,T371+U371+V371+Q371+X371)</f>
        <v/>
      </c>
      <c r="Z371" s="80">
        <f>IF(AC371="Cancelled",-Q371,S371-Y371)</f>
        <v/>
      </c>
      <c r="AA371" s="81">
        <f>IF(OR(AC371="Cancelled",S371=0),0,Z371/S371)</f>
        <v/>
      </c>
      <c r="AB371" s="82">
        <f>IFERROR(S371/Q371,0)</f>
        <v/>
      </c>
      <c r="AC371" s="56" t="inlineStr">
        <is>
          <t>Delivered</t>
        </is>
      </c>
    </row>
    <row r="372" ht="14.25" customHeight="1" s="57">
      <c r="A372" s="56" t="inlineStr">
        <is>
          <t>ORD-00126</t>
        </is>
      </c>
      <c r="B372" s="79" t="n">
        <v>46022</v>
      </c>
      <c r="C372" s="56" t="n">
        <v>2025</v>
      </c>
      <c r="D372" s="56" t="n">
        <v>12</v>
      </c>
      <c r="E372" s="56" t="inlineStr">
        <is>
          <t>UAE</t>
        </is>
      </c>
      <c r="F372" s="56" t="inlineStr">
        <is>
          <t>Dubai</t>
        </is>
      </c>
      <c r="G372" s="56" t="inlineStr">
        <is>
          <t>Google Ads</t>
        </is>
      </c>
      <c r="H372" s="56" t="inlineStr">
        <is>
          <t>Retargeting</t>
        </is>
      </c>
      <c r="I372" s="56" t="inlineStr">
        <is>
          <t>P006</t>
        </is>
      </c>
      <c r="J372" s="56" t="inlineStr">
        <is>
          <t>Posture Corrector</t>
        </is>
      </c>
      <c r="K372" s="56" t="inlineStr">
        <is>
          <t>Fitness</t>
        </is>
      </c>
      <c r="L372" s="56" t="inlineStr">
        <is>
          <t>Hangzhou Health Gear</t>
        </is>
      </c>
      <c r="M372" s="80" t="n">
        <v>37.81</v>
      </c>
      <c r="N372" s="80" t="n">
        <v>9.49</v>
      </c>
      <c r="O372" s="80" t="n">
        <v>3.87</v>
      </c>
      <c r="P372" s="80" t="n">
        <v>0.03</v>
      </c>
      <c r="Q372" s="80" t="n">
        <v>13.56</v>
      </c>
      <c r="R372" s="80" t="n">
        <v>2</v>
      </c>
      <c r="S372" s="80">
        <f>IF(AC372="Cancelled",0,M372*R372)</f>
        <v/>
      </c>
      <c r="T372" s="80">
        <f>IF(AC372="Cancelled",0,N372*R372)</f>
        <v/>
      </c>
      <c r="U372" s="80">
        <f>IF(AC372="Cancelled",0,O372*R372)</f>
        <v/>
      </c>
      <c r="V372" s="80">
        <f>IF(AC372="Cancelled",0,ROUND(P372*S372,2))</f>
        <v/>
      </c>
      <c r="W372" s="80" t="inlineStr">
        <is>
          <t>No</t>
        </is>
      </c>
      <c r="X372" s="80" t="n">
        <v>0</v>
      </c>
      <c r="Y372" s="80">
        <f>IF(AC372="Cancelled",0,T372+U372+V372+Q372+X372)</f>
        <v/>
      </c>
      <c r="Z372" s="80">
        <f>IF(AC372="Cancelled",-Q372,S372-Y372)</f>
        <v/>
      </c>
      <c r="AA372" s="81">
        <f>IF(OR(AC372="Cancelled",S372=0),0,Z372/S372)</f>
        <v/>
      </c>
      <c r="AB372" s="82">
        <f>IFERROR(S372/Q372,0)</f>
        <v/>
      </c>
      <c r="AC372" s="56" t="inlineStr">
        <is>
          <t>Delivered</t>
        </is>
      </c>
    </row>
    <row r="373" ht="14.25" customHeight="1" s="57">
      <c r="A373" s="56" t="inlineStr">
        <is>
          <t>ORD-00176</t>
        </is>
      </c>
      <c r="B373" s="79" t="n">
        <v>46022</v>
      </c>
      <c r="C373" s="56" t="n">
        <v>2025</v>
      </c>
      <c r="D373" s="56" t="n">
        <v>12</v>
      </c>
      <c r="E373" s="56" t="inlineStr">
        <is>
          <t>Saudi Arabia</t>
        </is>
      </c>
      <c r="F373" s="56" t="inlineStr">
        <is>
          <t>Riyadh</t>
        </is>
      </c>
      <c r="G373" s="56" t="inlineStr">
        <is>
          <t>Meta Ads</t>
        </is>
      </c>
      <c r="H373" s="56" t="inlineStr">
        <is>
          <t>Launch Test</t>
        </is>
      </c>
      <c r="I373" s="56" t="inlineStr">
        <is>
          <t>P001</t>
        </is>
      </c>
      <c r="J373" s="56" t="inlineStr">
        <is>
          <t>Wireless Earbuds</t>
        </is>
      </c>
      <c r="K373" s="56" t="inlineStr">
        <is>
          <t>Electronics</t>
        </is>
      </c>
      <c r="L373" s="56" t="inlineStr">
        <is>
          <t>Shenzhen Audio Co.</t>
        </is>
      </c>
      <c r="M373" s="80" t="n">
        <v>43.69</v>
      </c>
      <c r="N373" s="80" t="n">
        <v>9.050000000000001</v>
      </c>
      <c r="O373" s="80" t="n">
        <v>4.04</v>
      </c>
      <c r="P373" s="80" t="n">
        <v>0.03</v>
      </c>
      <c r="Q373" s="80" t="n">
        <v>6.67</v>
      </c>
      <c r="R373" s="80" t="n">
        <v>1</v>
      </c>
      <c r="S373" s="80">
        <f>IF(AC373="Cancelled",0,M373*R373)</f>
        <v/>
      </c>
      <c r="T373" s="80">
        <f>IF(AC373="Cancelled",0,N373*R373)</f>
        <v/>
      </c>
      <c r="U373" s="80">
        <f>IF(AC373="Cancelled",0,O373*R373)</f>
        <v/>
      </c>
      <c r="V373" s="80">
        <f>IF(AC373="Cancelled",0,ROUND(P373*S373,2))</f>
        <v/>
      </c>
      <c r="W373" s="80" t="inlineStr">
        <is>
          <t>No</t>
        </is>
      </c>
      <c r="X373" s="80" t="n">
        <v>0</v>
      </c>
      <c r="Y373" s="80">
        <f>IF(AC373="Cancelled",0,T373+U373+V373+Q373+X373)</f>
        <v/>
      </c>
      <c r="Z373" s="80">
        <f>IF(AC373="Cancelled",-Q373,S373-Y373)</f>
        <v/>
      </c>
      <c r="AA373" s="81">
        <f>IF(OR(AC373="Cancelled",S373=0),0,Z373/S373)</f>
        <v/>
      </c>
      <c r="AB373" s="82">
        <f>IFERROR(S373/Q373,0)</f>
        <v/>
      </c>
      <c r="AC373" s="56" t="inlineStr">
        <is>
          <t>Delivered</t>
        </is>
      </c>
    </row>
    <row r="374" ht="14.25" customHeight="1" s="57">
      <c r="A374" s="56" t="inlineStr">
        <is>
          <t>ORD-00372</t>
        </is>
      </c>
      <c r="B374" s="79" t="n">
        <v>46023</v>
      </c>
      <c r="C374" s="56" t="n">
        <v>2026</v>
      </c>
      <c r="D374" s="56" t="n">
        <v>1</v>
      </c>
      <c r="E374" s="56" t="inlineStr">
        <is>
          <t>UAE</t>
        </is>
      </c>
      <c r="F374" s="56" t="inlineStr">
        <is>
          <t>Dubai</t>
        </is>
      </c>
      <c r="G374" s="56" t="inlineStr">
        <is>
          <t>Google Ads</t>
        </is>
      </c>
      <c r="H374" s="56" t="inlineStr">
        <is>
          <t>New Creative A/B</t>
        </is>
      </c>
      <c r="I374" s="56" t="inlineStr">
        <is>
          <t>P005</t>
        </is>
      </c>
      <c r="J374" s="56" t="inlineStr">
        <is>
          <t>Mini Printer</t>
        </is>
      </c>
      <c r="K374" s="56" t="inlineStr">
        <is>
          <t>Electronics</t>
        </is>
      </c>
      <c r="L374" s="56" t="inlineStr">
        <is>
          <t>Shenzhen Print Tech</t>
        </is>
      </c>
      <c r="M374" s="80" t="n">
        <v>57.55</v>
      </c>
      <c r="N374" s="80" t="n">
        <v>20.93</v>
      </c>
      <c r="O374" s="80" t="n">
        <v>6.74</v>
      </c>
      <c r="P374" s="80" t="n">
        <v>0.03</v>
      </c>
      <c r="Q374" s="80" t="n">
        <v>12.35</v>
      </c>
      <c r="R374" s="80" t="n">
        <v>3</v>
      </c>
      <c r="S374" s="80">
        <f>IF(AC374="Cancelled",0,M374*R374)</f>
        <v/>
      </c>
      <c r="T374" s="80">
        <f>IF(AC374="Cancelled",0,N374*R374)</f>
        <v/>
      </c>
      <c r="U374" s="80">
        <f>IF(AC374="Cancelled",0,O374*R374)</f>
        <v/>
      </c>
      <c r="V374" s="80">
        <f>IF(AC374="Cancelled",0,ROUND(P374*S374,2))</f>
        <v/>
      </c>
      <c r="W374" s="80" t="inlineStr">
        <is>
          <t>No</t>
        </is>
      </c>
      <c r="X374" s="80" t="n">
        <v>0</v>
      </c>
      <c r="Y374" s="80">
        <f>IF(AC374="Cancelled",0,T374+U374+V374+Q374+X374)</f>
        <v/>
      </c>
      <c r="Z374" s="80">
        <f>IF(AC374="Cancelled",-Q374,S374-Y374)</f>
        <v/>
      </c>
      <c r="AA374" s="81">
        <f>IF(OR(AC374="Cancelled",S374=0),0,Z374/S374)</f>
        <v/>
      </c>
      <c r="AB374" s="82">
        <f>IFERROR(S374/Q374,0)</f>
        <v/>
      </c>
      <c r="AC374" s="56" t="inlineStr">
        <is>
          <t>Delivered</t>
        </is>
      </c>
    </row>
    <row r="375" ht="14.25" customHeight="1" s="57">
      <c r="A375" s="56" t="inlineStr">
        <is>
          <t>ORD-00298</t>
        </is>
      </c>
      <c r="B375" s="79" t="n">
        <v>46024</v>
      </c>
      <c r="C375" s="56" t="n">
        <v>2026</v>
      </c>
      <c r="D375" s="56" t="n">
        <v>1</v>
      </c>
      <c r="E375" s="56" t="inlineStr">
        <is>
          <t>UAE</t>
        </is>
      </c>
      <c r="F375" s="56" t="inlineStr">
        <is>
          <t>Abu Dhabi</t>
        </is>
      </c>
      <c r="G375" s="56" t="inlineStr">
        <is>
          <t>Google Ads</t>
        </is>
      </c>
      <c r="H375" s="56" t="inlineStr">
        <is>
          <t>New Creative A/B</t>
        </is>
      </c>
      <c r="I375" s="56" t="inlineStr">
        <is>
          <t>P007</t>
        </is>
      </c>
      <c r="J375" s="56" t="inlineStr">
        <is>
          <t>Pet Grooming Glove</t>
        </is>
      </c>
      <c r="K375" s="56" t="inlineStr">
        <is>
          <t>Pets</t>
        </is>
      </c>
      <c r="L375" s="56" t="inlineStr">
        <is>
          <t>Yiwu Pet Products</t>
        </is>
      </c>
      <c r="M375" s="80" t="n">
        <v>20.66</v>
      </c>
      <c r="N375" s="80" t="n">
        <v>3.42</v>
      </c>
      <c r="O375" s="80" t="n">
        <v>2.63</v>
      </c>
      <c r="P375" s="80" t="n">
        <v>0.03</v>
      </c>
      <c r="Q375" s="80" t="n">
        <v>10.65</v>
      </c>
      <c r="R375" s="80" t="n">
        <v>2</v>
      </c>
      <c r="S375" s="80">
        <f>IF(AC375="Cancelled",0,M375*R375)</f>
        <v/>
      </c>
      <c r="T375" s="80">
        <f>IF(AC375="Cancelled",0,N375*R375)</f>
        <v/>
      </c>
      <c r="U375" s="80">
        <f>IF(AC375="Cancelled",0,O375*R375)</f>
        <v/>
      </c>
      <c r="V375" s="80">
        <f>IF(AC375="Cancelled",0,ROUND(P375*S375,2))</f>
        <v/>
      </c>
      <c r="W375" s="80" t="inlineStr">
        <is>
          <t>No</t>
        </is>
      </c>
      <c r="X375" s="80" t="n">
        <v>0</v>
      </c>
      <c r="Y375" s="80">
        <f>IF(AC375="Cancelled",0,T375+U375+V375+Q375+X375)</f>
        <v/>
      </c>
      <c r="Z375" s="80">
        <f>IF(AC375="Cancelled",-Q375,S375-Y375)</f>
        <v/>
      </c>
      <c r="AA375" s="81">
        <f>IF(OR(AC375="Cancelled",S375=0),0,Z375/S375)</f>
        <v/>
      </c>
      <c r="AB375" s="82">
        <f>IFERROR(S375/Q375,0)</f>
        <v/>
      </c>
      <c r="AC375" s="56" t="inlineStr">
        <is>
          <t>Delivered</t>
        </is>
      </c>
    </row>
    <row r="376" ht="14.25" customHeight="1" s="57">
      <c r="A376" s="56" t="inlineStr">
        <is>
          <t>ORD-00128</t>
        </is>
      </c>
      <c r="B376" s="79" t="n">
        <v>46025</v>
      </c>
      <c r="C376" s="56" t="n">
        <v>2026</v>
      </c>
      <c r="D376" s="56" t="n">
        <v>1</v>
      </c>
      <c r="E376" s="56" t="inlineStr">
        <is>
          <t>UAE</t>
        </is>
      </c>
      <c r="F376" s="56" t="inlineStr">
        <is>
          <t>Dubai</t>
        </is>
      </c>
      <c r="G376" s="56" t="inlineStr">
        <is>
          <t>Organic Search</t>
        </is>
      </c>
      <c r="H376" s="56" t="inlineStr">
        <is>
          <t>New Creative A/B</t>
        </is>
      </c>
      <c r="I376" s="56" t="inlineStr">
        <is>
          <t>P002</t>
        </is>
      </c>
      <c r="J376" s="56" t="inlineStr">
        <is>
          <t>Phone Case</t>
        </is>
      </c>
      <c r="K376" s="56" t="inlineStr">
        <is>
          <t>Accessories</t>
        </is>
      </c>
      <c r="L376" s="56" t="inlineStr">
        <is>
          <t>Guangzhou Cases Ltd.</t>
        </is>
      </c>
      <c r="M376" s="80" t="n">
        <v>15.9</v>
      </c>
      <c r="N376" s="80" t="n">
        <v>1.97</v>
      </c>
      <c r="O376" s="80" t="n">
        <v>1.98</v>
      </c>
      <c r="P376" s="80" t="n">
        <v>0.03</v>
      </c>
      <c r="Q376" s="80" t="n">
        <v>0</v>
      </c>
      <c r="R376" s="80" t="n">
        <v>3</v>
      </c>
      <c r="S376" s="80">
        <f>IF(AC376="Cancelled",0,M376*R376)</f>
        <v/>
      </c>
      <c r="T376" s="80">
        <f>IF(AC376="Cancelled",0,N376*R376)</f>
        <v/>
      </c>
      <c r="U376" s="80">
        <f>IF(AC376="Cancelled",0,O376*R376)</f>
        <v/>
      </c>
      <c r="V376" s="80">
        <f>IF(AC376="Cancelled",0,ROUND(P376*S376,2))</f>
        <v/>
      </c>
      <c r="W376" s="80" t="inlineStr">
        <is>
          <t>No</t>
        </is>
      </c>
      <c r="X376" s="80" t="n">
        <v>0</v>
      </c>
      <c r="Y376" s="80">
        <f>IF(AC376="Cancelled",0,T376+U376+V376+Q376+X376)</f>
        <v/>
      </c>
      <c r="Z376" s="80">
        <f>IF(AC376="Cancelled",-Q376,S376-Y376)</f>
        <v/>
      </c>
      <c r="AA376" s="81">
        <f>IF(OR(AC376="Cancelled",S376=0),0,Z376/S376)</f>
        <v/>
      </c>
      <c r="AB376" s="82">
        <f>IFERROR(S376/Q376,0)</f>
        <v/>
      </c>
      <c r="AC376" s="56" t="inlineStr">
        <is>
          <t>Delivered</t>
        </is>
      </c>
    </row>
    <row r="377" ht="14.25" customHeight="1" s="57">
      <c r="A377" s="56" t="inlineStr">
        <is>
          <t>ORD-00184</t>
        </is>
      </c>
      <c r="B377" s="79" t="n">
        <v>46025</v>
      </c>
      <c r="C377" s="56" t="n">
        <v>2026</v>
      </c>
      <c r="D377" s="56" t="n">
        <v>1</v>
      </c>
      <c r="E377" s="56" t="inlineStr">
        <is>
          <t>UAE</t>
        </is>
      </c>
      <c r="F377" s="56" t="inlineStr">
        <is>
          <t>Abu Dhabi</t>
        </is>
      </c>
      <c r="G377" s="56" t="inlineStr">
        <is>
          <t>Influencer</t>
        </is>
      </c>
      <c r="H377" s="56" t="inlineStr">
        <is>
          <t>Bundle Promo</t>
        </is>
      </c>
      <c r="I377" s="56" t="inlineStr">
        <is>
          <t>P009</t>
        </is>
      </c>
      <c r="J377" s="56" t="inlineStr">
        <is>
          <t>Car Vacuum Cleaner</t>
        </is>
      </c>
      <c r="K377" s="56" t="inlineStr">
        <is>
          <t>Automotive</t>
        </is>
      </c>
      <c r="L377" s="56" t="inlineStr">
        <is>
          <t>Dongguan Auto Tools</t>
        </is>
      </c>
      <c r="M377" s="80" t="n">
        <v>48.73</v>
      </c>
      <c r="N377" s="80" t="n">
        <v>13.96</v>
      </c>
      <c r="O377" s="80" t="n">
        <v>6.11</v>
      </c>
      <c r="P377" s="80" t="n">
        <v>0.03</v>
      </c>
      <c r="Q377" s="80" t="n">
        <v>3.24</v>
      </c>
      <c r="R377" s="80" t="n">
        <v>1</v>
      </c>
      <c r="S377" s="80">
        <f>IF(AC377="Cancelled",0,M377*R377)</f>
        <v/>
      </c>
      <c r="T377" s="80">
        <f>IF(AC377="Cancelled",0,N377*R377)</f>
        <v/>
      </c>
      <c r="U377" s="80">
        <f>IF(AC377="Cancelled",0,O377*R377)</f>
        <v/>
      </c>
      <c r="V377" s="80">
        <f>IF(AC377="Cancelled",0,ROUND(P377*S377,2))</f>
        <v/>
      </c>
      <c r="W377" s="80" t="inlineStr">
        <is>
          <t>No</t>
        </is>
      </c>
      <c r="X377" s="80" t="n">
        <v>0</v>
      </c>
      <c r="Y377" s="80">
        <f>IF(AC377="Cancelled",0,T377+U377+V377+Q377+X377)</f>
        <v/>
      </c>
      <c r="Z377" s="80">
        <f>IF(AC377="Cancelled",-Q377,S377-Y377)</f>
        <v/>
      </c>
      <c r="AA377" s="81">
        <f>IF(OR(AC377="Cancelled",S377=0),0,Z377/S377)</f>
        <v/>
      </c>
      <c r="AB377" s="82">
        <f>IFERROR(S377/Q377,0)</f>
        <v/>
      </c>
      <c r="AC377" s="56" t="inlineStr">
        <is>
          <t>Delivered</t>
        </is>
      </c>
    </row>
    <row r="378" ht="14.25" customHeight="1" s="57">
      <c r="A378" s="56" t="inlineStr">
        <is>
          <t>ORD-00207</t>
        </is>
      </c>
      <c r="B378" s="79" t="n">
        <v>46025</v>
      </c>
      <c r="C378" s="56" t="n">
        <v>2026</v>
      </c>
      <c r="D378" s="56" t="n">
        <v>1</v>
      </c>
      <c r="E378" s="56" t="inlineStr">
        <is>
          <t>Oman</t>
        </is>
      </c>
      <c r="F378" s="56" t="inlineStr">
        <is>
          <t>Muscat</t>
        </is>
      </c>
      <c r="G378" s="56" t="inlineStr">
        <is>
          <t>Meta Ads</t>
        </is>
      </c>
      <c r="H378" s="56" t="inlineStr">
        <is>
          <t>Summer Sale</t>
        </is>
      </c>
      <c r="I378" s="56" t="inlineStr">
        <is>
          <t>P005</t>
        </is>
      </c>
      <c r="J378" s="56" t="inlineStr">
        <is>
          <t>Mini Printer</t>
        </is>
      </c>
      <c r="K378" s="56" t="inlineStr">
        <is>
          <t>Electronics</t>
        </is>
      </c>
      <c r="L378" s="56" t="inlineStr">
        <is>
          <t>Shenzhen Print Tech</t>
        </is>
      </c>
      <c r="M378" s="80" t="n">
        <v>58.78</v>
      </c>
      <c r="N378" s="80" t="n">
        <v>22.54</v>
      </c>
      <c r="O378" s="80" t="n">
        <v>7.08</v>
      </c>
      <c r="P378" s="80" t="n">
        <v>0.03</v>
      </c>
      <c r="Q378" s="80" t="n">
        <v>11.28</v>
      </c>
      <c r="R378" s="80" t="n">
        <v>2</v>
      </c>
      <c r="S378" s="80">
        <f>IF(AC378="Cancelled",0,M378*R378)</f>
        <v/>
      </c>
      <c r="T378" s="80">
        <f>IF(AC378="Cancelled",0,N378*R378)</f>
        <v/>
      </c>
      <c r="U378" s="80">
        <f>IF(AC378="Cancelled",0,O378*R378)</f>
        <v/>
      </c>
      <c r="V378" s="80">
        <f>IF(AC378="Cancelled",0,ROUND(P378*S378,2))</f>
        <v/>
      </c>
      <c r="W378" s="80" t="inlineStr">
        <is>
          <t>No</t>
        </is>
      </c>
      <c r="X378" s="80" t="n">
        <v>0</v>
      </c>
      <c r="Y378" s="80">
        <f>IF(AC378="Cancelled",0,T378+U378+V378+Q378+X378)</f>
        <v/>
      </c>
      <c r="Z378" s="80">
        <f>IF(AC378="Cancelled",-Q378,S378-Y378)</f>
        <v/>
      </c>
      <c r="AA378" s="81">
        <f>IF(OR(AC378="Cancelled",S378=0),0,Z378/S378)</f>
        <v/>
      </c>
      <c r="AB378" s="82">
        <f>IFERROR(S378/Q378,0)</f>
        <v/>
      </c>
      <c r="AC378" s="56" t="inlineStr">
        <is>
          <t>Delivered</t>
        </is>
      </c>
    </row>
    <row r="379" ht="14.25" customHeight="1" s="57">
      <c r="A379" s="56" t="inlineStr">
        <is>
          <t>ORD-00406</t>
        </is>
      </c>
      <c r="B379" s="79" t="n">
        <v>46025</v>
      </c>
      <c r="C379" s="56" t="n">
        <v>2026</v>
      </c>
      <c r="D379" s="56" t="n">
        <v>1</v>
      </c>
      <c r="E379" s="56" t="inlineStr">
        <is>
          <t>Saudi Arabia</t>
        </is>
      </c>
      <c r="F379" s="56" t="inlineStr">
        <is>
          <t>Jeddah</t>
        </is>
      </c>
      <c r="G379" s="56" t="inlineStr">
        <is>
          <t>Organic Search</t>
        </is>
      </c>
      <c r="H379" s="56" t="inlineStr">
        <is>
          <t>Bundle Promo</t>
        </is>
      </c>
      <c r="I379" s="56" t="inlineStr">
        <is>
          <t>P010</t>
        </is>
      </c>
      <c r="J379" s="56" t="inlineStr">
        <is>
          <t>Smart Water Bottle</t>
        </is>
      </c>
      <c r="K379" s="56" t="inlineStr">
        <is>
          <t>Lifestyle</t>
        </is>
      </c>
      <c r="L379" s="56" t="inlineStr">
        <is>
          <t>Shenzhen Smart Home</t>
        </is>
      </c>
      <c r="M379" s="80" t="n">
        <v>33.28</v>
      </c>
      <c r="N379" s="80" t="n">
        <v>9.529999999999999</v>
      </c>
      <c r="O379" s="80" t="n">
        <v>3.81</v>
      </c>
      <c r="P379" s="80" t="n">
        <v>0.03</v>
      </c>
      <c r="Q379" s="80" t="n">
        <v>0</v>
      </c>
      <c r="R379" s="80" t="n">
        <v>2</v>
      </c>
      <c r="S379" s="80">
        <f>IF(AC379="Cancelled",0,M379*R379)</f>
        <v/>
      </c>
      <c r="T379" s="80">
        <f>IF(AC379="Cancelled",0,N379*R379)</f>
        <v/>
      </c>
      <c r="U379" s="80">
        <f>IF(AC379="Cancelled",0,O379*R379)</f>
        <v/>
      </c>
      <c r="V379" s="80">
        <f>IF(AC379="Cancelled",0,ROUND(P379*S379,2))</f>
        <v/>
      </c>
      <c r="W379" s="80" t="inlineStr">
        <is>
          <t>No</t>
        </is>
      </c>
      <c r="X379" s="80" t="n">
        <v>0</v>
      </c>
      <c r="Y379" s="80">
        <f>IF(AC379="Cancelled",0,T379+U379+V379+Q379+X379)</f>
        <v/>
      </c>
      <c r="Z379" s="80">
        <f>IF(AC379="Cancelled",-Q379,S379-Y379)</f>
        <v/>
      </c>
      <c r="AA379" s="81">
        <f>IF(OR(AC379="Cancelled",S379=0),0,Z379/S379)</f>
        <v/>
      </c>
      <c r="AB379" s="82">
        <f>IFERROR(S379/Q379,0)</f>
        <v/>
      </c>
      <c r="AC379" s="56" t="inlineStr">
        <is>
          <t>Delivered</t>
        </is>
      </c>
    </row>
    <row r="380" ht="14.25" customHeight="1" s="57">
      <c r="A380" s="56" t="inlineStr">
        <is>
          <t>ORD-00049</t>
        </is>
      </c>
      <c r="B380" s="79" t="n">
        <v>46026</v>
      </c>
      <c r="C380" s="56" t="n">
        <v>2026</v>
      </c>
      <c r="D380" s="56" t="n">
        <v>1</v>
      </c>
      <c r="E380" s="56" t="inlineStr">
        <is>
          <t>Saudi Arabia</t>
        </is>
      </c>
      <c r="F380" s="56" t="inlineStr">
        <is>
          <t>Riyadh</t>
        </is>
      </c>
      <c r="G380" s="56" t="inlineStr">
        <is>
          <t>Organic Search</t>
        </is>
      </c>
      <c r="H380" s="56" t="inlineStr">
        <is>
          <t>Retargeting</t>
        </is>
      </c>
      <c r="I380" s="56" t="inlineStr">
        <is>
          <t>P003</t>
        </is>
      </c>
      <c r="J380" s="56" t="inlineStr">
        <is>
          <t>LED Strip Lights</t>
        </is>
      </c>
      <c r="K380" s="56" t="inlineStr">
        <is>
          <t>Home Decor</t>
        </is>
      </c>
      <c r="L380" s="56" t="inlineStr">
        <is>
          <t>Yiwu Lighting Factory</t>
        </is>
      </c>
      <c r="M380" s="80" t="n">
        <v>26.26</v>
      </c>
      <c r="N380" s="80" t="n">
        <v>6.34</v>
      </c>
      <c r="O380" s="80" t="n">
        <v>3.49</v>
      </c>
      <c r="P380" s="80" t="n">
        <v>0.03</v>
      </c>
      <c r="Q380" s="80" t="n">
        <v>0</v>
      </c>
      <c r="R380" s="80" t="n">
        <v>2</v>
      </c>
      <c r="S380" s="80">
        <f>IF(AC380="Cancelled",0,M380*R380)</f>
        <v/>
      </c>
      <c r="T380" s="80">
        <f>IF(AC380="Cancelled",0,N380*R380)</f>
        <v/>
      </c>
      <c r="U380" s="80">
        <f>IF(AC380="Cancelled",0,O380*R380)</f>
        <v/>
      </c>
      <c r="V380" s="80">
        <f>IF(AC380="Cancelled",0,ROUND(P380*S380,2))</f>
        <v/>
      </c>
      <c r="W380" s="80" t="inlineStr">
        <is>
          <t>No</t>
        </is>
      </c>
      <c r="X380" s="80" t="n">
        <v>0</v>
      </c>
      <c r="Y380" s="80">
        <f>IF(AC380="Cancelled",0,T380+U380+V380+Q380+X380)</f>
        <v/>
      </c>
      <c r="Z380" s="80">
        <f>IF(AC380="Cancelled",-Q380,S380-Y380)</f>
        <v/>
      </c>
      <c r="AA380" s="81">
        <f>IF(OR(AC380="Cancelled",S380=0),0,Z380/S380)</f>
        <v/>
      </c>
      <c r="AB380" s="82">
        <f>IFERROR(S380/Q380,0)</f>
        <v/>
      </c>
      <c r="AC380" s="56" t="inlineStr">
        <is>
          <t>Delivered</t>
        </is>
      </c>
    </row>
    <row r="381" ht="14.25" customHeight="1" s="57">
      <c r="A381" s="56" t="inlineStr">
        <is>
          <t>ORD-00174</t>
        </is>
      </c>
      <c r="B381" s="79" t="n">
        <v>46026</v>
      </c>
      <c r="C381" s="56" t="n">
        <v>2026</v>
      </c>
      <c r="D381" s="56" t="n">
        <v>1</v>
      </c>
      <c r="E381" s="56" t="inlineStr">
        <is>
          <t>Oman</t>
        </is>
      </c>
      <c r="F381" s="56" t="inlineStr">
        <is>
          <t>Muscat</t>
        </is>
      </c>
      <c r="G381" s="56" t="inlineStr">
        <is>
          <t>Meta Ads</t>
        </is>
      </c>
      <c r="H381" s="56" t="inlineStr">
        <is>
          <t>Bundle Promo</t>
        </is>
      </c>
      <c r="I381" s="56" t="inlineStr">
        <is>
          <t>P010</t>
        </is>
      </c>
      <c r="J381" s="56" t="inlineStr">
        <is>
          <t>Smart Water Bottle</t>
        </is>
      </c>
      <c r="K381" s="56" t="inlineStr">
        <is>
          <t>Lifestyle</t>
        </is>
      </c>
      <c r="L381" s="56" t="inlineStr">
        <is>
          <t>Shenzhen Smart Home</t>
        </is>
      </c>
      <c r="M381" s="80" t="n">
        <v>31.74</v>
      </c>
      <c r="N381" s="80" t="n">
        <v>10.6</v>
      </c>
      <c r="O381" s="80" t="n">
        <v>4.45</v>
      </c>
      <c r="P381" s="80" t="n">
        <v>0.03</v>
      </c>
      <c r="Q381" s="80" t="n">
        <v>8.84</v>
      </c>
      <c r="R381" s="80" t="n">
        <v>1</v>
      </c>
      <c r="S381" s="80">
        <f>IF(AC381="Cancelled",0,M381*R381)</f>
        <v/>
      </c>
      <c r="T381" s="80">
        <f>IF(AC381="Cancelled",0,N381*R381)</f>
        <v/>
      </c>
      <c r="U381" s="80">
        <f>IF(AC381="Cancelled",0,O381*R381)</f>
        <v/>
      </c>
      <c r="V381" s="80">
        <f>IF(AC381="Cancelled",0,ROUND(P381*S381,2))</f>
        <v/>
      </c>
      <c r="W381" s="80" t="inlineStr">
        <is>
          <t>No</t>
        </is>
      </c>
      <c r="X381" s="80" t="n">
        <v>0</v>
      </c>
      <c r="Y381" s="80">
        <f>IF(AC381="Cancelled",0,T381+U381+V381+Q381+X381)</f>
        <v/>
      </c>
      <c r="Z381" s="80">
        <f>IF(AC381="Cancelled",-Q381,S381-Y381)</f>
        <v/>
      </c>
      <c r="AA381" s="81">
        <f>IF(OR(AC381="Cancelled",S381=0),0,Z381/S381)</f>
        <v/>
      </c>
      <c r="AB381" s="82">
        <f>IFERROR(S381/Q381,0)</f>
        <v/>
      </c>
      <c r="AC381" s="56" t="inlineStr">
        <is>
          <t>Delivered</t>
        </is>
      </c>
    </row>
    <row r="382" ht="14.25" customHeight="1" s="57">
      <c r="A382" s="56" t="inlineStr">
        <is>
          <t>ORD-00247</t>
        </is>
      </c>
      <c r="B382" s="79" t="n">
        <v>46027</v>
      </c>
      <c r="C382" s="56" t="n">
        <v>2026</v>
      </c>
      <c r="D382" s="56" t="n">
        <v>1</v>
      </c>
      <c r="E382" s="56" t="inlineStr">
        <is>
          <t>Kuwait</t>
        </is>
      </c>
      <c r="F382" s="56" t="inlineStr">
        <is>
          <t>Kuwait City</t>
        </is>
      </c>
      <c r="G382" s="56" t="inlineStr">
        <is>
          <t>TikTok Ads</t>
        </is>
      </c>
      <c r="H382" s="56" t="inlineStr">
        <is>
          <t>Launch Test</t>
        </is>
      </c>
      <c r="I382" s="56" t="inlineStr">
        <is>
          <t>P001</t>
        </is>
      </c>
      <c r="J382" s="56" t="inlineStr">
        <is>
          <t>Wireless Earbuds</t>
        </is>
      </c>
      <c r="K382" s="56" t="inlineStr">
        <is>
          <t>Electronics</t>
        </is>
      </c>
      <c r="L382" s="56" t="inlineStr">
        <is>
          <t>Shenzhen Audio Co.</t>
        </is>
      </c>
      <c r="M382" s="80" t="n">
        <v>36.4</v>
      </c>
      <c r="N382" s="80" t="n">
        <v>9.15</v>
      </c>
      <c r="O382" s="80" t="n">
        <v>4.45</v>
      </c>
      <c r="P382" s="80" t="n">
        <v>0.03</v>
      </c>
      <c r="Q382" s="80" t="n">
        <v>8.119999999999999</v>
      </c>
      <c r="R382" s="80" t="n">
        <v>1</v>
      </c>
      <c r="S382" s="80">
        <f>IF(AC382="Cancelled",0,M382*R382)</f>
        <v/>
      </c>
      <c r="T382" s="80">
        <f>IF(AC382="Cancelled",0,N382*R382)</f>
        <v/>
      </c>
      <c r="U382" s="80">
        <f>IF(AC382="Cancelled",0,O382*R382)</f>
        <v/>
      </c>
      <c r="V382" s="80">
        <f>IF(AC382="Cancelled",0,ROUND(P382*S382,2))</f>
        <v/>
      </c>
      <c r="W382" s="80" t="inlineStr">
        <is>
          <t>No</t>
        </is>
      </c>
      <c r="X382" s="80" t="n">
        <v>0</v>
      </c>
      <c r="Y382" s="80">
        <f>IF(AC382="Cancelled",0,T382+U382+V382+Q382+X382)</f>
        <v/>
      </c>
      <c r="Z382" s="80">
        <f>IF(AC382="Cancelled",-Q382,S382-Y382)</f>
        <v/>
      </c>
      <c r="AA382" s="81">
        <f>IF(OR(AC382="Cancelled",S382=0),0,Z382/S382)</f>
        <v/>
      </c>
      <c r="AB382" s="82">
        <f>IFERROR(S382/Q382,0)</f>
        <v/>
      </c>
      <c r="AC382" s="56" t="inlineStr">
        <is>
          <t>Delivered</t>
        </is>
      </c>
    </row>
    <row r="383" ht="14.25" customHeight="1" s="57">
      <c r="A383" s="56" t="inlineStr">
        <is>
          <t>ORD-00405</t>
        </is>
      </c>
      <c r="B383" s="79" t="n">
        <v>46027</v>
      </c>
      <c r="C383" s="56" t="n">
        <v>2026</v>
      </c>
      <c r="D383" s="56" t="n">
        <v>1</v>
      </c>
      <c r="E383" s="56" t="inlineStr">
        <is>
          <t>UAE</t>
        </is>
      </c>
      <c r="F383" s="56" t="inlineStr">
        <is>
          <t>Dubai</t>
        </is>
      </c>
      <c r="G383" s="56" t="inlineStr">
        <is>
          <t>Influencer</t>
        </is>
      </c>
      <c r="H383" s="56" t="inlineStr">
        <is>
          <t>Retargeting</t>
        </is>
      </c>
      <c r="I383" s="56" t="inlineStr">
        <is>
          <t>P005</t>
        </is>
      </c>
      <c r="J383" s="56" t="inlineStr">
        <is>
          <t>Mini Printer</t>
        </is>
      </c>
      <c r="K383" s="56" t="inlineStr">
        <is>
          <t>Electronics</t>
        </is>
      </c>
      <c r="L383" s="56" t="inlineStr">
        <is>
          <t>Shenzhen Print Tech</t>
        </is>
      </c>
      <c r="M383" s="80" t="n">
        <v>66.87</v>
      </c>
      <c r="N383" s="80" t="n">
        <v>23.66</v>
      </c>
      <c r="O383" s="80" t="n">
        <v>6.52</v>
      </c>
      <c r="P383" s="80" t="n">
        <v>0.03</v>
      </c>
      <c r="Q383" s="80" t="n">
        <v>9.970000000000001</v>
      </c>
      <c r="R383" s="80" t="n">
        <v>1</v>
      </c>
      <c r="S383" s="80">
        <f>IF(AC383="Cancelled",0,M383*R383)</f>
        <v/>
      </c>
      <c r="T383" s="80">
        <f>IF(AC383="Cancelled",0,N383*R383)</f>
        <v/>
      </c>
      <c r="U383" s="80">
        <f>IF(AC383="Cancelled",0,O383*R383)</f>
        <v/>
      </c>
      <c r="V383" s="80">
        <f>IF(AC383="Cancelled",0,ROUND(P383*S383,2))</f>
        <v/>
      </c>
      <c r="W383" s="80" t="inlineStr">
        <is>
          <t>Yes</t>
        </is>
      </c>
      <c r="X383" s="80" t="n">
        <v>46.83</v>
      </c>
      <c r="Y383" s="80">
        <f>IF(AC383="Cancelled",0,T383+U383+V383+Q383+X383)</f>
        <v/>
      </c>
      <c r="Z383" s="80">
        <f>IF(AC383="Cancelled",-Q383,S383-Y383)</f>
        <v/>
      </c>
      <c r="AA383" s="81">
        <f>IF(OR(AC383="Cancelled",S383=0),0,Z383/S383)</f>
        <v/>
      </c>
      <c r="AB383" s="82">
        <f>IFERROR(S383/Q383,0)</f>
        <v/>
      </c>
      <c r="AC383" s="56" t="inlineStr">
        <is>
          <t>Refunded</t>
        </is>
      </c>
    </row>
    <row r="384" ht="14.25" customHeight="1" s="57">
      <c r="A384" s="56" t="inlineStr">
        <is>
          <t>ORD-00069</t>
        </is>
      </c>
      <c r="B384" s="79" t="n">
        <v>46028</v>
      </c>
      <c r="C384" s="56" t="n">
        <v>2026</v>
      </c>
      <c r="D384" s="56" t="n">
        <v>1</v>
      </c>
      <c r="E384" s="56" t="inlineStr">
        <is>
          <t>Saudi Arabia</t>
        </is>
      </c>
      <c r="F384" s="56" t="inlineStr">
        <is>
          <t>Riyadh</t>
        </is>
      </c>
      <c r="G384" s="56" t="inlineStr">
        <is>
          <t>TikTok Ads</t>
        </is>
      </c>
      <c r="H384" s="56" t="inlineStr">
        <is>
          <t>New Creative A/B</t>
        </is>
      </c>
      <c r="I384" s="56" t="inlineStr">
        <is>
          <t>P002</t>
        </is>
      </c>
      <c r="J384" s="56" t="inlineStr">
        <is>
          <t>Phone Case</t>
        </is>
      </c>
      <c r="K384" s="56" t="inlineStr">
        <is>
          <t>Accessories</t>
        </is>
      </c>
      <c r="L384" s="56" t="inlineStr">
        <is>
          <t>Guangzhou Cases Ltd.</t>
        </is>
      </c>
      <c r="M384" s="80" t="n">
        <v>15.99</v>
      </c>
      <c r="N384" s="80" t="n">
        <v>2.04</v>
      </c>
      <c r="O384" s="80" t="n">
        <v>2.21</v>
      </c>
      <c r="P384" s="80" t="n">
        <v>0.03</v>
      </c>
      <c r="Q384" s="80" t="n">
        <v>4.33</v>
      </c>
      <c r="R384" s="80" t="n">
        <v>1</v>
      </c>
      <c r="S384" s="80">
        <f>IF(AC384="Cancelled",0,M384*R384)</f>
        <v/>
      </c>
      <c r="T384" s="80">
        <f>IF(AC384="Cancelled",0,N384*R384)</f>
        <v/>
      </c>
      <c r="U384" s="80">
        <f>IF(AC384="Cancelled",0,O384*R384)</f>
        <v/>
      </c>
      <c r="V384" s="80">
        <f>IF(AC384="Cancelled",0,ROUND(P384*S384,2))</f>
        <v/>
      </c>
      <c r="W384" s="80" t="inlineStr">
        <is>
          <t>No</t>
        </is>
      </c>
      <c r="X384" s="80" t="n">
        <v>0</v>
      </c>
      <c r="Y384" s="80">
        <f>IF(AC384="Cancelled",0,T384+U384+V384+Q384+X384)</f>
        <v/>
      </c>
      <c r="Z384" s="80">
        <f>IF(AC384="Cancelled",-Q384,S384-Y384)</f>
        <v/>
      </c>
      <c r="AA384" s="81">
        <f>IF(OR(AC384="Cancelled",S384=0),0,Z384/S384)</f>
        <v/>
      </c>
      <c r="AB384" s="82">
        <f>IFERROR(S384/Q384,0)</f>
        <v/>
      </c>
      <c r="AC384" s="56" t="inlineStr">
        <is>
          <t>Delivered</t>
        </is>
      </c>
    </row>
    <row r="385" ht="14.25" customHeight="1" s="57">
      <c r="A385" s="56" t="inlineStr">
        <is>
          <t>ORD-00096</t>
        </is>
      </c>
      <c r="B385" s="79" t="n">
        <v>46028</v>
      </c>
      <c r="C385" s="56" t="n">
        <v>2026</v>
      </c>
      <c r="D385" s="56" t="n">
        <v>1</v>
      </c>
      <c r="E385" s="56" t="inlineStr">
        <is>
          <t>UAE</t>
        </is>
      </c>
      <c r="F385" s="56" t="inlineStr">
        <is>
          <t>Sharjah</t>
        </is>
      </c>
      <c r="G385" s="56" t="inlineStr">
        <is>
          <t>Meta Ads</t>
        </is>
      </c>
      <c r="H385" s="56" t="inlineStr">
        <is>
          <t>Bundle Promo</t>
        </is>
      </c>
      <c r="I385" s="56" t="inlineStr">
        <is>
          <t>P001</t>
        </is>
      </c>
      <c r="J385" s="56" t="inlineStr">
        <is>
          <t>Wireless Earbuds</t>
        </is>
      </c>
      <c r="K385" s="56" t="inlineStr">
        <is>
          <t>Electronics</t>
        </is>
      </c>
      <c r="L385" s="56" t="inlineStr">
        <is>
          <t>Shenzhen Audio Co.</t>
        </is>
      </c>
      <c r="M385" s="80" t="n">
        <v>39.09</v>
      </c>
      <c r="N385" s="80" t="n">
        <v>8.460000000000001</v>
      </c>
      <c r="O385" s="80" t="n">
        <v>4.23</v>
      </c>
      <c r="P385" s="80" t="n">
        <v>0.03</v>
      </c>
      <c r="Q385" s="80" t="n">
        <v>17.26</v>
      </c>
      <c r="R385" s="80" t="n">
        <v>3</v>
      </c>
      <c r="S385" s="80">
        <f>IF(AC385="Cancelled",0,M385*R385)</f>
        <v/>
      </c>
      <c r="T385" s="80">
        <f>IF(AC385="Cancelled",0,N385*R385)</f>
        <v/>
      </c>
      <c r="U385" s="80">
        <f>IF(AC385="Cancelled",0,O385*R385)</f>
        <v/>
      </c>
      <c r="V385" s="80">
        <f>IF(AC385="Cancelled",0,ROUND(P385*S385,2))</f>
        <v/>
      </c>
      <c r="W385" s="80" t="inlineStr">
        <is>
          <t>Yes</t>
        </is>
      </c>
      <c r="X385" s="80" t="n">
        <v>105.35</v>
      </c>
      <c r="Y385" s="80">
        <f>IF(AC385="Cancelled",0,T385+U385+V385+Q385+X385)</f>
        <v/>
      </c>
      <c r="Z385" s="80">
        <f>IF(AC385="Cancelled",-Q385,S385-Y385)</f>
        <v/>
      </c>
      <c r="AA385" s="81">
        <f>IF(OR(AC385="Cancelled",S385=0),0,Z385/S385)</f>
        <v/>
      </c>
      <c r="AB385" s="82">
        <f>IFERROR(S385/Q385,0)</f>
        <v/>
      </c>
      <c r="AC385" s="56" t="inlineStr">
        <is>
          <t>Refunded</t>
        </is>
      </c>
    </row>
    <row r="386" ht="14.25" customHeight="1" s="57">
      <c r="A386" s="56" t="inlineStr">
        <is>
          <t>ORD-00129</t>
        </is>
      </c>
      <c r="B386" s="79" t="n">
        <v>46028</v>
      </c>
      <c r="C386" s="56" t="n">
        <v>2026</v>
      </c>
      <c r="D386" s="56" t="n">
        <v>1</v>
      </c>
      <c r="E386" s="56" t="inlineStr">
        <is>
          <t>Qatar</t>
        </is>
      </c>
      <c r="F386" s="56" t="inlineStr">
        <is>
          <t>Doha</t>
        </is>
      </c>
      <c r="G386" s="56" t="inlineStr">
        <is>
          <t>TikTok Ads</t>
        </is>
      </c>
      <c r="H386" s="56" t="inlineStr">
        <is>
          <t>Bundle Promo</t>
        </is>
      </c>
      <c r="I386" s="56" t="inlineStr">
        <is>
          <t>P005</t>
        </is>
      </c>
      <c r="J386" s="56" t="inlineStr">
        <is>
          <t>Mini Printer</t>
        </is>
      </c>
      <c r="K386" s="56" t="inlineStr">
        <is>
          <t>Electronics</t>
        </is>
      </c>
      <c r="L386" s="56" t="inlineStr">
        <is>
          <t>Shenzhen Print Tech</t>
        </is>
      </c>
      <c r="M386" s="80" t="n">
        <v>65.69</v>
      </c>
      <c r="N386" s="80" t="n">
        <v>23.16</v>
      </c>
      <c r="O386" s="80" t="n">
        <v>7.57</v>
      </c>
      <c r="P386" s="80" t="n">
        <v>0.03</v>
      </c>
      <c r="Q386" s="80" t="n">
        <v>10.75</v>
      </c>
      <c r="R386" s="80" t="n">
        <v>2</v>
      </c>
      <c r="S386" s="80">
        <f>IF(AC386="Cancelled",0,M386*R386)</f>
        <v/>
      </c>
      <c r="T386" s="80">
        <f>IF(AC386="Cancelled",0,N386*R386)</f>
        <v/>
      </c>
      <c r="U386" s="80">
        <f>IF(AC386="Cancelled",0,O386*R386)</f>
        <v/>
      </c>
      <c r="V386" s="80">
        <f>IF(AC386="Cancelled",0,ROUND(P386*S386,2))</f>
        <v/>
      </c>
      <c r="W386" s="80" t="inlineStr">
        <is>
          <t>No</t>
        </is>
      </c>
      <c r="X386" s="80" t="n">
        <v>0</v>
      </c>
      <c r="Y386" s="80">
        <f>IF(AC386="Cancelled",0,T386+U386+V386+Q386+X386)</f>
        <v/>
      </c>
      <c r="Z386" s="80">
        <f>IF(AC386="Cancelled",-Q386,S386-Y386)</f>
        <v/>
      </c>
      <c r="AA386" s="81">
        <f>IF(OR(AC386="Cancelled",S386=0),0,Z386/S386)</f>
        <v/>
      </c>
      <c r="AB386" s="82">
        <f>IFERROR(S386/Q386,0)</f>
        <v/>
      </c>
      <c r="AC386" s="56" t="inlineStr">
        <is>
          <t>Delivered</t>
        </is>
      </c>
    </row>
    <row r="387" ht="14.25" customHeight="1" s="57">
      <c r="A387" s="56" t="inlineStr">
        <is>
          <t>ORD-00121</t>
        </is>
      </c>
      <c r="B387" s="79" t="n">
        <v>46030</v>
      </c>
      <c r="C387" s="56" t="n">
        <v>2026</v>
      </c>
      <c r="D387" s="56" t="n">
        <v>1</v>
      </c>
      <c r="E387" s="56" t="inlineStr">
        <is>
          <t>UAE</t>
        </is>
      </c>
      <c r="F387" s="56" t="inlineStr">
        <is>
          <t>Dubai</t>
        </is>
      </c>
      <c r="G387" s="56" t="inlineStr">
        <is>
          <t>Meta Ads</t>
        </is>
      </c>
      <c r="H387" s="56" t="inlineStr">
        <is>
          <t>Bundle Promo</t>
        </is>
      </c>
      <c r="I387" s="56" t="inlineStr">
        <is>
          <t>P006</t>
        </is>
      </c>
      <c r="J387" s="56" t="inlineStr">
        <is>
          <t>Posture Corrector</t>
        </is>
      </c>
      <c r="K387" s="56" t="inlineStr">
        <is>
          <t>Fitness</t>
        </is>
      </c>
      <c r="L387" s="56" t="inlineStr">
        <is>
          <t>Hangzhou Health Gear</t>
        </is>
      </c>
      <c r="M387" s="80" t="n">
        <v>34.84</v>
      </c>
      <c r="N387" s="80" t="n">
        <v>9.220000000000001</v>
      </c>
      <c r="O387" s="80" t="n">
        <v>3.65</v>
      </c>
      <c r="P387" s="80" t="n">
        <v>0.03</v>
      </c>
      <c r="Q387" s="80" t="n">
        <v>5.16</v>
      </c>
      <c r="R387" s="80" t="n">
        <v>1</v>
      </c>
      <c r="S387" s="80">
        <f>IF(AC387="Cancelled",0,M387*R387)</f>
        <v/>
      </c>
      <c r="T387" s="80">
        <f>IF(AC387="Cancelled",0,N387*R387)</f>
        <v/>
      </c>
      <c r="U387" s="80">
        <f>IF(AC387="Cancelled",0,O387*R387)</f>
        <v/>
      </c>
      <c r="V387" s="80">
        <f>IF(AC387="Cancelled",0,ROUND(P387*S387,2))</f>
        <v/>
      </c>
      <c r="W387" s="80" t="inlineStr">
        <is>
          <t>No</t>
        </is>
      </c>
      <c r="X387" s="80" t="n">
        <v>0</v>
      </c>
      <c r="Y387" s="80">
        <f>IF(AC387="Cancelled",0,T387+U387+V387+Q387+X387)</f>
        <v/>
      </c>
      <c r="Z387" s="80">
        <f>IF(AC387="Cancelled",-Q387,S387-Y387)</f>
        <v/>
      </c>
      <c r="AA387" s="81">
        <f>IF(OR(AC387="Cancelled",S387=0),0,Z387/S387)</f>
        <v/>
      </c>
      <c r="AB387" s="82">
        <f>IFERROR(S387/Q387,0)</f>
        <v/>
      </c>
      <c r="AC387" s="56" t="inlineStr">
        <is>
          <t>Delivered</t>
        </is>
      </c>
    </row>
    <row r="388" ht="14.25" customHeight="1" s="57">
      <c r="A388" s="56" t="inlineStr">
        <is>
          <t>ORD-00087</t>
        </is>
      </c>
      <c r="B388" s="79" t="n">
        <v>46031</v>
      </c>
      <c r="C388" s="56" t="n">
        <v>2026</v>
      </c>
      <c r="D388" s="56" t="n">
        <v>1</v>
      </c>
      <c r="E388" s="56" t="inlineStr">
        <is>
          <t>Qatar</t>
        </is>
      </c>
      <c r="F388" s="56" t="inlineStr">
        <is>
          <t>Doha</t>
        </is>
      </c>
      <c r="G388" s="56" t="inlineStr">
        <is>
          <t>Google Ads</t>
        </is>
      </c>
      <c r="H388" s="56" t="inlineStr">
        <is>
          <t>Summer Sale</t>
        </is>
      </c>
      <c r="I388" s="56" t="inlineStr">
        <is>
          <t>P001</t>
        </is>
      </c>
      <c r="J388" s="56" t="inlineStr">
        <is>
          <t>Wireless Earbuds</t>
        </is>
      </c>
      <c r="K388" s="56" t="inlineStr">
        <is>
          <t>Electronics</t>
        </is>
      </c>
      <c r="L388" s="56" t="inlineStr">
        <is>
          <t>Shenzhen Audio Co.</t>
        </is>
      </c>
      <c r="M388" s="80" t="n">
        <v>37.55</v>
      </c>
      <c r="N388" s="80" t="n">
        <v>9.15</v>
      </c>
      <c r="O388" s="80" t="n">
        <v>4.41</v>
      </c>
      <c r="P388" s="80" t="n">
        <v>0.03</v>
      </c>
      <c r="Q388" s="80" t="n">
        <v>15.14</v>
      </c>
      <c r="R388" s="80" t="n">
        <v>2</v>
      </c>
      <c r="S388" s="80">
        <f>IF(AC388="Cancelled",0,M388*R388)</f>
        <v/>
      </c>
      <c r="T388" s="80">
        <f>IF(AC388="Cancelled",0,N388*R388)</f>
        <v/>
      </c>
      <c r="U388" s="80">
        <f>IF(AC388="Cancelled",0,O388*R388)</f>
        <v/>
      </c>
      <c r="V388" s="80">
        <f>IF(AC388="Cancelled",0,ROUND(P388*S388,2))</f>
        <v/>
      </c>
      <c r="W388" s="80" t="inlineStr">
        <is>
          <t>No</t>
        </is>
      </c>
      <c r="X388" s="80" t="n">
        <v>0</v>
      </c>
      <c r="Y388" s="80">
        <f>IF(AC388="Cancelled",0,T388+U388+V388+Q388+X388)</f>
        <v/>
      </c>
      <c r="Z388" s="80">
        <f>IF(AC388="Cancelled",-Q388,S388-Y388)</f>
        <v/>
      </c>
      <c r="AA388" s="81">
        <f>IF(OR(AC388="Cancelled",S388=0),0,Z388/S388)</f>
        <v/>
      </c>
      <c r="AB388" s="82">
        <f>IFERROR(S388/Q388,0)</f>
        <v/>
      </c>
      <c r="AC388" s="56" t="inlineStr">
        <is>
          <t>Delivered</t>
        </is>
      </c>
    </row>
    <row r="389" ht="14.25" customHeight="1" s="57">
      <c r="A389" s="56" t="inlineStr">
        <is>
          <t>ORD-00444</t>
        </is>
      </c>
      <c r="B389" s="79" t="n">
        <v>46033</v>
      </c>
      <c r="C389" s="56" t="n">
        <v>2026</v>
      </c>
      <c r="D389" s="56" t="n">
        <v>1</v>
      </c>
      <c r="E389" s="56" t="inlineStr">
        <is>
          <t>UAE</t>
        </is>
      </c>
      <c r="F389" s="56" t="inlineStr">
        <is>
          <t>Abu Dhabi</t>
        </is>
      </c>
      <c r="G389" s="56" t="inlineStr">
        <is>
          <t>TikTok Ads</t>
        </is>
      </c>
      <c r="H389" s="56" t="inlineStr">
        <is>
          <t>Launch Test</t>
        </is>
      </c>
      <c r="I389" s="56" t="inlineStr">
        <is>
          <t>P004</t>
        </is>
      </c>
      <c r="J389" s="56" t="inlineStr">
        <is>
          <t>Beauty Tool</t>
        </is>
      </c>
      <c r="K389" s="56" t="inlineStr">
        <is>
          <t>Beauty</t>
        </is>
      </c>
      <c r="L389" s="56" t="inlineStr">
        <is>
          <t>Ningbo Beauty Supply</t>
        </is>
      </c>
      <c r="M389" s="80" t="n">
        <v>32.24</v>
      </c>
      <c r="N389" s="80" t="n">
        <v>7.36</v>
      </c>
      <c r="O389" s="80" t="n">
        <v>4.95</v>
      </c>
      <c r="P389" s="80" t="n">
        <v>0.03</v>
      </c>
      <c r="Q389" s="80" t="n">
        <v>15.24</v>
      </c>
      <c r="R389" s="80" t="n">
        <v>3</v>
      </c>
      <c r="S389" s="80">
        <f>IF(AC389="Cancelled",0,M389*R389)</f>
        <v/>
      </c>
      <c r="T389" s="80">
        <f>IF(AC389="Cancelled",0,N389*R389)</f>
        <v/>
      </c>
      <c r="U389" s="80">
        <f>IF(AC389="Cancelled",0,O389*R389)</f>
        <v/>
      </c>
      <c r="V389" s="80">
        <f>IF(AC389="Cancelled",0,ROUND(P389*S389,2))</f>
        <v/>
      </c>
      <c r="W389" s="80" t="inlineStr">
        <is>
          <t>No</t>
        </is>
      </c>
      <c r="X389" s="80" t="n">
        <v>0</v>
      </c>
      <c r="Y389" s="80">
        <f>IF(AC389="Cancelled",0,T389+U389+V389+Q389+X389)</f>
        <v/>
      </c>
      <c r="Z389" s="80">
        <f>IF(AC389="Cancelled",-Q389,S389-Y389)</f>
        <v/>
      </c>
      <c r="AA389" s="81">
        <f>IF(OR(AC389="Cancelled",S389=0),0,Z389/S389)</f>
        <v/>
      </c>
      <c r="AB389" s="82">
        <f>IFERROR(S389/Q389,0)</f>
        <v/>
      </c>
      <c r="AC389" s="56" t="inlineStr">
        <is>
          <t>Delivered</t>
        </is>
      </c>
    </row>
    <row r="390" ht="14.25" customHeight="1" s="57">
      <c r="A390" s="56" t="inlineStr">
        <is>
          <t>ORD-00125</t>
        </is>
      </c>
      <c r="B390" s="79" t="n">
        <v>46034</v>
      </c>
      <c r="C390" s="56" t="n">
        <v>2026</v>
      </c>
      <c r="D390" s="56" t="n">
        <v>1</v>
      </c>
      <c r="E390" s="56" t="inlineStr">
        <is>
          <t>UAE</t>
        </is>
      </c>
      <c r="F390" s="56" t="inlineStr">
        <is>
          <t>Sharjah</t>
        </is>
      </c>
      <c r="G390" s="56" t="inlineStr">
        <is>
          <t>Meta Ads</t>
        </is>
      </c>
      <c r="H390" s="56" t="inlineStr">
        <is>
          <t>New Creative A/B</t>
        </is>
      </c>
      <c r="I390" s="56" t="inlineStr">
        <is>
          <t>P005</t>
        </is>
      </c>
      <c r="J390" s="56" t="inlineStr">
        <is>
          <t>Mini Printer</t>
        </is>
      </c>
      <c r="K390" s="56" t="inlineStr">
        <is>
          <t>Electronics</t>
        </is>
      </c>
      <c r="L390" s="56" t="inlineStr">
        <is>
          <t>Shenzhen Print Tech</t>
        </is>
      </c>
      <c r="M390" s="80" t="n">
        <v>64.38</v>
      </c>
      <c r="N390" s="80" t="n">
        <v>23.32</v>
      </c>
      <c r="O390" s="80" t="n">
        <v>6.94</v>
      </c>
      <c r="P390" s="80" t="n">
        <v>0.03</v>
      </c>
      <c r="Q390" s="80" t="n">
        <v>8.890000000000001</v>
      </c>
      <c r="R390" s="80" t="n">
        <v>1</v>
      </c>
      <c r="S390" s="80">
        <f>IF(AC390="Cancelled",0,M390*R390)</f>
        <v/>
      </c>
      <c r="T390" s="80">
        <f>IF(AC390="Cancelled",0,N390*R390)</f>
        <v/>
      </c>
      <c r="U390" s="80">
        <f>IF(AC390="Cancelled",0,O390*R390)</f>
        <v/>
      </c>
      <c r="V390" s="80">
        <f>IF(AC390="Cancelled",0,ROUND(P390*S390,2))</f>
        <v/>
      </c>
      <c r="W390" s="80" t="inlineStr">
        <is>
          <t>Yes</t>
        </is>
      </c>
      <c r="X390" s="80" t="n">
        <v>45.55</v>
      </c>
      <c r="Y390" s="80">
        <f>IF(AC390="Cancelled",0,T390+U390+V390+Q390+X390)</f>
        <v/>
      </c>
      <c r="Z390" s="80">
        <f>IF(AC390="Cancelled",-Q390,S390-Y390)</f>
        <v/>
      </c>
      <c r="AA390" s="81">
        <f>IF(OR(AC390="Cancelled",S390=0),0,Z390/S390)</f>
        <v/>
      </c>
      <c r="AB390" s="82">
        <f>IFERROR(S390/Q390,0)</f>
        <v/>
      </c>
      <c r="AC390" s="56" t="inlineStr">
        <is>
          <t>Refunded</t>
        </is>
      </c>
    </row>
    <row r="391" ht="14.25" customHeight="1" s="57">
      <c r="A391" s="56" t="inlineStr">
        <is>
          <t>ORD-00208</t>
        </is>
      </c>
      <c r="B391" s="79" t="n">
        <v>46034</v>
      </c>
      <c r="C391" s="56" t="n">
        <v>2026</v>
      </c>
      <c r="D391" s="56" t="n">
        <v>1</v>
      </c>
      <c r="E391" s="56" t="inlineStr">
        <is>
          <t>UAE</t>
        </is>
      </c>
      <c r="F391" s="56" t="inlineStr">
        <is>
          <t>Sharjah</t>
        </is>
      </c>
      <c r="G391" s="56" t="inlineStr">
        <is>
          <t>TikTok Ads</t>
        </is>
      </c>
      <c r="H391" s="56" t="inlineStr">
        <is>
          <t>Launch Test</t>
        </is>
      </c>
      <c r="I391" s="56" t="inlineStr">
        <is>
          <t>P007</t>
        </is>
      </c>
      <c r="J391" s="56" t="inlineStr">
        <is>
          <t>Pet Grooming Glove</t>
        </is>
      </c>
      <c r="K391" s="56" t="inlineStr">
        <is>
          <t>Pets</t>
        </is>
      </c>
      <c r="L391" s="56" t="inlineStr">
        <is>
          <t>Yiwu Pet Products</t>
        </is>
      </c>
      <c r="M391" s="80" t="n">
        <v>20.24</v>
      </c>
      <c r="N391" s="80" t="n">
        <v>3.57</v>
      </c>
      <c r="O391" s="80" t="n">
        <v>2.27</v>
      </c>
      <c r="P391" s="80" t="n">
        <v>0.03</v>
      </c>
      <c r="Q391" s="80" t="n">
        <v>10.04</v>
      </c>
      <c r="R391" s="80" t="n">
        <v>1</v>
      </c>
      <c r="S391" s="80">
        <f>IF(AC391="Cancelled",0,M391*R391)</f>
        <v/>
      </c>
      <c r="T391" s="80">
        <f>IF(AC391="Cancelled",0,N391*R391)</f>
        <v/>
      </c>
      <c r="U391" s="80">
        <f>IF(AC391="Cancelled",0,O391*R391)</f>
        <v/>
      </c>
      <c r="V391" s="80">
        <f>IF(AC391="Cancelled",0,ROUND(P391*S391,2))</f>
        <v/>
      </c>
      <c r="W391" s="80" t="inlineStr">
        <is>
          <t>No</t>
        </is>
      </c>
      <c r="X391" s="80" t="n">
        <v>0</v>
      </c>
      <c r="Y391" s="80">
        <f>IF(AC391="Cancelled",0,T391+U391+V391+Q391+X391)</f>
        <v/>
      </c>
      <c r="Z391" s="80">
        <f>IF(AC391="Cancelled",-Q391,S391-Y391)</f>
        <v/>
      </c>
      <c r="AA391" s="81">
        <f>IF(OR(AC391="Cancelled",S391=0),0,Z391/S391)</f>
        <v/>
      </c>
      <c r="AB391" s="82">
        <f>IFERROR(S391/Q391,0)</f>
        <v/>
      </c>
      <c r="AC391" s="56" t="inlineStr">
        <is>
          <t>Cancelled</t>
        </is>
      </c>
    </row>
    <row r="392" ht="14.25" customHeight="1" s="57">
      <c r="A392" s="56" t="inlineStr">
        <is>
          <t>ORD-00283</t>
        </is>
      </c>
      <c r="B392" s="79" t="n">
        <v>46034</v>
      </c>
      <c r="C392" s="56" t="n">
        <v>2026</v>
      </c>
      <c r="D392" s="56" t="n">
        <v>1</v>
      </c>
      <c r="E392" s="56" t="inlineStr">
        <is>
          <t>Qatar</t>
        </is>
      </c>
      <c r="F392" s="56" t="inlineStr">
        <is>
          <t>Doha</t>
        </is>
      </c>
      <c r="G392" s="56" t="inlineStr">
        <is>
          <t>TikTok Ads</t>
        </is>
      </c>
      <c r="H392" s="56" t="inlineStr">
        <is>
          <t>Summer Sale</t>
        </is>
      </c>
      <c r="I392" s="56" t="inlineStr">
        <is>
          <t>P005</t>
        </is>
      </c>
      <c r="J392" s="56" t="inlineStr">
        <is>
          <t>Mini Printer</t>
        </is>
      </c>
      <c r="K392" s="56" t="inlineStr">
        <is>
          <t>Electronics</t>
        </is>
      </c>
      <c r="L392" s="56" t="inlineStr">
        <is>
          <t>Shenzhen Print Tech</t>
        </is>
      </c>
      <c r="M392" s="80" t="n">
        <v>56.66</v>
      </c>
      <c r="N392" s="80" t="n">
        <v>22.76</v>
      </c>
      <c r="O392" s="80" t="n">
        <v>7.79</v>
      </c>
      <c r="P392" s="80" t="n">
        <v>0.03</v>
      </c>
      <c r="Q392" s="80" t="n">
        <v>10.41</v>
      </c>
      <c r="R392" s="80" t="n">
        <v>1</v>
      </c>
      <c r="S392" s="80">
        <f>IF(AC392="Cancelled",0,M392*R392)</f>
        <v/>
      </c>
      <c r="T392" s="80">
        <f>IF(AC392="Cancelled",0,N392*R392)</f>
        <v/>
      </c>
      <c r="U392" s="80">
        <f>IF(AC392="Cancelled",0,O392*R392)</f>
        <v/>
      </c>
      <c r="V392" s="80">
        <f>IF(AC392="Cancelled",0,ROUND(P392*S392,2))</f>
        <v/>
      </c>
      <c r="W392" s="80" t="inlineStr">
        <is>
          <t>No</t>
        </is>
      </c>
      <c r="X392" s="80" t="n">
        <v>0</v>
      </c>
      <c r="Y392" s="80">
        <f>IF(AC392="Cancelled",0,T392+U392+V392+Q392+X392)</f>
        <v/>
      </c>
      <c r="Z392" s="80">
        <f>IF(AC392="Cancelled",-Q392,S392-Y392)</f>
        <v/>
      </c>
      <c r="AA392" s="81">
        <f>IF(OR(AC392="Cancelled",S392=0),0,Z392/S392)</f>
        <v/>
      </c>
      <c r="AB392" s="82">
        <f>IFERROR(S392/Q392,0)</f>
        <v/>
      </c>
      <c r="AC392" s="56" t="inlineStr">
        <is>
          <t>Delivered</t>
        </is>
      </c>
    </row>
    <row r="393" ht="14.25" customHeight="1" s="57">
      <c r="A393" s="56" t="inlineStr">
        <is>
          <t>ORD-00198</t>
        </is>
      </c>
      <c r="B393" s="79" t="n">
        <v>46037</v>
      </c>
      <c r="C393" s="56" t="n">
        <v>2026</v>
      </c>
      <c r="D393" s="56" t="n">
        <v>1</v>
      </c>
      <c r="E393" s="56" t="inlineStr">
        <is>
          <t>Saudi Arabia</t>
        </is>
      </c>
      <c r="F393" s="56" t="inlineStr">
        <is>
          <t>Jeddah</t>
        </is>
      </c>
      <c r="G393" s="56" t="inlineStr">
        <is>
          <t>Influencer</t>
        </is>
      </c>
      <c r="H393" s="56" t="inlineStr">
        <is>
          <t>Summer Sale</t>
        </is>
      </c>
      <c r="I393" s="56" t="inlineStr">
        <is>
          <t>P009</t>
        </is>
      </c>
      <c r="J393" s="56" t="inlineStr">
        <is>
          <t>Car Vacuum Cleaner</t>
        </is>
      </c>
      <c r="K393" s="56" t="inlineStr">
        <is>
          <t>Automotive</t>
        </is>
      </c>
      <c r="L393" s="56" t="inlineStr">
        <is>
          <t>Dongguan Auto Tools</t>
        </is>
      </c>
      <c r="M393" s="80" t="n">
        <v>41.87</v>
      </c>
      <c r="N393" s="80" t="n">
        <v>13.5</v>
      </c>
      <c r="O393" s="80" t="n">
        <v>6.47</v>
      </c>
      <c r="P393" s="80" t="n">
        <v>0.03</v>
      </c>
      <c r="Q393" s="80" t="n">
        <v>8.25</v>
      </c>
      <c r="R393" s="80" t="n">
        <v>1</v>
      </c>
      <c r="S393" s="80">
        <f>IF(AC393="Cancelled",0,M393*R393)</f>
        <v/>
      </c>
      <c r="T393" s="80">
        <f>IF(AC393="Cancelled",0,N393*R393)</f>
        <v/>
      </c>
      <c r="U393" s="80">
        <f>IF(AC393="Cancelled",0,O393*R393)</f>
        <v/>
      </c>
      <c r="V393" s="80">
        <f>IF(AC393="Cancelled",0,ROUND(P393*S393,2))</f>
        <v/>
      </c>
      <c r="W393" s="80" t="inlineStr">
        <is>
          <t>No</t>
        </is>
      </c>
      <c r="X393" s="80" t="n">
        <v>0</v>
      </c>
      <c r="Y393" s="80">
        <f>IF(AC393="Cancelled",0,T393+U393+V393+Q393+X393)</f>
        <v/>
      </c>
      <c r="Z393" s="80">
        <f>IF(AC393="Cancelled",-Q393,S393-Y393)</f>
        <v/>
      </c>
      <c r="AA393" s="81">
        <f>IF(OR(AC393="Cancelled",S393=0),0,Z393/S393)</f>
        <v/>
      </c>
      <c r="AB393" s="82">
        <f>IFERROR(S393/Q393,0)</f>
        <v/>
      </c>
      <c r="AC393" s="56" t="inlineStr">
        <is>
          <t>Delivered</t>
        </is>
      </c>
    </row>
    <row r="394" ht="14.25" customHeight="1" s="57">
      <c r="A394" s="56" t="inlineStr">
        <is>
          <t>ORD-00307</t>
        </is>
      </c>
      <c r="B394" s="79" t="n">
        <v>46037</v>
      </c>
      <c r="C394" s="56" t="n">
        <v>2026</v>
      </c>
      <c r="D394" s="56" t="n">
        <v>1</v>
      </c>
      <c r="E394" s="56" t="inlineStr">
        <is>
          <t>Kuwait</t>
        </is>
      </c>
      <c r="F394" s="56" t="inlineStr">
        <is>
          <t>Kuwait City</t>
        </is>
      </c>
      <c r="G394" s="56" t="inlineStr">
        <is>
          <t>Organic Search</t>
        </is>
      </c>
      <c r="H394" s="56" t="inlineStr">
        <is>
          <t>Retargeting</t>
        </is>
      </c>
      <c r="I394" s="56" t="inlineStr">
        <is>
          <t>P007</t>
        </is>
      </c>
      <c r="J394" s="56" t="inlineStr">
        <is>
          <t>Pet Grooming Glove</t>
        </is>
      </c>
      <c r="K394" s="56" t="inlineStr">
        <is>
          <t>Pets</t>
        </is>
      </c>
      <c r="L394" s="56" t="inlineStr">
        <is>
          <t>Yiwu Pet Products</t>
        </is>
      </c>
      <c r="M394" s="80" t="n">
        <v>18.03</v>
      </c>
      <c r="N394" s="80" t="n">
        <v>3.72</v>
      </c>
      <c r="O394" s="80" t="n">
        <v>2.57</v>
      </c>
      <c r="P394" s="80" t="n">
        <v>0.03</v>
      </c>
      <c r="Q394" s="80" t="n">
        <v>0</v>
      </c>
      <c r="R394" s="80" t="n">
        <v>2</v>
      </c>
      <c r="S394" s="80">
        <f>IF(AC394="Cancelled",0,M394*R394)</f>
        <v/>
      </c>
      <c r="T394" s="80">
        <f>IF(AC394="Cancelled",0,N394*R394)</f>
        <v/>
      </c>
      <c r="U394" s="80">
        <f>IF(AC394="Cancelled",0,O394*R394)</f>
        <v/>
      </c>
      <c r="V394" s="80">
        <f>IF(AC394="Cancelled",0,ROUND(P394*S394,2))</f>
        <v/>
      </c>
      <c r="W394" s="80" t="inlineStr">
        <is>
          <t>No</t>
        </is>
      </c>
      <c r="X394" s="80" t="n">
        <v>0</v>
      </c>
      <c r="Y394" s="80">
        <f>IF(AC394="Cancelled",0,T394+U394+V394+Q394+X394)</f>
        <v/>
      </c>
      <c r="Z394" s="80">
        <f>IF(AC394="Cancelled",-Q394,S394-Y394)</f>
        <v/>
      </c>
      <c r="AA394" s="81">
        <f>IF(OR(AC394="Cancelled",S394=0),0,Z394/S394)</f>
        <v/>
      </c>
      <c r="AB394" s="82">
        <f>IFERROR(S394/Q394,0)</f>
        <v/>
      </c>
      <c r="AC394" s="56" t="inlineStr">
        <is>
          <t>Delivered</t>
        </is>
      </c>
    </row>
    <row r="395" ht="14.25" customHeight="1" s="57">
      <c r="A395" s="56" t="inlineStr">
        <is>
          <t>ORD-00357</t>
        </is>
      </c>
      <c r="B395" s="79" t="n">
        <v>46039</v>
      </c>
      <c r="C395" s="56" t="n">
        <v>2026</v>
      </c>
      <c r="D395" s="56" t="n">
        <v>1</v>
      </c>
      <c r="E395" s="56" t="inlineStr">
        <is>
          <t>Oman</t>
        </is>
      </c>
      <c r="F395" s="56" t="inlineStr">
        <is>
          <t>Muscat</t>
        </is>
      </c>
      <c r="G395" s="56" t="inlineStr">
        <is>
          <t>TikTok Ads</t>
        </is>
      </c>
      <c r="H395" s="56" t="inlineStr">
        <is>
          <t>New Creative A/B</t>
        </is>
      </c>
      <c r="I395" s="56" t="inlineStr">
        <is>
          <t>P009</t>
        </is>
      </c>
      <c r="J395" s="56" t="inlineStr">
        <is>
          <t>Car Vacuum Cleaner</t>
        </is>
      </c>
      <c r="K395" s="56" t="inlineStr">
        <is>
          <t>Automotive</t>
        </is>
      </c>
      <c r="L395" s="56" t="inlineStr">
        <is>
          <t>Dongguan Auto Tools</t>
        </is>
      </c>
      <c r="M395" s="80" t="n">
        <v>43.33</v>
      </c>
      <c r="N395" s="80" t="n">
        <v>13.45</v>
      </c>
      <c r="O395" s="80" t="n">
        <v>7.03</v>
      </c>
      <c r="P395" s="80" t="n">
        <v>0.03</v>
      </c>
      <c r="Q395" s="80" t="n">
        <v>3.05</v>
      </c>
      <c r="R395" s="80" t="n">
        <v>1</v>
      </c>
      <c r="S395" s="80">
        <f>IF(AC395="Cancelled",0,M395*R395)</f>
        <v/>
      </c>
      <c r="T395" s="80">
        <f>IF(AC395="Cancelled",0,N395*R395)</f>
        <v/>
      </c>
      <c r="U395" s="80">
        <f>IF(AC395="Cancelled",0,O395*R395)</f>
        <v/>
      </c>
      <c r="V395" s="80">
        <f>IF(AC395="Cancelled",0,ROUND(P395*S395,2))</f>
        <v/>
      </c>
      <c r="W395" s="80" t="inlineStr">
        <is>
          <t>No</t>
        </is>
      </c>
      <c r="X395" s="80" t="n">
        <v>0</v>
      </c>
      <c r="Y395" s="80">
        <f>IF(AC395="Cancelled",0,T395+U395+V395+Q395+X395)</f>
        <v/>
      </c>
      <c r="Z395" s="80">
        <f>IF(AC395="Cancelled",-Q395,S395-Y395)</f>
        <v/>
      </c>
      <c r="AA395" s="81">
        <f>IF(OR(AC395="Cancelled",S395=0),0,Z395/S395)</f>
        <v/>
      </c>
      <c r="AB395" s="82">
        <f>IFERROR(S395/Q395,0)</f>
        <v/>
      </c>
      <c r="AC395" s="56" t="inlineStr">
        <is>
          <t>Delivered</t>
        </is>
      </c>
    </row>
    <row r="396" ht="14.25" customHeight="1" s="57">
      <c r="A396" s="56" t="inlineStr">
        <is>
          <t>ORD-00490</t>
        </is>
      </c>
      <c r="B396" s="79" t="n">
        <v>46039</v>
      </c>
      <c r="C396" s="56" t="n">
        <v>2026</v>
      </c>
      <c r="D396" s="56" t="n">
        <v>1</v>
      </c>
      <c r="E396" s="56" t="inlineStr">
        <is>
          <t>Saudi Arabia</t>
        </is>
      </c>
      <c r="F396" s="56" t="inlineStr">
        <is>
          <t>Jeddah</t>
        </is>
      </c>
      <c r="G396" s="56" t="inlineStr">
        <is>
          <t>TikTok Ads</t>
        </is>
      </c>
      <c r="H396" s="56" t="inlineStr">
        <is>
          <t>New Creative A/B</t>
        </is>
      </c>
      <c r="I396" s="56" t="inlineStr">
        <is>
          <t>P006</t>
        </is>
      </c>
      <c r="J396" s="56" t="inlineStr">
        <is>
          <t>Posture Corrector</t>
        </is>
      </c>
      <c r="K396" s="56" t="inlineStr">
        <is>
          <t>Fitness</t>
        </is>
      </c>
      <c r="L396" s="56" t="inlineStr">
        <is>
          <t>Hangzhou Health Gear</t>
        </is>
      </c>
      <c r="M396" s="80" t="n">
        <v>37.71</v>
      </c>
      <c r="N396" s="80" t="n">
        <v>9</v>
      </c>
      <c r="O396" s="80" t="n">
        <v>4.34</v>
      </c>
      <c r="P396" s="80" t="n">
        <v>0.03</v>
      </c>
      <c r="Q396" s="80" t="n">
        <v>11.61</v>
      </c>
      <c r="R396" s="80" t="n">
        <v>2</v>
      </c>
      <c r="S396" s="80">
        <f>IF(AC396="Cancelled",0,M396*R396)</f>
        <v/>
      </c>
      <c r="T396" s="80">
        <f>IF(AC396="Cancelled",0,N396*R396)</f>
        <v/>
      </c>
      <c r="U396" s="80">
        <f>IF(AC396="Cancelled",0,O396*R396)</f>
        <v/>
      </c>
      <c r="V396" s="80">
        <f>IF(AC396="Cancelled",0,ROUND(P396*S396,2))</f>
        <v/>
      </c>
      <c r="W396" s="80" t="inlineStr">
        <is>
          <t>No</t>
        </is>
      </c>
      <c r="X396" s="80" t="n">
        <v>0</v>
      </c>
      <c r="Y396" s="80">
        <f>IF(AC396="Cancelled",0,T396+U396+V396+Q396+X396)</f>
        <v/>
      </c>
      <c r="Z396" s="80">
        <f>IF(AC396="Cancelled",-Q396,S396-Y396)</f>
        <v/>
      </c>
      <c r="AA396" s="81">
        <f>IF(OR(AC396="Cancelled",S396=0),0,Z396/S396)</f>
        <v/>
      </c>
      <c r="AB396" s="82">
        <f>IFERROR(S396/Q396,0)</f>
        <v/>
      </c>
      <c r="AC396" s="56" t="inlineStr">
        <is>
          <t>Delivered</t>
        </is>
      </c>
    </row>
    <row r="397" ht="14.25" customHeight="1" s="57">
      <c r="A397" s="56" t="inlineStr">
        <is>
          <t>ORD-00133</t>
        </is>
      </c>
      <c r="B397" s="79" t="n">
        <v>46040</v>
      </c>
      <c r="C397" s="56" t="n">
        <v>2026</v>
      </c>
      <c r="D397" s="56" t="n">
        <v>1</v>
      </c>
      <c r="E397" s="56" t="inlineStr">
        <is>
          <t>Saudi Arabia</t>
        </is>
      </c>
      <c r="F397" s="56" t="inlineStr">
        <is>
          <t>Riyadh</t>
        </is>
      </c>
      <c r="G397" s="56" t="inlineStr">
        <is>
          <t>Influencer</t>
        </is>
      </c>
      <c r="H397" s="56" t="inlineStr">
        <is>
          <t>New Creative A/B</t>
        </is>
      </c>
      <c r="I397" s="56" t="inlineStr">
        <is>
          <t>P001</t>
        </is>
      </c>
      <c r="J397" s="56" t="inlineStr">
        <is>
          <t>Wireless Earbuds</t>
        </is>
      </c>
      <c r="K397" s="56" t="inlineStr">
        <is>
          <t>Electronics</t>
        </is>
      </c>
      <c r="L397" s="56" t="inlineStr">
        <is>
          <t>Shenzhen Audio Co.</t>
        </is>
      </c>
      <c r="M397" s="80" t="n">
        <v>39.62</v>
      </c>
      <c r="N397" s="80" t="n">
        <v>8.52</v>
      </c>
      <c r="O397" s="80" t="n">
        <v>4.56</v>
      </c>
      <c r="P397" s="80" t="n">
        <v>0.03</v>
      </c>
      <c r="Q397" s="80" t="n">
        <v>16.47</v>
      </c>
      <c r="R397" s="80" t="n">
        <v>3</v>
      </c>
      <c r="S397" s="80">
        <f>IF(AC397="Cancelled",0,M397*R397)</f>
        <v/>
      </c>
      <c r="T397" s="80">
        <f>IF(AC397="Cancelled",0,N397*R397)</f>
        <v/>
      </c>
      <c r="U397" s="80">
        <f>IF(AC397="Cancelled",0,O397*R397)</f>
        <v/>
      </c>
      <c r="V397" s="80">
        <f>IF(AC397="Cancelled",0,ROUND(P397*S397,2))</f>
        <v/>
      </c>
      <c r="W397" s="80" t="inlineStr">
        <is>
          <t>No</t>
        </is>
      </c>
      <c r="X397" s="80" t="n">
        <v>0</v>
      </c>
      <c r="Y397" s="80">
        <f>IF(AC397="Cancelled",0,T397+U397+V397+Q397+X397)</f>
        <v/>
      </c>
      <c r="Z397" s="80">
        <f>IF(AC397="Cancelled",-Q397,S397-Y397)</f>
        <v/>
      </c>
      <c r="AA397" s="81">
        <f>IF(OR(AC397="Cancelled",S397=0),0,Z397/S397)</f>
        <v/>
      </c>
      <c r="AB397" s="82">
        <f>IFERROR(S397/Q397,0)</f>
        <v/>
      </c>
      <c r="AC397" s="56" t="inlineStr">
        <is>
          <t>Delivered</t>
        </is>
      </c>
    </row>
    <row r="398" ht="14.25" customHeight="1" s="57">
      <c r="A398" s="56" t="inlineStr">
        <is>
          <t>ORD-00235</t>
        </is>
      </c>
      <c r="B398" s="79" t="n">
        <v>46042</v>
      </c>
      <c r="C398" s="56" t="n">
        <v>2026</v>
      </c>
      <c r="D398" s="56" t="n">
        <v>1</v>
      </c>
      <c r="E398" s="56" t="inlineStr">
        <is>
          <t>Qatar</t>
        </is>
      </c>
      <c r="F398" s="56" t="inlineStr">
        <is>
          <t>Doha</t>
        </is>
      </c>
      <c r="G398" s="56" t="inlineStr">
        <is>
          <t>Organic Search</t>
        </is>
      </c>
      <c r="H398" s="56" t="inlineStr">
        <is>
          <t>Summer Sale</t>
        </is>
      </c>
      <c r="I398" s="56" t="inlineStr">
        <is>
          <t>P003</t>
        </is>
      </c>
      <c r="J398" s="56" t="inlineStr">
        <is>
          <t>LED Strip Lights</t>
        </is>
      </c>
      <c r="K398" s="56" t="inlineStr">
        <is>
          <t>Home Decor</t>
        </is>
      </c>
      <c r="L398" s="56" t="inlineStr">
        <is>
          <t>Yiwu Lighting Factory</t>
        </is>
      </c>
      <c r="M398" s="80" t="n">
        <v>26.13</v>
      </c>
      <c r="N398" s="80" t="n">
        <v>6.19</v>
      </c>
      <c r="O398" s="80" t="n">
        <v>3.7</v>
      </c>
      <c r="P398" s="80" t="n">
        <v>0.03</v>
      </c>
      <c r="Q398" s="80" t="n">
        <v>0</v>
      </c>
      <c r="R398" s="80" t="n">
        <v>1</v>
      </c>
      <c r="S398" s="80">
        <f>IF(AC398="Cancelled",0,M398*R398)</f>
        <v/>
      </c>
      <c r="T398" s="80">
        <f>IF(AC398="Cancelled",0,N398*R398)</f>
        <v/>
      </c>
      <c r="U398" s="80">
        <f>IF(AC398="Cancelled",0,O398*R398)</f>
        <v/>
      </c>
      <c r="V398" s="80">
        <f>IF(AC398="Cancelled",0,ROUND(P398*S398,2))</f>
        <v/>
      </c>
      <c r="W398" s="80" t="inlineStr">
        <is>
          <t>No</t>
        </is>
      </c>
      <c r="X398" s="80" t="n">
        <v>0</v>
      </c>
      <c r="Y398" s="80">
        <f>IF(AC398="Cancelled",0,T398+U398+V398+Q398+X398)</f>
        <v/>
      </c>
      <c r="Z398" s="80">
        <f>IF(AC398="Cancelled",-Q398,S398-Y398)</f>
        <v/>
      </c>
      <c r="AA398" s="81">
        <f>IF(OR(AC398="Cancelled",S398=0),0,Z398/S398)</f>
        <v/>
      </c>
      <c r="AB398" s="82">
        <f>IFERROR(S398/Q398,0)</f>
        <v/>
      </c>
      <c r="AC398" s="56" t="inlineStr">
        <is>
          <t>Delivered</t>
        </is>
      </c>
    </row>
    <row r="399" ht="14.25" customHeight="1" s="57">
      <c r="A399" s="56" t="inlineStr">
        <is>
          <t>ORD-00107</t>
        </is>
      </c>
      <c r="B399" s="79" t="n">
        <v>46043</v>
      </c>
      <c r="C399" s="56" t="n">
        <v>2026</v>
      </c>
      <c r="D399" s="56" t="n">
        <v>1</v>
      </c>
      <c r="E399" s="56" t="inlineStr">
        <is>
          <t>Qatar</t>
        </is>
      </c>
      <c r="F399" s="56" t="inlineStr">
        <is>
          <t>Doha</t>
        </is>
      </c>
      <c r="G399" s="56" t="inlineStr">
        <is>
          <t>Google Ads</t>
        </is>
      </c>
      <c r="H399" s="56" t="inlineStr">
        <is>
          <t>Bundle Promo</t>
        </is>
      </c>
      <c r="I399" s="56" t="inlineStr">
        <is>
          <t>P006</t>
        </is>
      </c>
      <c r="J399" s="56" t="inlineStr">
        <is>
          <t>Posture Corrector</t>
        </is>
      </c>
      <c r="K399" s="56" t="inlineStr">
        <is>
          <t>Fitness</t>
        </is>
      </c>
      <c r="L399" s="56" t="inlineStr">
        <is>
          <t>Hangzhou Health Gear</t>
        </is>
      </c>
      <c r="M399" s="80" t="n">
        <v>37.35</v>
      </c>
      <c r="N399" s="80" t="n">
        <v>8.710000000000001</v>
      </c>
      <c r="O399" s="80" t="n">
        <v>4.18</v>
      </c>
      <c r="P399" s="80" t="n">
        <v>0.03</v>
      </c>
      <c r="Q399" s="80" t="n">
        <v>4.75</v>
      </c>
      <c r="R399" s="80" t="n">
        <v>1</v>
      </c>
      <c r="S399" s="80">
        <f>IF(AC399="Cancelled",0,M399*R399)</f>
        <v/>
      </c>
      <c r="T399" s="80">
        <f>IF(AC399="Cancelled",0,N399*R399)</f>
        <v/>
      </c>
      <c r="U399" s="80">
        <f>IF(AC399="Cancelled",0,O399*R399)</f>
        <v/>
      </c>
      <c r="V399" s="80">
        <f>IF(AC399="Cancelled",0,ROUND(P399*S399,2))</f>
        <v/>
      </c>
      <c r="W399" s="80" t="inlineStr">
        <is>
          <t>No</t>
        </is>
      </c>
      <c r="X399" s="80" t="n">
        <v>0</v>
      </c>
      <c r="Y399" s="80">
        <f>IF(AC399="Cancelled",0,T399+U399+V399+Q399+X399)</f>
        <v/>
      </c>
      <c r="Z399" s="80">
        <f>IF(AC399="Cancelled",-Q399,S399-Y399)</f>
        <v/>
      </c>
      <c r="AA399" s="81">
        <f>IF(OR(AC399="Cancelled",S399=0),0,Z399/S399)</f>
        <v/>
      </c>
      <c r="AB399" s="82">
        <f>IFERROR(S399/Q399,0)</f>
        <v/>
      </c>
      <c r="AC399" s="56" t="inlineStr">
        <is>
          <t>Delivered</t>
        </is>
      </c>
    </row>
    <row r="400" ht="14.25" customHeight="1" s="57">
      <c r="A400" s="56" t="inlineStr">
        <is>
          <t>ORD-00136</t>
        </is>
      </c>
      <c r="B400" s="79" t="n">
        <v>46044</v>
      </c>
      <c r="C400" s="56" t="n">
        <v>2026</v>
      </c>
      <c r="D400" s="56" t="n">
        <v>1</v>
      </c>
      <c r="E400" s="56" t="inlineStr">
        <is>
          <t>Qatar</t>
        </is>
      </c>
      <c r="F400" s="56" t="inlineStr">
        <is>
          <t>Doha</t>
        </is>
      </c>
      <c r="G400" s="56" t="inlineStr">
        <is>
          <t>Meta Ads</t>
        </is>
      </c>
      <c r="H400" s="56" t="inlineStr">
        <is>
          <t>Summer Sale</t>
        </is>
      </c>
      <c r="I400" s="56" t="inlineStr">
        <is>
          <t>P009</t>
        </is>
      </c>
      <c r="J400" s="56" t="inlineStr">
        <is>
          <t>Car Vacuum Cleaner</t>
        </is>
      </c>
      <c r="K400" s="56" t="inlineStr">
        <is>
          <t>Automotive</t>
        </is>
      </c>
      <c r="L400" s="56" t="inlineStr">
        <is>
          <t>Dongguan Auto Tools</t>
        </is>
      </c>
      <c r="M400" s="80" t="n">
        <v>44.96</v>
      </c>
      <c r="N400" s="80" t="n">
        <v>14.01</v>
      </c>
      <c r="O400" s="80" t="n">
        <v>6.57</v>
      </c>
      <c r="P400" s="80" t="n">
        <v>0.03</v>
      </c>
      <c r="Q400" s="80" t="n">
        <v>8.68</v>
      </c>
      <c r="R400" s="80" t="n">
        <v>1</v>
      </c>
      <c r="S400" s="80">
        <f>IF(AC400="Cancelled",0,M400*R400)</f>
        <v/>
      </c>
      <c r="T400" s="80">
        <f>IF(AC400="Cancelled",0,N400*R400)</f>
        <v/>
      </c>
      <c r="U400" s="80">
        <f>IF(AC400="Cancelled",0,O400*R400)</f>
        <v/>
      </c>
      <c r="V400" s="80">
        <f>IF(AC400="Cancelled",0,ROUND(P400*S400,2))</f>
        <v/>
      </c>
      <c r="W400" s="80" t="inlineStr">
        <is>
          <t>No</t>
        </is>
      </c>
      <c r="X400" s="80" t="n">
        <v>0</v>
      </c>
      <c r="Y400" s="80">
        <f>IF(AC400="Cancelled",0,T400+U400+V400+Q400+X400)</f>
        <v/>
      </c>
      <c r="Z400" s="80">
        <f>IF(AC400="Cancelled",-Q400,S400-Y400)</f>
        <v/>
      </c>
      <c r="AA400" s="81">
        <f>IF(OR(AC400="Cancelled",S400=0),0,Z400/S400)</f>
        <v/>
      </c>
      <c r="AB400" s="82">
        <f>IFERROR(S400/Q400,0)</f>
        <v/>
      </c>
      <c r="AC400" s="56" t="inlineStr">
        <is>
          <t>Delivered</t>
        </is>
      </c>
    </row>
    <row r="401" ht="14.25" customHeight="1" s="57">
      <c r="A401" s="56" t="inlineStr">
        <is>
          <t>ORD-00334</t>
        </is>
      </c>
      <c r="B401" s="79" t="n">
        <v>46046</v>
      </c>
      <c r="C401" s="56" t="n">
        <v>2026</v>
      </c>
      <c r="D401" s="56" t="n">
        <v>1</v>
      </c>
      <c r="E401" s="56" t="inlineStr">
        <is>
          <t>Oman</t>
        </is>
      </c>
      <c r="F401" s="56" t="inlineStr">
        <is>
          <t>Muscat</t>
        </is>
      </c>
      <c r="G401" s="56" t="inlineStr">
        <is>
          <t>Email</t>
        </is>
      </c>
      <c r="H401" s="56" t="inlineStr">
        <is>
          <t>Retargeting</t>
        </is>
      </c>
      <c r="I401" s="56" t="inlineStr">
        <is>
          <t>P002</t>
        </is>
      </c>
      <c r="J401" s="56" t="inlineStr">
        <is>
          <t>Phone Case</t>
        </is>
      </c>
      <c r="K401" s="56" t="inlineStr">
        <is>
          <t>Accessories</t>
        </is>
      </c>
      <c r="L401" s="56" t="inlineStr">
        <is>
          <t>Guangzhou Cases Ltd.</t>
        </is>
      </c>
      <c r="M401" s="80" t="n">
        <v>14.63</v>
      </c>
      <c r="N401" s="80" t="n">
        <v>2.14</v>
      </c>
      <c r="O401" s="80" t="n">
        <v>2</v>
      </c>
      <c r="P401" s="80" t="n">
        <v>0.03</v>
      </c>
      <c r="Q401" s="80" t="n">
        <v>20.73</v>
      </c>
      <c r="R401" s="80" t="n">
        <v>3</v>
      </c>
      <c r="S401" s="80">
        <f>IF(AC401="Cancelled",0,M401*R401)</f>
        <v/>
      </c>
      <c r="T401" s="80">
        <f>IF(AC401="Cancelled",0,N401*R401)</f>
        <v/>
      </c>
      <c r="U401" s="80">
        <f>IF(AC401="Cancelled",0,O401*R401)</f>
        <v/>
      </c>
      <c r="V401" s="80">
        <f>IF(AC401="Cancelled",0,ROUND(P401*S401,2))</f>
        <v/>
      </c>
      <c r="W401" s="80" t="inlineStr">
        <is>
          <t>No</t>
        </is>
      </c>
      <c r="X401" s="80" t="n">
        <v>0</v>
      </c>
      <c r="Y401" s="80">
        <f>IF(AC401="Cancelled",0,T401+U401+V401+Q401+X401)</f>
        <v/>
      </c>
      <c r="Z401" s="80">
        <f>IF(AC401="Cancelled",-Q401,S401-Y401)</f>
        <v/>
      </c>
      <c r="AA401" s="81">
        <f>IF(OR(AC401="Cancelled",S401=0),0,Z401/S401)</f>
        <v/>
      </c>
      <c r="AB401" s="82">
        <f>IFERROR(S401/Q401,0)</f>
        <v/>
      </c>
      <c r="AC401" s="56" t="inlineStr">
        <is>
          <t>Delivered</t>
        </is>
      </c>
    </row>
    <row r="402" ht="14.25" customHeight="1" s="57">
      <c r="A402" s="56" t="inlineStr">
        <is>
          <t>ORD-00037</t>
        </is>
      </c>
      <c r="B402" s="79" t="n">
        <v>46047</v>
      </c>
      <c r="C402" s="56" t="n">
        <v>2026</v>
      </c>
      <c r="D402" s="56" t="n">
        <v>1</v>
      </c>
      <c r="E402" s="56" t="inlineStr">
        <is>
          <t>UAE</t>
        </is>
      </c>
      <c r="F402" s="56" t="inlineStr">
        <is>
          <t>Dubai</t>
        </is>
      </c>
      <c r="G402" s="56" t="inlineStr">
        <is>
          <t>TikTok Ads</t>
        </is>
      </c>
      <c r="H402" s="56" t="inlineStr">
        <is>
          <t>Launch Test</t>
        </is>
      </c>
      <c r="I402" s="56" t="inlineStr">
        <is>
          <t>P001</t>
        </is>
      </c>
      <c r="J402" s="56" t="inlineStr">
        <is>
          <t>Wireless Earbuds</t>
        </is>
      </c>
      <c r="K402" s="56" t="inlineStr">
        <is>
          <t>Electronics</t>
        </is>
      </c>
      <c r="L402" s="56" t="inlineStr">
        <is>
          <t>Shenzhen Audio Co.</t>
        </is>
      </c>
      <c r="M402" s="80" t="n">
        <v>42.02</v>
      </c>
      <c r="N402" s="80" t="n">
        <v>8.92</v>
      </c>
      <c r="O402" s="80" t="n">
        <v>3.78</v>
      </c>
      <c r="P402" s="80" t="n">
        <v>0.03</v>
      </c>
      <c r="Q402" s="80" t="n">
        <v>7.58</v>
      </c>
      <c r="R402" s="80" t="n">
        <v>1</v>
      </c>
      <c r="S402" s="80">
        <f>IF(AC402="Cancelled",0,M402*R402)</f>
        <v/>
      </c>
      <c r="T402" s="80">
        <f>IF(AC402="Cancelled",0,N402*R402)</f>
        <v/>
      </c>
      <c r="U402" s="80">
        <f>IF(AC402="Cancelled",0,O402*R402)</f>
        <v/>
      </c>
      <c r="V402" s="80">
        <f>IF(AC402="Cancelled",0,ROUND(P402*S402,2))</f>
        <v/>
      </c>
      <c r="W402" s="80" t="inlineStr">
        <is>
          <t>No</t>
        </is>
      </c>
      <c r="X402" s="80" t="n">
        <v>0</v>
      </c>
      <c r="Y402" s="80">
        <f>IF(AC402="Cancelled",0,T402+U402+V402+Q402+X402)</f>
        <v/>
      </c>
      <c r="Z402" s="80">
        <f>IF(AC402="Cancelled",-Q402,S402-Y402)</f>
        <v/>
      </c>
      <c r="AA402" s="81">
        <f>IF(OR(AC402="Cancelled",S402=0),0,Z402/S402)</f>
        <v/>
      </c>
      <c r="AB402" s="82">
        <f>IFERROR(S402/Q402,0)</f>
        <v/>
      </c>
      <c r="AC402" s="56" t="inlineStr">
        <is>
          <t>Delivered</t>
        </is>
      </c>
    </row>
    <row r="403" ht="14.25" customHeight="1" s="57">
      <c r="A403" s="56" t="inlineStr">
        <is>
          <t>ORD-00414</t>
        </is>
      </c>
      <c r="B403" s="79" t="n">
        <v>46048</v>
      </c>
      <c r="C403" s="56" t="n">
        <v>2026</v>
      </c>
      <c r="D403" s="56" t="n">
        <v>1</v>
      </c>
      <c r="E403" s="56" t="inlineStr">
        <is>
          <t>Kuwait</t>
        </is>
      </c>
      <c r="F403" s="56" t="inlineStr">
        <is>
          <t>Kuwait City</t>
        </is>
      </c>
      <c r="G403" s="56" t="inlineStr">
        <is>
          <t>TikTok Ads</t>
        </is>
      </c>
      <c r="H403" s="56" t="inlineStr">
        <is>
          <t>Retargeting</t>
        </is>
      </c>
      <c r="I403" s="56" t="inlineStr">
        <is>
          <t>P004</t>
        </is>
      </c>
      <c r="J403" s="56" t="inlineStr">
        <is>
          <t>Beauty Tool</t>
        </is>
      </c>
      <c r="K403" s="56" t="inlineStr">
        <is>
          <t>Beauty</t>
        </is>
      </c>
      <c r="L403" s="56" t="inlineStr">
        <is>
          <t>Ningbo Beauty Supply</t>
        </is>
      </c>
      <c r="M403" s="80" t="n">
        <v>31.24</v>
      </c>
      <c r="N403" s="80" t="n">
        <v>7.33</v>
      </c>
      <c r="O403" s="80" t="n">
        <v>5.1</v>
      </c>
      <c r="P403" s="80" t="n">
        <v>0.03</v>
      </c>
      <c r="Q403" s="80" t="n">
        <v>7.39</v>
      </c>
      <c r="R403" s="80" t="n">
        <v>1</v>
      </c>
      <c r="S403" s="80">
        <f>IF(AC403="Cancelled",0,M403*R403)</f>
        <v/>
      </c>
      <c r="T403" s="80">
        <f>IF(AC403="Cancelled",0,N403*R403)</f>
        <v/>
      </c>
      <c r="U403" s="80">
        <f>IF(AC403="Cancelled",0,O403*R403)</f>
        <v/>
      </c>
      <c r="V403" s="80">
        <f>IF(AC403="Cancelled",0,ROUND(P403*S403,2))</f>
        <v/>
      </c>
      <c r="W403" s="80" t="inlineStr">
        <is>
          <t>No</t>
        </is>
      </c>
      <c r="X403" s="80" t="n">
        <v>0</v>
      </c>
      <c r="Y403" s="80">
        <f>IF(AC403="Cancelled",0,T403+U403+V403+Q403+X403)</f>
        <v/>
      </c>
      <c r="Z403" s="80">
        <f>IF(AC403="Cancelled",-Q403,S403-Y403)</f>
        <v/>
      </c>
      <c r="AA403" s="81">
        <f>IF(OR(AC403="Cancelled",S403=0),0,Z403/S403)</f>
        <v/>
      </c>
      <c r="AB403" s="82">
        <f>IFERROR(S403/Q403,0)</f>
        <v/>
      </c>
      <c r="AC403" s="56" t="inlineStr">
        <is>
          <t>Delivered</t>
        </is>
      </c>
    </row>
    <row r="404" ht="14.25" customHeight="1" s="57">
      <c r="A404" s="56" t="inlineStr">
        <is>
          <t>ORD-00105</t>
        </is>
      </c>
      <c r="B404" s="79" t="n">
        <v>46050</v>
      </c>
      <c r="C404" s="56" t="n">
        <v>2026</v>
      </c>
      <c r="D404" s="56" t="n">
        <v>1</v>
      </c>
      <c r="E404" s="56" t="inlineStr">
        <is>
          <t>Kuwait</t>
        </is>
      </c>
      <c r="F404" s="56" t="inlineStr">
        <is>
          <t>Kuwait City</t>
        </is>
      </c>
      <c r="G404" s="56" t="inlineStr">
        <is>
          <t>Meta Ads</t>
        </is>
      </c>
      <c r="H404" s="56" t="inlineStr">
        <is>
          <t>Bundle Promo</t>
        </is>
      </c>
      <c r="I404" s="56" t="inlineStr">
        <is>
          <t>P002</t>
        </is>
      </c>
      <c r="J404" s="56" t="inlineStr">
        <is>
          <t>Phone Case</t>
        </is>
      </c>
      <c r="K404" s="56" t="inlineStr">
        <is>
          <t>Accessories</t>
        </is>
      </c>
      <c r="L404" s="56" t="inlineStr">
        <is>
          <t>Guangzhou Cases Ltd.</t>
        </is>
      </c>
      <c r="M404" s="80" t="n">
        <v>16.44</v>
      </c>
      <c r="N404" s="80" t="n">
        <v>2.01</v>
      </c>
      <c r="O404" s="80" t="n">
        <v>1.94</v>
      </c>
      <c r="P404" s="80" t="n">
        <v>0.03</v>
      </c>
      <c r="Q404" s="80" t="n">
        <v>6.84</v>
      </c>
      <c r="R404" s="80" t="n">
        <v>1</v>
      </c>
      <c r="S404" s="80">
        <f>IF(AC404="Cancelled",0,M404*R404)</f>
        <v/>
      </c>
      <c r="T404" s="80">
        <f>IF(AC404="Cancelled",0,N404*R404)</f>
        <v/>
      </c>
      <c r="U404" s="80">
        <f>IF(AC404="Cancelled",0,O404*R404)</f>
        <v/>
      </c>
      <c r="V404" s="80">
        <f>IF(AC404="Cancelled",0,ROUND(P404*S404,2))</f>
        <v/>
      </c>
      <c r="W404" s="80" t="inlineStr">
        <is>
          <t>No</t>
        </is>
      </c>
      <c r="X404" s="80" t="n">
        <v>0</v>
      </c>
      <c r="Y404" s="80">
        <f>IF(AC404="Cancelled",0,T404+U404+V404+Q404+X404)</f>
        <v/>
      </c>
      <c r="Z404" s="80">
        <f>IF(AC404="Cancelled",-Q404,S404-Y404)</f>
        <v/>
      </c>
      <c r="AA404" s="81">
        <f>IF(OR(AC404="Cancelled",S404=0),0,Z404/S404)</f>
        <v/>
      </c>
      <c r="AB404" s="82">
        <f>IFERROR(S404/Q404,0)</f>
        <v/>
      </c>
      <c r="AC404" s="56" t="inlineStr">
        <is>
          <t>Delivered</t>
        </is>
      </c>
    </row>
    <row r="405" ht="14.25" customHeight="1" s="57">
      <c r="A405" s="56" t="inlineStr">
        <is>
          <t>ORD-00081</t>
        </is>
      </c>
      <c r="B405" s="79" t="n">
        <v>46051</v>
      </c>
      <c r="C405" s="56" t="n">
        <v>2026</v>
      </c>
      <c r="D405" s="56" t="n">
        <v>1</v>
      </c>
      <c r="E405" s="56" t="inlineStr">
        <is>
          <t>Saudi Arabia</t>
        </is>
      </c>
      <c r="F405" s="56" t="inlineStr">
        <is>
          <t>Jeddah</t>
        </is>
      </c>
      <c r="G405" s="56" t="inlineStr">
        <is>
          <t>Google Ads</t>
        </is>
      </c>
      <c r="H405" s="56" t="inlineStr">
        <is>
          <t>Retargeting</t>
        </is>
      </c>
      <c r="I405" s="56" t="inlineStr">
        <is>
          <t>P001</t>
        </is>
      </c>
      <c r="J405" s="56" t="inlineStr">
        <is>
          <t>Wireless Earbuds</t>
        </is>
      </c>
      <c r="K405" s="56" t="inlineStr">
        <is>
          <t>Electronics</t>
        </is>
      </c>
      <c r="L405" s="56" t="inlineStr">
        <is>
          <t>Shenzhen Audio Co.</t>
        </is>
      </c>
      <c r="M405" s="80" t="n">
        <v>37.69</v>
      </c>
      <c r="N405" s="80" t="n">
        <v>9.07</v>
      </c>
      <c r="O405" s="80" t="n">
        <v>4.19</v>
      </c>
      <c r="P405" s="80" t="n">
        <v>0.03</v>
      </c>
      <c r="Q405" s="80" t="n">
        <v>15.21</v>
      </c>
      <c r="R405" s="80" t="n">
        <v>2</v>
      </c>
      <c r="S405" s="80">
        <f>IF(AC405="Cancelled",0,M405*R405)</f>
        <v/>
      </c>
      <c r="T405" s="80">
        <f>IF(AC405="Cancelled",0,N405*R405)</f>
        <v/>
      </c>
      <c r="U405" s="80">
        <f>IF(AC405="Cancelled",0,O405*R405)</f>
        <v/>
      </c>
      <c r="V405" s="80">
        <f>IF(AC405="Cancelled",0,ROUND(P405*S405,2))</f>
        <v/>
      </c>
      <c r="W405" s="80" t="inlineStr">
        <is>
          <t>No</t>
        </is>
      </c>
      <c r="X405" s="80" t="n">
        <v>0</v>
      </c>
      <c r="Y405" s="80">
        <f>IF(AC405="Cancelled",0,T405+U405+V405+Q405+X405)</f>
        <v/>
      </c>
      <c r="Z405" s="80">
        <f>IF(AC405="Cancelled",-Q405,S405-Y405)</f>
        <v/>
      </c>
      <c r="AA405" s="81">
        <f>IF(OR(AC405="Cancelled",S405=0),0,Z405/S405)</f>
        <v/>
      </c>
      <c r="AB405" s="82">
        <f>IFERROR(S405/Q405,0)</f>
        <v/>
      </c>
      <c r="AC405" s="56" t="inlineStr">
        <is>
          <t>Delivered</t>
        </is>
      </c>
    </row>
    <row r="406" ht="14.25" customHeight="1" s="57">
      <c r="A406" s="56" t="inlineStr">
        <is>
          <t>ORD-00185</t>
        </is>
      </c>
      <c r="B406" s="79" t="n">
        <v>46051</v>
      </c>
      <c r="C406" s="56" t="n">
        <v>2026</v>
      </c>
      <c r="D406" s="56" t="n">
        <v>1</v>
      </c>
      <c r="E406" s="56" t="inlineStr">
        <is>
          <t>UAE</t>
        </is>
      </c>
      <c r="F406" s="56" t="inlineStr">
        <is>
          <t>Abu Dhabi</t>
        </is>
      </c>
      <c r="G406" s="56" t="inlineStr">
        <is>
          <t>Organic Search</t>
        </is>
      </c>
      <c r="H406" s="56" t="inlineStr">
        <is>
          <t>New Creative A/B</t>
        </is>
      </c>
      <c r="I406" s="56" t="inlineStr">
        <is>
          <t>P007</t>
        </is>
      </c>
      <c r="J406" s="56" t="inlineStr">
        <is>
          <t>Pet Grooming Glove</t>
        </is>
      </c>
      <c r="K406" s="56" t="inlineStr">
        <is>
          <t>Pets</t>
        </is>
      </c>
      <c r="L406" s="56" t="inlineStr">
        <is>
          <t>Yiwu Pet Products</t>
        </is>
      </c>
      <c r="M406" s="80" t="n">
        <v>20.83</v>
      </c>
      <c r="N406" s="80" t="n">
        <v>3.47</v>
      </c>
      <c r="O406" s="80" t="n">
        <v>2.45</v>
      </c>
      <c r="P406" s="80" t="n">
        <v>0.03</v>
      </c>
      <c r="Q406" s="80" t="n">
        <v>0</v>
      </c>
      <c r="R406" s="80" t="n">
        <v>1</v>
      </c>
      <c r="S406" s="80">
        <f>IF(AC406="Cancelled",0,M406*R406)</f>
        <v/>
      </c>
      <c r="T406" s="80">
        <f>IF(AC406="Cancelled",0,N406*R406)</f>
        <v/>
      </c>
      <c r="U406" s="80">
        <f>IF(AC406="Cancelled",0,O406*R406)</f>
        <v/>
      </c>
      <c r="V406" s="80">
        <f>IF(AC406="Cancelled",0,ROUND(P406*S406,2))</f>
        <v/>
      </c>
      <c r="W406" s="80" t="inlineStr">
        <is>
          <t>No</t>
        </is>
      </c>
      <c r="X406" s="80" t="n">
        <v>0</v>
      </c>
      <c r="Y406" s="80">
        <f>IF(AC406="Cancelled",0,T406+U406+V406+Q406+X406)</f>
        <v/>
      </c>
      <c r="Z406" s="80">
        <f>IF(AC406="Cancelled",-Q406,S406-Y406)</f>
        <v/>
      </c>
      <c r="AA406" s="81">
        <f>IF(OR(AC406="Cancelled",S406=0),0,Z406/S406)</f>
        <v/>
      </c>
      <c r="AB406" s="82">
        <f>IFERROR(S406/Q406,0)</f>
        <v/>
      </c>
      <c r="AC406" s="56" t="inlineStr">
        <is>
          <t>Delivered</t>
        </is>
      </c>
    </row>
    <row r="407" ht="14.25" customHeight="1" s="57">
      <c r="A407" s="56" t="inlineStr">
        <is>
          <t>ORD-00429</t>
        </is>
      </c>
      <c r="B407" s="79" t="n">
        <v>46051</v>
      </c>
      <c r="C407" s="56" t="n">
        <v>2026</v>
      </c>
      <c r="D407" s="56" t="n">
        <v>1</v>
      </c>
      <c r="E407" s="56" t="inlineStr">
        <is>
          <t>UAE</t>
        </is>
      </c>
      <c r="F407" s="56" t="inlineStr">
        <is>
          <t>Sharjah</t>
        </is>
      </c>
      <c r="G407" s="56" t="inlineStr">
        <is>
          <t>Influencer</t>
        </is>
      </c>
      <c r="H407" s="56" t="inlineStr">
        <is>
          <t>Retargeting</t>
        </is>
      </c>
      <c r="I407" s="56" t="inlineStr">
        <is>
          <t>P002</t>
        </is>
      </c>
      <c r="J407" s="56" t="inlineStr">
        <is>
          <t>Phone Case</t>
        </is>
      </c>
      <c r="K407" s="56" t="inlineStr">
        <is>
          <t>Accessories</t>
        </is>
      </c>
      <c r="L407" s="56" t="inlineStr">
        <is>
          <t>Guangzhou Cases Ltd.</t>
        </is>
      </c>
      <c r="M407" s="80" t="n">
        <v>14.9</v>
      </c>
      <c r="N407" s="80" t="n">
        <v>2.06</v>
      </c>
      <c r="O407" s="80" t="n">
        <v>2.26</v>
      </c>
      <c r="P407" s="80" t="n">
        <v>0.03</v>
      </c>
      <c r="Q407" s="80" t="n">
        <v>7.78</v>
      </c>
      <c r="R407" s="80" t="n">
        <v>1</v>
      </c>
      <c r="S407" s="80">
        <f>IF(AC407="Cancelled",0,M407*R407)</f>
        <v/>
      </c>
      <c r="T407" s="80">
        <f>IF(AC407="Cancelled",0,N407*R407)</f>
        <v/>
      </c>
      <c r="U407" s="80">
        <f>IF(AC407="Cancelled",0,O407*R407)</f>
        <v/>
      </c>
      <c r="V407" s="80">
        <f>IF(AC407="Cancelled",0,ROUND(P407*S407,2))</f>
        <v/>
      </c>
      <c r="W407" s="80" t="inlineStr">
        <is>
          <t>No</t>
        </is>
      </c>
      <c r="X407" s="80" t="n">
        <v>0</v>
      </c>
      <c r="Y407" s="80">
        <f>IF(AC407="Cancelled",0,T407+U407+V407+Q407+X407)</f>
        <v/>
      </c>
      <c r="Z407" s="80">
        <f>IF(AC407="Cancelled",-Q407,S407-Y407)</f>
        <v/>
      </c>
      <c r="AA407" s="81">
        <f>IF(OR(AC407="Cancelled",S407=0),0,Z407/S407)</f>
        <v/>
      </c>
      <c r="AB407" s="82">
        <f>IFERROR(S407/Q407,0)</f>
        <v/>
      </c>
      <c r="AC407" s="56" t="inlineStr">
        <is>
          <t>Delivered</t>
        </is>
      </c>
    </row>
    <row r="408" ht="14.25" customHeight="1" s="57">
      <c r="A408" s="56" t="inlineStr">
        <is>
          <t>ORD-00216</t>
        </is>
      </c>
      <c r="B408" s="79" t="n">
        <v>46052</v>
      </c>
      <c r="C408" s="56" t="n">
        <v>2026</v>
      </c>
      <c r="D408" s="56" t="n">
        <v>1</v>
      </c>
      <c r="E408" s="56" t="inlineStr">
        <is>
          <t>UAE</t>
        </is>
      </c>
      <c r="F408" s="56" t="inlineStr">
        <is>
          <t>Sharjah</t>
        </is>
      </c>
      <c r="G408" s="56" t="inlineStr">
        <is>
          <t>TikTok Ads</t>
        </is>
      </c>
      <c r="H408" s="56" t="inlineStr">
        <is>
          <t>Launch Test</t>
        </is>
      </c>
      <c r="I408" s="56" t="inlineStr">
        <is>
          <t>P009</t>
        </is>
      </c>
      <c r="J408" s="56" t="inlineStr">
        <is>
          <t>Car Vacuum Cleaner</t>
        </is>
      </c>
      <c r="K408" s="56" t="inlineStr">
        <is>
          <t>Automotive</t>
        </is>
      </c>
      <c r="L408" s="56" t="inlineStr">
        <is>
          <t>Dongguan Auto Tools</t>
        </is>
      </c>
      <c r="M408" s="80" t="n">
        <v>43.2</v>
      </c>
      <c r="N408" s="80" t="n">
        <v>13.97</v>
      </c>
      <c r="O408" s="80" t="n">
        <v>6.67</v>
      </c>
      <c r="P408" s="80" t="n">
        <v>0.03</v>
      </c>
      <c r="Q408" s="80" t="n">
        <v>26.99</v>
      </c>
      <c r="R408" s="80" t="n">
        <v>3</v>
      </c>
      <c r="S408" s="80">
        <f>IF(AC408="Cancelled",0,M408*R408)</f>
        <v/>
      </c>
      <c r="T408" s="80">
        <f>IF(AC408="Cancelled",0,N408*R408)</f>
        <v/>
      </c>
      <c r="U408" s="80">
        <f>IF(AC408="Cancelled",0,O408*R408)</f>
        <v/>
      </c>
      <c r="V408" s="80">
        <f>IF(AC408="Cancelled",0,ROUND(P408*S408,2))</f>
        <v/>
      </c>
      <c r="W408" s="80" t="inlineStr">
        <is>
          <t>No</t>
        </is>
      </c>
      <c r="X408" s="80" t="n">
        <v>0</v>
      </c>
      <c r="Y408" s="80">
        <f>IF(AC408="Cancelled",0,T408+U408+V408+Q408+X408)</f>
        <v/>
      </c>
      <c r="Z408" s="80">
        <f>IF(AC408="Cancelled",-Q408,S408-Y408)</f>
        <v/>
      </c>
      <c r="AA408" s="81">
        <f>IF(OR(AC408="Cancelled",S408=0),0,Z408/S408)</f>
        <v/>
      </c>
      <c r="AB408" s="82">
        <f>IFERROR(S408/Q408,0)</f>
        <v/>
      </c>
      <c r="AC408" s="56" t="inlineStr">
        <is>
          <t>Cancelled</t>
        </is>
      </c>
    </row>
    <row r="409" ht="14.25" customHeight="1" s="57">
      <c r="A409" s="56" t="inlineStr">
        <is>
          <t>ORD-00236</t>
        </is>
      </c>
      <c r="B409" s="79" t="n">
        <v>46054</v>
      </c>
      <c r="C409" s="56" t="n">
        <v>2026</v>
      </c>
      <c r="D409" s="56" t="n">
        <v>2</v>
      </c>
      <c r="E409" s="56" t="inlineStr">
        <is>
          <t>Oman</t>
        </is>
      </c>
      <c r="F409" s="56" t="inlineStr">
        <is>
          <t>Muscat</t>
        </is>
      </c>
      <c r="G409" s="56" t="inlineStr">
        <is>
          <t>Email</t>
        </is>
      </c>
      <c r="H409" s="56" t="inlineStr">
        <is>
          <t>Retargeting</t>
        </is>
      </c>
      <c r="I409" s="56" t="inlineStr">
        <is>
          <t>P006</t>
        </is>
      </c>
      <c r="J409" s="56" t="inlineStr">
        <is>
          <t>Posture Corrector</t>
        </is>
      </c>
      <c r="K409" s="56" t="inlineStr">
        <is>
          <t>Fitness</t>
        </is>
      </c>
      <c r="L409" s="56" t="inlineStr">
        <is>
          <t>Hangzhou Health Gear</t>
        </is>
      </c>
      <c r="M409" s="80" t="n">
        <v>36.36</v>
      </c>
      <c r="N409" s="80" t="n">
        <v>9.56</v>
      </c>
      <c r="O409" s="80" t="n">
        <v>4.03</v>
      </c>
      <c r="P409" s="80" t="n">
        <v>0.03</v>
      </c>
      <c r="Q409" s="80" t="n">
        <v>6.21</v>
      </c>
      <c r="R409" s="80" t="n">
        <v>1</v>
      </c>
      <c r="S409" s="80">
        <f>IF(AC409="Cancelled",0,M409*R409)</f>
        <v/>
      </c>
      <c r="T409" s="80">
        <f>IF(AC409="Cancelled",0,N409*R409)</f>
        <v/>
      </c>
      <c r="U409" s="80">
        <f>IF(AC409="Cancelled",0,O409*R409)</f>
        <v/>
      </c>
      <c r="V409" s="80">
        <f>IF(AC409="Cancelled",0,ROUND(P409*S409,2))</f>
        <v/>
      </c>
      <c r="W409" s="80" t="inlineStr">
        <is>
          <t>No</t>
        </is>
      </c>
      <c r="X409" s="80" t="n">
        <v>0</v>
      </c>
      <c r="Y409" s="80">
        <f>IF(AC409="Cancelled",0,T409+U409+V409+Q409+X409)</f>
        <v/>
      </c>
      <c r="Z409" s="80">
        <f>IF(AC409="Cancelled",-Q409,S409-Y409)</f>
        <v/>
      </c>
      <c r="AA409" s="81">
        <f>IF(OR(AC409="Cancelled",S409=0),0,Z409/S409)</f>
        <v/>
      </c>
      <c r="AB409" s="82">
        <f>IFERROR(S409/Q409,0)</f>
        <v/>
      </c>
      <c r="AC409" s="56" t="inlineStr">
        <is>
          <t>Delivered</t>
        </is>
      </c>
    </row>
    <row r="410" ht="14.25" customHeight="1" s="57">
      <c r="A410" s="56" t="inlineStr">
        <is>
          <t>ORD-00007</t>
        </is>
      </c>
      <c r="B410" s="79" t="n">
        <v>46055</v>
      </c>
      <c r="C410" s="56" t="n">
        <v>2026</v>
      </c>
      <c r="D410" s="56" t="n">
        <v>2</v>
      </c>
      <c r="E410" s="56" t="inlineStr">
        <is>
          <t>UAE</t>
        </is>
      </c>
      <c r="F410" s="56" t="inlineStr">
        <is>
          <t>Sharjah</t>
        </is>
      </c>
      <c r="G410" s="56" t="inlineStr">
        <is>
          <t>Email</t>
        </is>
      </c>
      <c r="H410" s="56" t="inlineStr">
        <is>
          <t>Retargeting</t>
        </is>
      </c>
      <c r="I410" s="56" t="inlineStr">
        <is>
          <t>P002</t>
        </is>
      </c>
      <c r="J410" s="56" t="inlineStr">
        <is>
          <t>Phone Case</t>
        </is>
      </c>
      <c r="K410" s="56" t="inlineStr">
        <is>
          <t>Accessories</t>
        </is>
      </c>
      <c r="L410" s="56" t="inlineStr">
        <is>
          <t>Guangzhou Cases Ltd.</t>
        </is>
      </c>
      <c r="M410" s="80" t="n">
        <v>14.64</v>
      </c>
      <c r="N410" s="80" t="n">
        <v>2.15</v>
      </c>
      <c r="O410" s="80" t="n">
        <v>2.02</v>
      </c>
      <c r="P410" s="80" t="n">
        <v>0.03</v>
      </c>
      <c r="Q410" s="80" t="n">
        <v>14.94</v>
      </c>
      <c r="R410" s="80" t="n">
        <v>2</v>
      </c>
      <c r="S410" s="80">
        <f>IF(AC410="Cancelled",0,M410*R410)</f>
        <v/>
      </c>
      <c r="T410" s="80">
        <f>IF(AC410="Cancelled",0,N410*R410)</f>
        <v/>
      </c>
      <c r="U410" s="80">
        <f>IF(AC410="Cancelled",0,O410*R410)</f>
        <v/>
      </c>
      <c r="V410" s="80">
        <f>IF(AC410="Cancelled",0,ROUND(P410*S410,2))</f>
        <v/>
      </c>
      <c r="W410" s="80" t="inlineStr">
        <is>
          <t>No</t>
        </is>
      </c>
      <c r="X410" s="80" t="n">
        <v>0</v>
      </c>
      <c r="Y410" s="80">
        <f>IF(AC410="Cancelled",0,T410+U410+V410+Q410+X410)</f>
        <v/>
      </c>
      <c r="Z410" s="80">
        <f>IF(AC410="Cancelled",-Q410,S410-Y410)</f>
        <v/>
      </c>
      <c r="AA410" s="81">
        <f>IF(OR(AC410="Cancelled",S410=0),0,Z410/S410)</f>
        <v/>
      </c>
      <c r="AB410" s="82">
        <f>IFERROR(S410/Q410,0)</f>
        <v/>
      </c>
      <c r="AC410" s="56" t="inlineStr">
        <is>
          <t>Delivered</t>
        </is>
      </c>
    </row>
    <row r="411" ht="14.25" customHeight="1" s="57">
      <c r="A411" s="56" t="inlineStr">
        <is>
          <t>ORD-00232</t>
        </is>
      </c>
      <c r="B411" s="79" t="n">
        <v>46056</v>
      </c>
      <c r="C411" s="56" t="n">
        <v>2026</v>
      </c>
      <c r="D411" s="56" t="n">
        <v>2</v>
      </c>
      <c r="E411" s="56" t="inlineStr">
        <is>
          <t>UAE</t>
        </is>
      </c>
      <c r="F411" s="56" t="inlineStr">
        <is>
          <t>Dubai</t>
        </is>
      </c>
      <c r="G411" s="56" t="inlineStr">
        <is>
          <t>TikTok Ads</t>
        </is>
      </c>
      <c r="H411" s="56" t="inlineStr">
        <is>
          <t>Summer Sale</t>
        </is>
      </c>
      <c r="I411" s="56" t="inlineStr">
        <is>
          <t>P002</t>
        </is>
      </c>
      <c r="J411" s="56" t="inlineStr">
        <is>
          <t>Phone Case</t>
        </is>
      </c>
      <c r="K411" s="56" t="inlineStr">
        <is>
          <t>Accessories</t>
        </is>
      </c>
      <c r="L411" s="56" t="inlineStr">
        <is>
          <t>Guangzhou Cases Ltd.</t>
        </is>
      </c>
      <c r="M411" s="80" t="n">
        <v>16.51</v>
      </c>
      <c r="N411" s="80" t="n">
        <v>2.04</v>
      </c>
      <c r="O411" s="80" t="n">
        <v>1.91</v>
      </c>
      <c r="P411" s="80" t="n">
        <v>0.03</v>
      </c>
      <c r="Q411" s="80" t="n">
        <v>15.86</v>
      </c>
      <c r="R411" s="80" t="n">
        <v>2</v>
      </c>
      <c r="S411" s="80">
        <f>IF(AC411="Cancelled",0,M411*R411)</f>
        <v/>
      </c>
      <c r="T411" s="80">
        <f>IF(AC411="Cancelled",0,N411*R411)</f>
        <v/>
      </c>
      <c r="U411" s="80">
        <f>IF(AC411="Cancelled",0,O411*R411)</f>
        <v/>
      </c>
      <c r="V411" s="80">
        <f>IF(AC411="Cancelled",0,ROUND(P411*S411,2))</f>
        <v/>
      </c>
      <c r="W411" s="80" t="inlineStr">
        <is>
          <t>No</t>
        </is>
      </c>
      <c r="X411" s="80" t="n">
        <v>0</v>
      </c>
      <c r="Y411" s="80">
        <f>IF(AC411="Cancelled",0,T411+U411+V411+Q411+X411)</f>
        <v/>
      </c>
      <c r="Z411" s="80">
        <f>IF(AC411="Cancelled",-Q411,S411-Y411)</f>
        <v/>
      </c>
      <c r="AA411" s="81">
        <f>IF(OR(AC411="Cancelled",S411=0),0,Z411/S411)</f>
        <v/>
      </c>
      <c r="AB411" s="82">
        <f>IFERROR(S411/Q411,0)</f>
        <v/>
      </c>
      <c r="AC411" s="56" t="inlineStr">
        <is>
          <t>Delivered</t>
        </is>
      </c>
    </row>
    <row r="412" ht="14.25" customHeight="1" s="57">
      <c r="A412" s="56" t="inlineStr">
        <is>
          <t>ORD-00263</t>
        </is>
      </c>
      <c r="B412" s="79" t="n">
        <v>46056</v>
      </c>
      <c r="C412" s="56" t="n">
        <v>2026</v>
      </c>
      <c r="D412" s="56" t="n">
        <v>2</v>
      </c>
      <c r="E412" s="56" t="inlineStr">
        <is>
          <t>Saudi Arabia</t>
        </is>
      </c>
      <c r="F412" s="56" t="inlineStr">
        <is>
          <t>Riyadh</t>
        </is>
      </c>
      <c r="G412" s="56" t="inlineStr">
        <is>
          <t>Meta Ads</t>
        </is>
      </c>
      <c r="H412" s="56" t="inlineStr">
        <is>
          <t>Retargeting</t>
        </is>
      </c>
      <c r="I412" s="56" t="inlineStr">
        <is>
          <t>P010</t>
        </is>
      </c>
      <c r="J412" s="56" t="inlineStr">
        <is>
          <t>Smart Water Bottle</t>
        </is>
      </c>
      <c r="K412" s="56" t="inlineStr">
        <is>
          <t>Lifestyle</t>
        </is>
      </c>
      <c r="L412" s="56" t="inlineStr">
        <is>
          <t>Shenzhen Smart Home</t>
        </is>
      </c>
      <c r="M412" s="80" t="n">
        <v>34.51</v>
      </c>
      <c r="N412" s="80" t="n">
        <v>9.609999999999999</v>
      </c>
      <c r="O412" s="80" t="n">
        <v>3.96</v>
      </c>
      <c r="P412" s="80" t="n">
        <v>0.03</v>
      </c>
      <c r="Q412" s="80" t="n">
        <v>5.66</v>
      </c>
      <c r="R412" s="80" t="n">
        <v>3</v>
      </c>
      <c r="S412" s="80">
        <f>IF(AC412="Cancelled",0,M412*R412)</f>
        <v/>
      </c>
      <c r="T412" s="80">
        <f>IF(AC412="Cancelled",0,N412*R412)</f>
        <v/>
      </c>
      <c r="U412" s="80">
        <f>IF(AC412="Cancelled",0,O412*R412)</f>
        <v/>
      </c>
      <c r="V412" s="80">
        <f>IF(AC412="Cancelled",0,ROUND(P412*S412,2))</f>
        <v/>
      </c>
      <c r="W412" s="80" t="inlineStr">
        <is>
          <t>No</t>
        </is>
      </c>
      <c r="X412" s="80" t="n">
        <v>0</v>
      </c>
      <c r="Y412" s="80">
        <f>IF(AC412="Cancelled",0,T412+U412+V412+Q412+X412)</f>
        <v/>
      </c>
      <c r="Z412" s="80">
        <f>IF(AC412="Cancelled",-Q412,S412-Y412)</f>
        <v/>
      </c>
      <c r="AA412" s="81">
        <f>IF(OR(AC412="Cancelled",S412=0),0,Z412/S412)</f>
        <v/>
      </c>
      <c r="AB412" s="82">
        <f>IFERROR(S412/Q412,0)</f>
        <v/>
      </c>
      <c r="AC412" s="56" t="inlineStr">
        <is>
          <t>Delivered</t>
        </is>
      </c>
    </row>
    <row r="413" ht="14.25" customHeight="1" s="57">
      <c r="A413" s="56" t="inlineStr">
        <is>
          <t>ORD-00324</t>
        </is>
      </c>
      <c r="B413" s="79" t="n">
        <v>46058</v>
      </c>
      <c r="C413" s="56" t="n">
        <v>2026</v>
      </c>
      <c r="D413" s="56" t="n">
        <v>2</v>
      </c>
      <c r="E413" s="56" t="inlineStr">
        <is>
          <t>UAE</t>
        </is>
      </c>
      <c r="F413" s="56" t="inlineStr">
        <is>
          <t>Abu Dhabi</t>
        </is>
      </c>
      <c r="G413" s="56" t="inlineStr">
        <is>
          <t>TikTok Ads</t>
        </is>
      </c>
      <c r="H413" s="56" t="inlineStr">
        <is>
          <t>Retargeting</t>
        </is>
      </c>
      <c r="I413" s="56" t="inlineStr">
        <is>
          <t>P009</t>
        </is>
      </c>
      <c r="J413" s="56" t="inlineStr">
        <is>
          <t>Car Vacuum Cleaner</t>
        </is>
      </c>
      <c r="K413" s="56" t="inlineStr">
        <is>
          <t>Automotive</t>
        </is>
      </c>
      <c r="L413" s="56" t="inlineStr">
        <is>
          <t>Dongguan Auto Tools</t>
        </is>
      </c>
      <c r="M413" s="80" t="n">
        <v>47.42</v>
      </c>
      <c r="N413" s="80" t="n">
        <v>14.72</v>
      </c>
      <c r="O413" s="80" t="n">
        <v>7.05</v>
      </c>
      <c r="P413" s="80" t="n">
        <v>0.03</v>
      </c>
      <c r="Q413" s="80" t="n">
        <v>14.5</v>
      </c>
      <c r="R413" s="80" t="n">
        <v>2</v>
      </c>
      <c r="S413" s="80">
        <f>IF(AC413="Cancelled",0,M413*R413)</f>
        <v/>
      </c>
      <c r="T413" s="80">
        <f>IF(AC413="Cancelled",0,N413*R413)</f>
        <v/>
      </c>
      <c r="U413" s="80">
        <f>IF(AC413="Cancelled",0,O413*R413)</f>
        <v/>
      </c>
      <c r="V413" s="80">
        <f>IF(AC413="Cancelled",0,ROUND(P413*S413,2))</f>
        <v/>
      </c>
      <c r="W413" s="80" t="inlineStr">
        <is>
          <t>No</t>
        </is>
      </c>
      <c r="X413" s="80" t="n">
        <v>0</v>
      </c>
      <c r="Y413" s="80">
        <f>IF(AC413="Cancelled",0,T413+U413+V413+Q413+X413)</f>
        <v/>
      </c>
      <c r="Z413" s="80">
        <f>IF(AC413="Cancelled",-Q413,S413-Y413)</f>
        <v/>
      </c>
      <c r="AA413" s="81">
        <f>IF(OR(AC413="Cancelled",S413=0),0,Z413/S413)</f>
        <v/>
      </c>
      <c r="AB413" s="82">
        <f>IFERROR(S413/Q413,0)</f>
        <v/>
      </c>
      <c r="AC413" s="56" t="inlineStr">
        <is>
          <t>Delivered</t>
        </is>
      </c>
    </row>
    <row r="414" ht="14.25" customHeight="1" s="57">
      <c r="A414" s="56" t="inlineStr">
        <is>
          <t>ORD-00175</t>
        </is>
      </c>
      <c r="B414" s="79" t="n">
        <v>46060</v>
      </c>
      <c r="C414" s="56" t="n">
        <v>2026</v>
      </c>
      <c r="D414" s="56" t="n">
        <v>2</v>
      </c>
      <c r="E414" s="56" t="inlineStr">
        <is>
          <t>Qatar</t>
        </is>
      </c>
      <c r="F414" s="56" t="inlineStr">
        <is>
          <t>Doha</t>
        </is>
      </c>
      <c r="G414" s="56" t="inlineStr">
        <is>
          <t>Influencer</t>
        </is>
      </c>
      <c r="H414" s="56" t="inlineStr">
        <is>
          <t>Retargeting</t>
        </is>
      </c>
      <c r="I414" s="56" t="inlineStr">
        <is>
          <t>P010</t>
        </is>
      </c>
      <c r="J414" s="56" t="inlineStr">
        <is>
          <t>Smart Water Bottle</t>
        </is>
      </c>
      <c r="K414" s="56" t="inlineStr">
        <is>
          <t>Lifestyle</t>
        </is>
      </c>
      <c r="L414" s="56" t="inlineStr">
        <is>
          <t>Shenzhen Smart Home</t>
        </is>
      </c>
      <c r="M414" s="80" t="n">
        <v>35.11</v>
      </c>
      <c r="N414" s="80" t="n">
        <v>9.6</v>
      </c>
      <c r="O414" s="80" t="n">
        <v>4.55</v>
      </c>
      <c r="P414" s="80" t="n">
        <v>0.03</v>
      </c>
      <c r="Q414" s="80" t="n">
        <v>13.93</v>
      </c>
      <c r="R414" s="80" t="n">
        <v>3</v>
      </c>
      <c r="S414" s="80">
        <f>IF(AC414="Cancelled",0,M414*R414)</f>
        <v/>
      </c>
      <c r="T414" s="80">
        <f>IF(AC414="Cancelled",0,N414*R414)</f>
        <v/>
      </c>
      <c r="U414" s="80">
        <f>IF(AC414="Cancelled",0,O414*R414)</f>
        <v/>
      </c>
      <c r="V414" s="80">
        <f>IF(AC414="Cancelled",0,ROUND(P414*S414,2))</f>
        <v/>
      </c>
      <c r="W414" s="80" t="inlineStr">
        <is>
          <t>No</t>
        </is>
      </c>
      <c r="X414" s="80" t="n">
        <v>0</v>
      </c>
      <c r="Y414" s="80">
        <f>IF(AC414="Cancelled",0,T414+U414+V414+Q414+X414)</f>
        <v/>
      </c>
      <c r="Z414" s="80">
        <f>IF(AC414="Cancelled",-Q414,S414-Y414)</f>
        <v/>
      </c>
      <c r="AA414" s="81">
        <f>IF(OR(AC414="Cancelled",S414=0),0,Z414/S414)</f>
        <v/>
      </c>
      <c r="AB414" s="82">
        <f>IFERROR(S414/Q414,0)</f>
        <v/>
      </c>
      <c r="AC414" s="56" t="inlineStr">
        <is>
          <t>Delivered</t>
        </is>
      </c>
    </row>
    <row r="415" ht="14.25" customHeight="1" s="57">
      <c r="A415" s="56" t="inlineStr">
        <is>
          <t>ORD-00446</t>
        </is>
      </c>
      <c r="B415" s="79" t="n">
        <v>46060</v>
      </c>
      <c r="C415" s="56" t="n">
        <v>2026</v>
      </c>
      <c r="D415" s="56" t="n">
        <v>2</v>
      </c>
      <c r="E415" s="56" t="inlineStr">
        <is>
          <t>Saudi Arabia</t>
        </is>
      </c>
      <c r="F415" s="56" t="inlineStr">
        <is>
          <t>Riyadh</t>
        </is>
      </c>
      <c r="G415" s="56" t="inlineStr">
        <is>
          <t>Influencer</t>
        </is>
      </c>
      <c r="H415" s="56" t="inlineStr">
        <is>
          <t>New Creative A/B</t>
        </is>
      </c>
      <c r="I415" s="56" t="inlineStr">
        <is>
          <t>P008</t>
        </is>
      </c>
      <c r="J415" s="56" t="inlineStr">
        <is>
          <t>Portable Blender</t>
        </is>
      </c>
      <c r="K415" s="56" t="inlineStr">
        <is>
          <t>Kitchen</t>
        </is>
      </c>
      <c r="L415" s="56" t="inlineStr">
        <is>
          <t>Foshan Appliances</t>
        </is>
      </c>
      <c r="M415" s="80" t="n">
        <v>48.91</v>
      </c>
      <c r="N415" s="80" t="n">
        <v>16.86</v>
      </c>
      <c r="O415" s="80" t="n">
        <v>6.54</v>
      </c>
      <c r="P415" s="80" t="n">
        <v>0.03</v>
      </c>
      <c r="Q415" s="80" t="n">
        <v>3.53</v>
      </c>
      <c r="R415" s="80" t="n">
        <v>1</v>
      </c>
      <c r="S415" s="80">
        <f>IF(AC415="Cancelled",0,M415*R415)</f>
        <v/>
      </c>
      <c r="T415" s="80">
        <f>IF(AC415="Cancelled",0,N415*R415)</f>
        <v/>
      </c>
      <c r="U415" s="80">
        <f>IF(AC415="Cancelled",0,O415*R415)</f>
        <v/>
      </c>
      <c r="V415" s="80">
        <f>IF(AC415="Cancelled",0,ROUND(P415*S415,2))</f>
        <v/>
      </c>
      <c r="W415" s="80" t="inlineStr">
        <is>
          <t>No</t>
        </is>
      </c>
      <c r="X415" s="80" t="n">
        <v>0</v>
      </c>
      <c r="Y415" s="80">
        <f>IF(AC415="Cancelled",0,T415+U415+V415+Q415+X415)</f>
        <v/>
      </c>
      <c r="Z415" s="80">
        <f>IF(AC415="Cancelled",-Q415,S415-Y415)</f>
        <v/>
      </c>
      <c r="AA415" s="81">
        <f>IF(OR(AC415="Cancelled",S415=0),0,Z415/S415)</f>
        <v/>
      </c>
      <c r="AB415" s="82">
        <f>IFERROR(S415/Q415,0)</f>
        <v/>
      </c>
      <c r="AC415" s="56" t="inlineStr">
        <is>
          <t>Delivered</t>
        </is>
      </c>
    </row>
    <row r="416" ht="14.25" customHeight="1" s="57">
      <c r="A416" s="56" t="inlineStr">
        <is>
          <t>ORD-00036</t>
        </is>
      </c>
      <c r="B416" s="79" t="n">
        <v>46061</v>
      </c>
      <c r="C416" s="56" t="n">
        <v>2026</v>
      </c>
      <c r="D416" s="56" t="n">
        <v>2</v>
      </c>
      <c r="E416" s="56" t="inlineStr">
        <is>
          <t>Saudi Arabia</t>
        </is>
      </c>
      <c r="F416" s="56" t="inlineStr">
        <is>
          <t>Riyadh</t>
        </is>
      </c>
      <c r="G416" s="56" t="inlineStr">
        <is>
          <t>TikTok Ads</t>
        </is>
      </c>
      <c r="H416" s="56" t="inlineStr">
        <is>
          <t>New Creative A/B</t>
        </is>
      </c>
      <c r="I416" s="56" t="inlineStr">
        <is>
          <t>P003</t>
        </is>
      </c>
      <c r="J416" s="56" t="inlineStr">
        <is>
          <t>LED Strip Lights</t>
        </is>
      </c>
      <c r="K416" s="56" t="inlineStr">
        <is>
          <t>Home Decor</t>
        </is>
      </c>
      <c r="L416" s="56" t="inlineStr">
        <is>
          <t>Yiwu Lighting Factory</t>
        </is>
      </c>
      <c r="M416" s="80" t="n">
        <v>23.6</v>
      </c>
      <c r="N416" s="80" t="n">
        <v>6.41</v>
      </c>
      <c r="O416" s="80" t="n">
        <v>3.49</v>
      </c>
      <c r="P416" s="80" t="n">
        <v>0.03</v>
      </c>
      <c r="Q416" s="80" t="n">
        <v>6.18</v>
      </c>
      <c r="R416" s="80" t="n">
        <v>1</v>
      </c>
      <c r="S416" s="80">
        <f>IF(AC416="Cancelled",0,M416*R416)</f>
        <v/>
      </c>
      <c r="T416" s="80">
        <f>IF(AC416="Cancelled",0,N416*R416)</f>
        <v/>
      </c>
      <c r="U416" s="80">
        <f>IF(AC416="Cancelled",0,O416*R416)</f>
        <v/>
      </c>
      <c r="V416" s="80">
        <f>IF(AC416="Cancelled",0,ROUND(P416*S416,2))</f>
        <v/>
      </c>
      <c r="W416" s="80" t="inlineStr">
        <is>
          <t>Yes</t>
        </is>
      </c>
      <c r="X416" s="80" t="n">
        <v>16.94</v>
      </c>
      <c r="Y416" s="80">
        <f>IF(AC416="Cancelled",0,T416+U416+V416+Q416+X416)</f>
        <v/>
      </c>
      <c r="Z416" s="80">
        <f>IF(AC416="Cancelled",-Q416,S416-Y416)</f>
        <v/>
      </c>
      <c r="AA416" s="81">
        <f>IF(OR(AC416="Cancelled",S416=0),0,Z416/S416)</f>
        <v/>
      </c>
      <c r="AB416" s="82">
        <f>IFERROR(S416/Q416,0)</f>
        <v/>
      </c>
      <c r="AC416" s="56" t="inlineStr">
        <is>
          <t>Refunded</t>
        </is>
      </c>
    </row>
    <row r="417" ht="14.25" customHeight="1" s="57">
      <c r="A417" s="56" t="inlineStr">
        <is>
          <t>ORD-00246</t>
        </is>
      </c>
      <c r="B417" s="79" t="n">
        <v>46066</v>
      </c>
      <c r="C417" s="56" t="n">
        <v>2026</v>
      </c>
      <c r="D417" s="56" t="n">
        <v>2</v>
      </c>
      <c r="E417" s="56" t="inlineStr">
        <is>
          <t>UAE</t>
        </is>
      </c>
      <c r="F417" s="56" t="inlineStr">
        <is>
          <t>Sharjah</t>
        </is>
      </c>
      <c r="G417" s="56" t="inlineStr">
        <is>
          <t>TikTok Ads</t>
        </is>
      </c>
      <c r="H417" s="56" t="inlineStr">
        <is>
          <t>Launch Test</t>
        </is>
      </c>
      <c r="I417" s="56" t="inlineStr">
        <is>
          <t>P005</t>
        </is>
      </c>
      <c r="J417" s="56" t="inlineStr">
        <is>
          <t>Mini Printer</t>
        </is>
      </c>
      <c r="K417" s="56" t="inlineStr">
        <is>
          <t>Electronics</t>
        </is>
      </c>
      <c r="L417" s="56" t="inlineStr">
        <is>
          <t>Shenzhen Print Tech</t>
        </is>
      </c>
      <c r="M417" s="80" t="n">
        <v>59.37</v>
      </c>
      <c r="N417" s="80" t="n">
        <v>22.55</v>
      </c>
      <c r="O417" s="80" t="n">
        <v>6.45</v>
      </c>
      <c r="P417" s="80" t="n">
        <v>0.03</v>
      </c>
      <c r="Q417" s="80" t="n">
        <v>5.25</v>
      </c>
      <c r="R417" s="80" t="n">
        <v>1</v>
      </c>
      <c r="S417" s="80">
        <f>IF(AC417="Cancelled",0,M417*R417)</f>
        <v/>
      </c>
      <c r="T417" s="80">
        <f>IF(AC417="Cancelled",0,N417*R417)</f>
        <v/>
      </c>
      <c r="U417" s="80">
        <f>IF(AC417="Cancelled",0,O417*R417)</f>
        <v/>
      </c>
      <c r="V417" s="80">
        <f>IF(AC417="Cancelled",0,ROUND(P417*S417,2))</f>
        <v/>
      </c>
      <c r="W417" s="80" t="inlineStr">
        <is>
          <t>No</t>
        </is>
      </c>
      <c r="X417" s="80" t="n">
        <v>0</v>
      </c>
      <c r="Y417" s="80">
        <f>IF(AC417="Cancelled",0,T417+U417+V417+Q417+X417)</f>
        <v/>
      </c>
      <c r="Z417" s="80">
        <f>IF(AC417="Cancelled",-Q417,S417-Y417)</f>
        <v/>
      </c>
      <c r="AA417" s="81">
        <f>IF(OR(AC417="Cancelled",S417=0),0,Z417/S417)</f>
        <v/>
      </c>
      <c r="AB417" s="82">
        <f>IFERROR(S417/Q417,0)</f>
        <v/>
      </c>
      <c r="AC417" s="56" t="inlineStr">
        <is>
          <t>Delivered</t>
        </is>
      </c>
    </row>
    <row r="418" ht="14.25" customHeight="1" s="57">
      <c r="A418" s="56" t="inlineStr">
        <is>
          <t>ORD-00500</t>
        </is>
      </c>
      <c r="B418" s="79" t="n">
        <v>46066</v>
      </c>
      <c r="C418" s="56" t="n">
        <v>2026</v>
      </c>
      <c r="D418" s="56" t="n">
        <v>2</v>
      </c>
      <c r="E418" s="56" t="inlineStr">
        <is>
          <t>Saudi Arabia</t>
        </is>
      </c>
      <c r="F418" s="56" t="inlineStr">
        <is>
          <t>Riyadh</t>
        </is>
      </c>
      <c r="G418" s="56" t="inlineStr">
        <is>
          <t>Meta Ads</t>
        </is>
      </c>
      <c r="H418" s="56" t="inlineStr">
        <is>
          <t>Bundle Promo</t>
        </is>
      </c>
      <c r="I418" s="56" t="inlineStr">
        <is>
          <t>P007</t>
        </is>
      </c>
      <c r="J418" s="56" t="inlineStr">
        <is>
          <t>Pet Grooming Glove</t>
        </is>
      </c>
      <c r="K418" s="56" t="inlineStr">
        <is>
          <t>Pets</t>
        </is>
      </c>
      <c r="L418" s="56" t="inlineStr">
        <is>
          <t>Yiwu Pet Products</t>
        </is>
      </c>
      <c r="M418" s="80" t="n">
        <v>21.89</v>
      </c>
      <c r="N418" s="80" t="n">
        <v>3.69</v>
      </c>
      <c r="O418" s="80" t="n">
        <v>2.74</v>
      </c>
      <c r="P418" s="80" t="n">
        <v>0.03</v>
      </c>
      <c r="Q418" s="80" t="n">
        <v>2.21</v>
      </c>
      <c r="R418" s="80" t="n">
        <v>1</v>
      </c>
      <c r="S418" s="80">
        <f>IF(AC418="Cancelled",0,M418*R418)</f>
        <v/>
      </c>
      <c r="T418" s="80">
        <f>IF(AC418="Cancelled",0,N418*R418)</f>
        <v/>
      </c>
      <c r="U418" s="80">
        <f>IF(AC418="Cancelled",0,O418*R418)</f>
        <v/>
      </c>
      <c r="V418" s="80">
        <f>IF(AC418="Cancelled",0,ROUND(P418*S418,2))</f>
        <v/>
      </c>
      <c r="W418" s="80" t="inlineStr">
        <is>
          <t>No</t>
        </is>
      </c>
      <c r="X418" s="80" t="n">
        <v>0</v>
      </c>
      <c r="Y418" s="80">
        <f>IF(AC418="Cancelled",0,T418+U418+V418+Q418+X418)</f>
        <v/>
      </c>
      <c r="Z418" s="80">
        <f>IF(AC418="Cancelled",-Q418,S418-Y418)</f>
        <v/>
      </c>
      <c r="AA418" s="81">
        <f>IF(OR(AC418="Cancelled",S418=0),0,Z418/S418)</f>
        <v/>
      </c>
      <c r="AB418" s="82">
        <f>IFERROR(S418/Q418,0)</f>
        <v/>
      </c>
      <c r="AC418" s="56" t="inlineStr">
        <is>
          <t>Delivered</t>
        </is>
      </c>
    </row>
    <row r="419" ht="14.25" customHeight="1" s="57">
      <c r="A419" s="56" t="inlineStr">
        <is>
          <t>ORD-00201</t>
        </is>
      </c>
      <c r="B419" s="79" t="n">
        <v>46067</v>
      </c>
      <c r="C419" s="56" t="n">
        <v>2026</v>
      </c>
      <c r="D419" s="56" t="n">
        <v>2</v>
      </c>
      <c r="E419" s="56" t="inlineStr">
        <is>
          <t>Qatar</t>
        </is>
      </c>
      <c r="F419" s="56" t="inlineStr">
        <is>
          <t>Doha</t>
        </is>
      </c>
      <c r="G419" s="56" t="inlineStr">
        <is>
          <t>Meta Ads</t>
        </is>
      </c>
      <c r="H419" s="56" t="inlineStr">
        <is>
          <t>Retargeting</t>
        </is>
      </c>
      <c r="I419" s="56" t="inlineStr">
        <is>
          <t>P002</t>
        </is>
      </c>
      <c r="J419" s="56" t="inlineStr">
        <is>
          <t>Phone Case</t>
        </is>
      </c>
      <c r="K419" s="56" t="inlineStr">
        <is>
          <t>Accessories</t>
        </is>
      </c>
      <c r="L419" s="56" t="inlineStr">
        <is>
          <t>Guangzhou Cases Ltd.</t>
        </is>
      </c>
      <c r="M419" s="80" t="n">
        <v>13.49</v>
      </c>
      <c r="N419" s="80" t="n">
        <v>2.02</v>
      </c>
      <c r="O419" s="80" t="n">
        <v>2.01</v>
      </c>
      <c r="P419" s="80" t="n">
        <v>0.03</v>
      </c>
      <c r="Q419" s="80" t="n">
        <v>6.86</v>
      </c>
      <c r="R419" s="80" t="n">
        <v>2</v>
      </c>
      <c r="S419" s="80">
        <f>IF(AC419="Cancelled",0,M419*R419)</f>
        <v/>
      </c>
      <c r="T419" s="80">
        <f>IF(AC419="Cancelled",0,N419*R419)</f>
        <v/>
      </c>
      <c r="U419" s="80">
        <f>IF(AC419="Cancelled",0,O419*R419)</f>
        <v/>
      </c>
      <c r="V419" s="80">
        <f>IF(AC419="Cancelled",0,ROUND(P419*S419,2))</f>
        <v/>
      </c>
      <c r="W419" s="80" t="inlineStr">
        <is>
          <t>No</t>
        </is>
      </c>
      <c r="X419" s="80" t="n">
        <v>0</v>
      </c>
      <c r="Y419" s="80">
        <f>IF(AC419="Cancelled",0,T419+U419+V419+Q419+X419)</f>
        <v/>
      </c>
      <c r="Z419" s="80">
        <f>IF(AC419="Cancelled",-Q419,S419-Y419)</f>
        <v/>
      </c>
      <c r="AA419" s="81">
        <f>IF(OR(AC419="Cancelled",S419=0),0,Z419/S419)</f>
        <v/>
      </c>
      <c r="AB419" s="82">
        <f>IFERROR(S419/Q419,0)</f>
        <v/>
      </c>
      <c r="AC419" s="56" t="inlineStr">
        <is>
          <t>Delivered</t>
        </is>
      </c>
    </row>
    <row r="420" ht="14.25" customHeight="1" s="57">
      <c r="A420" s="56" t="inlineStr">
        <is>
          <t>ORD-00257</t>
        </is>
      </c>
      <c r="B420" s="79" t="n">
        <v>46067</v>
      </c>
      <c r="C420" s="56" t="n">
        <v>2026</v>
      </c>
      <c r="D420" s="56" t="n">
        <v>2</v>
      </c>
      <c r="E420" s="56" t="inlineStr">
        <is>
          <t>UAE</t>
        </is>
      </c>
      <c r="F420" s="56" t="inlineStr">
        <is>
          <t>Sharjah</t>
        </is>
      </c>
      <c r="G420" s="56" t="inlineStr">
        <is>
          <t>Google Ads</t>
        </is>
      </c>
      <c r="H420" s="56" t="inlineStr">
        <is>
          <t>Summer Sale</t>
        </is>
      </c>
      <c r="I420" s="56" t="inlineStr">
        <is>
          <t>P003</t>
        </is>
      </c>
      <c r="J420" s="56" t="inlineStr">
        <is>
          <t>LED Strip Lights</t>
        </is>
      </c>
      <c r="K420" s="56" t="inlineStr">
        <is>
          <t>Home Decor</t>
        </is>
      </c>
      <c r="L420" s="56" t="inlineStr">
        <is>
          <t>Yiwu Lighting Factory</t>
        </is>
      </c>
      <c r="M420" s="80" t="n">
        <v>27.85</v>
      </c>
      <c r="N420" s="80" t="n">
        <v>5.8</v>
      </c>
      <c r="O420" s="80" t="n">
        <v>3.76</v>
      </c>
      <c r="P420" s="80" t="n">
        <v>0.03</v>
      </c>
      <c r="Q420" s="80" t="n">
        <v>6.25</v>
      </c>
      <c r="R420" s="80" t="n">
        <v>1</v>
      </c>
      <c r="S420" s="80">
        <f>IF(AC420="Cancelled",0,M420*R420)</f>
        <v/>
      </c>
      <c r="T420" s="80">
        <f>IF(AC420="Cancelled",0,N420*R420)</f>
        <v/>
      </c>
      <c r="U420" s="80">
        <f>IF(AC420="Cancelled",0,O420*R420)</f>
        <v/>
      </c>
      <c r="V420" s="80">
        <f>IF(AC420="Cancelled",0,ROUND(P420*S420,2))</f>
        <v/>
      </c>
      <c r="W420" s="80" t="inlineStr">
        <is>
          <t>No</t>
        </is>
      </c>
      <c r="X420" s="80" t="n">
        <v>0</v>
      </c>
      <c r="Y420" s="80">
        <f>IF(AC420="Cancelled",0,T420+U420+V420+Q420+X420)</f>
        <v/>
      </c>
      <c r="Z420" s="80">
        <f>IF(AC420="Cancelled",-Q420,S420-Y420)</f>
        <v/>
      </c>
      <c r="AA420" s="81">
        <f>IF(OR(AC420="Cancelled",S420=0),0,Z420/S420)</f>
        <v/>
      </c>
      <c r="AB420" s="82">
        <f>IFERROR(S420/Q420,0)</f>
        <v/>
      </c>
      <c r="AC420" s="56" t="inlineStr">
        <is>
          <t>Delivered</t>
        </is>
      </c>
    </row>
    <row r="421" ht="14.25" customHeight="1" s="57">
      <c r="A421" s="56" t="inlineStr">
        <is>
          <t>ORD-00461</t>
        </is>
      </c>
      <c r="B421" s="79" t="n">
        <v>46067</v>
      </c>
      <c r="C421" s="56" t="n">
        <v>2026</v>
      </c>
      <c r="D421" s="56" t="n">
        <v>2</v>
      </c>
      <c r="E421" s="56" t="inlineStr">
        <is>
          <t>Oman</t>
        </is>
      </c>
      <c r="F421" s="56" t="inlineStr">
        <is>
          <t>Muscat</t>
        </is>
      </c>
      <c r="G421" s="56" t="inlineStr">
        <is>
          <t>Meta Ads</t>
        </is>
      </c>
      <c r="H421" s="56" t="inlineStr">
        <is>
          <t>Bundle Promo</t>
        </is>
      </c>
      <c r="I421" s="56" t="inlineStr">
        <is>
          <t>P008</t>
        </is>
      </c>
      <c r="J421" s="56" t="inlineStr">
        <is>
          <t>Portable Blender</t>
        </is>
      </c>
      <c r="K421" s="56" t="inlineStr">
        <is>
          <t>Kitchen</t>
        </is>
      </c>
      <c r="L421" s="56" t="inlineStr">
        <is>
          <t>Foshan Appliances</t>
        </is>
      </c>
      <c r="M421" s="80" t="n">
        <v>54.27</v>
      </c>
      <c r="N421" s="80" t="n">
        <v>16.37</v>
      </c>
      <c r="O421" s="80" t="n">
        <v>5.64</v>
      </c>
      <c r="P421" s="80" t="n">
        <v>0.03</v>
      </c>
      <c r="Q421" s="80" t="n">
        <v>6.77</v>
      </c>
      <c r="R421" s="80" t="n">
        <v>1</v>
      </c>
      <c r="S421" s="80">
        <f>IF(AC421="Cancelled",0,M421*R421)</f>
        <v/>
      </c>
      <c r="T421" s="80">
        <f>IF(AC421="Cancelled",0,N421*R421)</f>
        <v/>
      </c>
      <c r="U421" s="80">
        <f>IF(AC421="Cancelled",0,O421*R421)</f>
        <v/>
      </c>
      <c r="V421" s="80">
        <f>IF(AC421="Cancelled",0,ROUND(P421*S421,2))</f>
        <v/>
      </c>
      <c r="W421" s="80" t="inlineStr">
        <is>
          <t>No</t>
        </is>
      </c>
      <c r="X421" s="80" t="n">
        <v>0</v>
      </c>
      <c r="Y421" s="80">
        <f>IF(AC421="Cancelled",0,T421+U421+V421+Q421+X421)</f>
        <v/>
      </c>
      <c r="Z421" s="80">
        <f>IF(AC421="Cancelled",-Q421,S421-Y421)</f>
        <v/>
      </c>
      <c r="AA421" s="81">
        <f>IF(OR(AC421="Cancelled",S421=0),0,Z421/S421)</f>
        <v/>
      </c>
      <c r="AB421" s="82">
        <f>IFERROR(S421/Q421,0)</f>
        <v/>
      </c>
      <c r="AC421" s="56" t="inlineStr">
        <is>
          <t>Delivered</t>
        </is>
      </c>
    </row>
    <row r="422" ht="14.25" customHeight="1" s="57">
      <c r="A422" s="56" t="inlineStr">
        <is>
          <t>ORD-00066</t>
        </is>
      </c>
      <c r="B422" s="79" t="n">
        <v>46068</v>
      </c>
      <c r="C422" s="56" t="n">
        <v>2026</v>
      </c>
      <c r="D422" s="56" t="n">
        <v>2</v>
      </c>
      <c r="E422" s="56" t="inlineStr">
        <is>
          <t>UAE</t>
        </is>
      </c>
      <c r="F422" s="56" t="inlineStr">
        <is>
          <t>Dubai</t>
        </is>
      </c>
      <c r="G422" s="56" t="inlineStr">
        <is>
          <t>Influencer</t>
        </is>
      </c>
      <c r="H422" s="56" t="inlineStr">
        <is>
          <t>New Creative A/B</t>
        </is>
      </c>
      <c r="I422" s="56" t="inlineStr">
        <is>
          <t>P010</t>
        </is>
      </c>
      <c r="J422" s="56" t="inlineStr">
        <is>
          <t>Smart Water Bottle</t>
        </is>
      </c>
      <c r="K422" s="56" t="inlineStr">
        <is>
          <t>Lifestyle</t>
        </is>
      </c>
      <c r="L422" s="56" t="inlineStr">
        <is>
          <t>Shenzhen Smart Home</t>
        </is>
      </c>
      <c r="M422" s="80" t="n">
        <v>35.47</v>
      </c>
      <c r="N422" s="80" t="n">
        <v>9.75</v>
      </c>
      <c r="O422" s="80" t="n">
        <v>4.32</v>
      </c>
      <c r="P422" s="80" t="n">
        <v>0.03</v>
      </c>
      <c r="Q422" s="80" t="n">
        <v>21.19</v>
      </c>
      <c r="R422" s="80" t="n">
        <v>3</v>
      </c>
      <c r="S422" s="80">
        <f>IF(AC422="Cancelled",0,M422*R422)</f>
        <v/>
      </c>
      <c r="T422" s="80">
        <f>IF(AC422="Cancelled",0,N422*R422)</f>
        <v/>
      </c>
      <c r="U422" s="80">
        <f>IF(AC422="Cancelled",0,O422*R422)</f>
        <v/>
      </c>
      <c r="V422" s="80">
        <f>IF(AC422="Cancelled",0,ROUND(P422*S422,2))</f>
        <v/>
      </c>
      <c r="W422" s="80" t="inlineStr">
        <is>
          <t>No</t>
        </is>
      </c>
      <c r="X422" s="80" t="n">
        <v>0</v>
      </c>
      <c r="Y422" s="80">
        <f>IF(AC422="Cancelled",0,T422+U422+V422+Q422+X422)</f>
        <v/>
      </c>
      <c r="Z422" s="80">
        <f>IF(AC422="Cancelled",-Q422,S422-Y422)</f>
        <v/>
      </c>
      <c r="AA422" s="81">
        <f>IF(OR(AC422="Cancelled",S422=0),0,Z422/S422)</f>
        <v/>
      </c>
      <c r="AB422" s="82">
        <f>IFERROR(S422/Q422,0)</f>
        <v/>
      </c>
      <c r="AC422" s="56" t="inlineStr">
        <is>
          <t>Delivered</t>
        </is>
      </c>
    </row>
    <row r="423" ht="14.25" customHeight="1" s="57">
      <c r="A423" s="56" t="inlineStr">
        <is>
          <t>ORD-00416</t>
        </is>
      </c>
      <c r="B423" s="79" t="n">
        <v>46070</v>
      </c>
      <c r="C423" s="56" t="n">
        <v>2026</v>
      </c>
      <c r="D423" s="56" t="n">
        <v>2</v>
      </c>
      <c r="E423" s="56" t="inlineStr">
        <is>
          <t>UAE</t>
        </is>
      </c>
      <c r="F423" s="56" t="inlineStr">
        <is>
          <t>Dubai</t>
        </is>
      </c>
      <c r="G423" s="56" t="inlineStr">
        <is>
          <t>Meta Ads</t>
        </is>
      </c>
      <c r="H423" s="56" t="inlineStr">
        <is>
          <t>Bundle Promo</t>
        </is>
      </c>
      <c r="I423" s="56" t="inlineStr">
        <is>
          <t>P008</t>
        </is>
      </c>
      <c r="J423" s="56" t="inlineStr">
        <is>
          <t>Portable Blender</t>
        </is>
      </c>
      <c r="K423" s="56" t="inlineStr">
        <is>
          <t>Kitchen</t>
        </is>
      </c>
      <c r="L423" s="56" t="inlineStr">
        <is>
          <t>Foshan Appliances</t>
        </is>
      </c>
      <c r="M423" s="80" t="n">
        <v>54.78</v>
      </c>
      <c r="N423" s="80" t="n">
        <v>15.4</v>
      </c>
      <c r="O423" s="80" t="n">
        <v>5.62</v>
      </c>
      <c r="P423" s="80" t="n">
        <v>0.03</v>
      </c>
      <c r="Q423" s="80" t="n">
        <v>6.27</v>
      </c>
      <c r="R423" s="80" t="n">
        <v>1</v>
      </c>
      <c r="S423" s="80">
        <f>IF(AC423="Cancelled",0,M423*R423)</f>
        <v/>
      </c>
      <c r="T423" s="80">
        <f>IF(AC423="Cancelled",0,N423*R423)</f>
        <v/>
      </c>
      <c r="U423" s="80">
        <f>IF(AC423="Cancelled",0,O423*R423)</f>
        <v/>
      </c>
      <c r="V423" s="80">
        <f>IF(AC423="Cancelled",0,ROUND(P423*S423,2))</f>
        <v/>
      </c>
      <c r="W423" s="80" t="inlineStr">
        <is>
          <t>No</t>
        </is>
      </c>
      <c r="X423" s="80" t="n">
        <v>0</v>
      </c>
      <c r="Y423" s="80">
        <f>IF(AC423="Cancelled",0,T423+U423+V423+Q423+X423)</f>
        <v/>
      </c>
      <c r="Z423" s="80">
        <f>IF(AC423="Cancelled",-Q423,S423-Y423)</f>
        <v/>
      </c>
      <c r="AA423" s="81">
        <f>IF(OR(AC423="Cancelled",S423=0),0,Z423/S423)</f>
        <v/>
      </c>
      <c r="AB423" s="82">
        <f>IFERROR(S423/Q423,0)</f>
        <v/>
      </c>
      <c r="AC423" s="56" t="inlineStr">
        <is>
          <t>Delivered</t>
        </is>
      </c>
    </row>
    <row r="424" ht="14.25" customHeight="1" s="57">
      <c r="A424" s="56" t="inlineStr">
        <is>
          <t>ORD-00048</t>
        </is>
      </c>
      <c r="B424" s="79" t="n">
        <v>46071</v>
      </c>
      <c r="C424" s="56" t="n">
        <v>2026</v>
      </c>
      <c r="D424" s="56" t="n">
        <v>2</v>
      </c>
      <c r="E424" s="56" t="inlineStr">
        <is>
          <t>Saudi Arabia</t>
        </is>
      </c>
      <c r="F424" s="56" t="inlineStr">
        <is>
          <t>Jeddah</t>
        </is>
      </c>
      <c r="G424" s="56" t="inlineStr">
        <is>
          <t>TikTok Ads</t>
        </is>
      </c>
      <c r="H424" s="56" t="inlineStr">
        <is>
          <t>Retargeting</t>
        </is>
      </c>
      <c r="I424" s="56" t="inlineStr">
        <is>
          <t>P008</t>
        </is>
      </c>
      <c r="J424" s="56" t="inlineStr">
        <is>
          <t>Portable Blender</t>
        </is>
      </c>
      <c r="K424" s="56" t="inlineStr">
        <is>
          <t>Kitchen</t>
        </is>
      </c>
      <c r="L424" s="56" t="inlineStr">
        <is>
          <t>Foshan Appliances</t>
        </is>
      </c>
      <c r="M424" s="80" t="n">
        <v>51.92</v>
      </c>
      <c r="N424" s="80" t="n">
        <v>16.33</v>
      </c>
      <c r="O424" s="80" t="n">
        <v>6.21</v>
      </c>
      <c r="P424" s="80" t="n">
        <v>0.03</v>
      </c>
      <c r="Q424" s="80" t="n">
        <v>14.94</v>
      </c>
      <c r="R424" s="80" t="n">
        <v>2</v>
      </c>
      <c r="S424" s="80">
        <f>IF(AC424="Cancelled",0,M424*R424)</f>
        <v/>
      </c>
      <c r="T424" s="80">
        <f>IF(AC424="Cancelled",0,N424*R424)</f>
        <v/>
      </c>
      <c r="U424" s="80">
        <f>IF(AC424="Cancelled",0,O424*R424)</f>
        <v/>
      </c>
      <c r="V424" s="80">
        <f>IF(AC424="Cancelled",0,ROUND(P424*S424,2))</f>
        <v/>
      </c>
      <c r="W424" s="80" t="inlineStr">
        <is>
          <t>No</t>
        </is>
      </c>
      <c r="X424" s="80" t="n">
        <v>0</v>
      </c>
      <c r="Y424" s="80">
        <f>IF(AC424="Cancelled",0,T424+U424+V424+Q424+X424)</f>
        <v/>
      </c>
      <c r="Z424" s="80">
        <f>IF(AC424="Cancelled",-Q424,S424-Y424)</f>
        <v/>
      </c>
      <c r="AA424" s="81">
        <f>IF(OR(AC424="Cancelled",S424=0),0,Z424/S424)</f>
        <v/>
      </c>
      <c r="AB424" s="82">
        <f>IFERROR(S424/Q424,0)</f>
        <v/>
      </c>
      <c r="AC424" s="56" t="inlineStr">
        <is>
          <t>Delivered</t>
        </is>
      </c>
    </row>
    <row r="425" ht="14.25" customHeight="1" s="57">
      <c r="A425" s="56" t="inlineStr">
        <is>
          <t>ORD-00271</t>
        </is>
      </c>
      <c r="B425" s="79" t="n">
        <v>46071</v>
      </c>
      <c r="C425" s="56" t="n">
        <v>2026</v>
      </c>
      <c r="D425" s="56" t="n">
        <v>2</v>
      </c>
      <c r="E425" s="56" t="inlineStr">
        <is>
          <t>UAE</t>
        </is>
      </c>
      <c r="F425" s="56" t="inlineStr">
        <is>
          <t>Abu Dhabi</t>
        </is>
      </c>
      <c r="G425" s="56" t="inlineStr">
        <is>
          <t>Meta Ads</t>
        </is>
      </c>
      <c r="H425" s="56" t="inlineStr">
        <is>
          <t>New Creative A/B</t>
        </is>
      </c>
      <c r="I425" s="56" t="inlineStr">
        <is>
          <t>P003</t>
        </is>
      </c>
      <c r="J425" s="56" t="inlineStr">
        <is>
          <t>LED Strip Lights</t>
        </is>
      </c>
      <c r="K425" s="56" t="inlineStr">
        <is>
          <t>Home Decor</t>
        </is>
      </c>
      <c r="L425" s="56" t="inlineStr">
        <is>
          <t>Yiwu Lighting Factory</t>
        </is>
      </c>
      <c r="M425" s="80" t="n">
        <v>25.93</v>
      </c>
      <c r="N425" s="80" t="n">
        <v>5.75</v>
      </c>
      <c r="O425" s="80" t="n">
        <v>3.77</v>
      </c>
      <c r="P425" s="80" t="n">
        <v>0.03</v>
      </c>
      <c r="Q425" s="80" t="n">
        <v>5.08</v>
      </c>
      <c r="R425" s="80" t="n">
        <v>1</v>
      </c>
      <c r="S425" s="80">
        <f>IF(AC425="Cancelled",0,M425*R425)</f>
        <v/>
      </c>
      <c r="T425" s="80">
        <f>IF(AC425="Cancelled",0,N425*R425)</f>
        <v/>
      </c>
      <c r="U425" s="80">
        <f>IF(AC425="Cancelled",0,O425*R425)</f>
        <v/>
      </c>
      <c r="V425" s="80">
        <f>IF(AC425="Cancelled",0,ROUND(P425*S425,2))</f>
        <v/>
      </c>
      <c r="W425" s="80" t="inlineStr">
        <is>
          <t>No</t>
        </is>
      </c>
      <c r="X425" s="80" t="n">
        <v>0</v>
      </c>
      <c r="Y425" s="80">
        <f>IF(AC425="Cancelled",0,T425+U425+V425+Q425+X425)</f>
        <v/>
      </c>
      <c r="Z425" s="80">
        <f>IF(AC425="Cancelled",-Q425,S425-Y425)</f>
        <v/>
      </c>
      <c r="AA425" s="81">
        <f>IF(OR(AC425="Cancelled",S425=0),0,Z425/S425)</f>
        <v/>
      </c>
      <c r="AB425" s="82">
        <f>IFERROR(S425/Q425,0)</f>
        <v/>
      </c>
      <c r="AC425" s="56" t="inlineStr">
        <is>
          <t>Delivered</t>
        </is>
      </c>
    </row>
    <row r="426" ht="14.25" customHeight="1" s="57">
      <c r="A426" s="56" t="inlineStr">
        <is>
          <t>ORD-00420</t>
        </is>
      </c>
      <c r="B426" s="79" t="n">
        <v>46071</v>
      </c>
      <c r="C426" s="56" t="n">
        <v>2026</v>
      </c>
      <c r="D426" s="56" t="n">
        <v>2</v>
      </c>
      <c r="E426" s="56" t="inlineStr">
        <is>
          <t>Saudi Arabia</t>
        </is>
      </c>
      <c r="F426" s="56" t="inlineStr">
        <is>
          <t>Jeddah</t>
        </is>
      </c>
      <c r="G426" s="56" t="inlineStr">
        <is>
          <t>Google Ads</t>
        </is>
      </c>
      <c r="H426" s="56" t="inlineStr">
        <is>
          <t>Launch Test</t>
        </is>
      </c>
      <c r="I426" s="56" t="inlineStr">
        <is>
          <t>P001</t>
        </is>
      </c>
      <c r="J426" s="56" t="inlineStr">
        <is>
          <t>Wireless Earbuds</t>
        </is>
      </c>
      <c r="K426" s="56" t="inlineStr">
        <is>
          <t>Electronics</t>
        </is>
      </c>
      <c r="L426" s="56" t="inlineStr">
        <is>
          <t>Shenzhen Audio Co.</t>
        </is>
      </c>
      <c r="M426" s="80" t="n">
        <v>40.53</v>
      </c>
      <c r="N426" s="80" t="n">
        <v>8.359999999999999</v>
      </c>
      <c r="O426" s="80" t="n">
        <v>3.78</v>
      </c>
      <c r="P426" s="80" t="n">
        <v>0.03</v>
      </c>
      <c r="Q426" s="80" t="n">
        <v>4.65</v>
      </c>
      <c r="R426" s="80" t="n">
        <v>1</v>
      </c>
      <c r="S426" s="80">
        <f>IF(AC426="Cancelled",0,M426*R426)</f>
        <v/>
      </c>
      <c r="T426" s="80">
        <f>IF(AC426="Cancelled",0,N426*R426)</f>
        <v/>
      </c>
      <c r="U426" s="80">
        <f>IF(AC426="Cancelled",0,O426*R426)</f>
        <v/>
      </c>
      <c r="V426" s="80">
        <f>IF(AC426="Cancelled",0,ROUND(P426*S426,2))</f>
        <v/>
      </c>
      <c r="W426" s="80" t="inlineStr">
        <is>
          <t>Yes</t>
        </is>
      </c>
      <c r="X426" s="80" t="n">
        <v>32.78</v>
      </c>
      <c r="Y426" s="80">
        <f>IF(AC426="Cancelled",0,T426+U426+V426+Q426+X426)</f>
        <v/>
      </c>
      <c r="Z426" s="80">
        <f>IF(AC426="Cancelled",-Q426,S426-Y426)</f>
        <v/>
      </c>
      <c r="AA426" s="81">
        <f>IF(OR(AC426="Cancelled",S426=0),0,Z426/S426)</f>
        <v/>
      </c>
      <c r="AB426" s="82">
        <f>IFERROR(S426/Q426,0)</f>
        <v/>
      </c>
      <c r="AC426" s="56" t="inlineStr">
        <is>
          <t>Refunded</t>
        </is>
      </c>
    </row>
    <row r="427" ht="14.25" customHeight="1" s="57">
      <c r="A427" s="56" t="inlineStr">
        <is>
          <t>ORD-00041</t>
        </is>
      </c>
      <c r="B427" s="79" t="n">
        <v>46072</v>
      </c>
      <c r="C427" s="56" t="n">
        <v>2026</v>
      </c>
      <c r="D427" s="56" t="n">
        <v>2</v>
      </c>
      <c r="E427" s="56" t="inlineStr">
        <is>
          <t>Saudi Arabia</t>
        </is>
      </c>
      <c r="F427" s="56" t="inlineStr">
        <is>
          <t>Jeddah</t>
        </is>
      </c>
      <c r="G427" s="56" t="inlineStr">
        <is>
          <t>Google Ads</t>
        </is>
      </c>
      <c r="H427" s="56" t="inlineStr">
        <is>
          <t>New Creative A/B</t>
        </is>
      </c>
      <c r="I427" s="56" t="inlineStr">
        <is>
          <t>P001</t>
        </is>
      </c>
      <c r="J427" s="56" t="inlineStr">
        <is>
          <t>Wireless Earbuds</t>
        </is>
      </c>
      <c r="K427" s="56" t="inlineStr">
        <is>
          <t>Electronics</t>
        </is>
      </c>
      <c r="L427" s="56" t="inlineStr">
        <is>
          <t>Shenzhen Audio Co.</t>
        </is>
      </c>
      <c r="M427" s="80" t="n">
        <v>39.75</v>
      </c>
      <c r="N427" s="80" t="n">
        <v>8.640000000000001</v>
      </c>
      <c r="O427" s="80" t="n">
        <v>4.31</v>
      </c>
      <c r="P427" s="80" t="n">
        <v>0.03</v>
      </c>
      <c r="Q427" s="80" t="n">
        <v>14.04</v>
      </c>
      <c r="R427" s="80" t="n">
        <v>2</v>
      </c>
      <c r="S427" s="80">
        <f>IF(AC427="Cancelled",0,M427*R427)</f>
        <v/>
      </c>
      <c r="T427" s="80">
        <f>IF(AC427="Cancelled",0,N427*R427)</f>
        <v/>
      </c>
      <c r="U427" s="80">
        <f>IF(AC427="Cancelled",0,O427*R427)</f>
        <v/>
      </c>
      <c r="V427" s="80">
        <f>IF(AC427="Cancelled",0,ROUND(P427*S427,2))</f>
        <v/>
      </c>
      <c r="W427" s="80" t="inlineStr">
        <is>
          <t>No</t>
        </is>
      </c>
      <c r="X427" s="80" t="n">
        <v>0</v>
      </c>
      <c r="Y427" s="80">
        <f>IF(AC427="Cancelled",0,T427+U427+V427+Q427+X427)</f>
        <v/>
      </c>
      <c r="Z427" s="80">
        <f>IF(AC427="Cancelled",-Q427,S427-Y427)</f>
        <v/>
      </c>
      <c r="AA427" s="81">
        <f>IF(OR(AC427="Cancelled",S427=0),0,Z427/S427)</f>
        <v/>
      </c>
      <c r="AB427" s="82">
        <f>IFERROR(S427/Q427,0)</f>
        <v/>
      </c>
      <c r="AC427" s="56" t="inlineStr">
        <is>
          <t>Delivered</t>
        </is>
      </c>
    </row>
    <row r="428" ht="14.25" customHeight="1" s="57">
      <c r="A428" s="56" t="inlineStr">
        <is>
          <t>ORD-00353</t>
        </is>
      </c>
      <c r="B428" s="79" t="n">
        <v>46072</v>
      </c>
      <c r="C428" s="56" t="n">
        <v>2026</v>
      </c>
      <c r="D428" s="56" t="n">
        <v>2</v>
      </c>
      <c r="E428" s="56" t="inlineStr">
        <is>
          <t>Kuwait</t>
        </is>
      </c>
      <c r="F428" s="56" t="inlineStr">
        <is>
          <t>Kuwait City</t>
        </is>
      </c>
      <c r="G428" s="56" t="inlineStr">
        <is>
          <t>Google Ads</t>
        </is>
      </c>
      <c r="H428" s="56" t="inlineStr">
        <is>
          <t>Summer Sale</t>
        </is>
      </c>
      <c r="I428" s="56" t="inlineStr">
        <is>
          <t>P005</t>
        </is>
      </c>
      <c r="J428" s="56" t="inlineStr">
        <is>
          <t>Mini Printer</t>
        </is>
      </c>
      <c r="K428" s="56" t="inlineStr">
        <is>
          <t>Electronics</t>
        </is>
      </c>
      <c r="L428" s="56" t="inlineStr">
        <is>
          <t>Shenzhen Print Tech</t>
        </is>
      </c>
      <c r="M428" s="80" t="n">
        <v>63.64</v>
      </c>
      <c r="N428" s="80" t="n">
        <v>21.3</v>
      </c>
      <c r="O428" s="80" t="n">
        <v>7.99</v>
      </c>
      <c r="P428" s="80" t="n">
        <v>0.03</v>
      </c>
      <c r="Q428" s="80" t="n">
        <v>1.03</v>
      </c>
      <c r="R428" s="80" t="n">
        <v>1</v>
      </c>
      <c r="S428" s="80">
        <f>IF(AC428="Cancelled",0,M428*R428)</f>
        <v/>
      </c>
      <c r="T428" s="80">
        <f>IF(AC428="Cancelled",0,N428*R428)</f>
        <v/>
      </c>
      <c r="U428" s="80">
        <f>IF(AC428="Cancelled",0,O428*R428)</f>
        <v/>
      </c>
      <c r="V428" s="80">
        <f>IF(AC428="Cancelled",0,ROUND(P428*S428,2))</f>
        <v/>
      </c>
      <c r="W428" s="80" t="inlineStr">
        <is>
          <t>No</t>
        </is>
      </c>
      <c r="X428" s="80" t="n">
        <v>0</v>
      </c>
      <c r="Y428" s="80">
        <f>IF(AC428="Cancelled",0,T428+U428+V428+Q428+X428)</f>
        <v/>
      </c>
      <c r="Z428" s="80">
        <f>IF(AC428="Cancelled",-Q428,S428-Y428)</f>
        <v/>
      </c>
      <c r="AA428" s="81">
        <f>IF(OR(AC428="Cancelled",S428=0),0,Z428/S428)</f>
        <v/>
      </c>
      <c r="AB428" s="82">
        <f>IFERROR(S428/Q428,0)</f>
        <v/>
      </c>
      <c r="AC428" s="56" t="inlineStr">
        <is>
          <t>Delivered</t>
        </is>
      </c>
    </row>
    <row r="429" ht="14.25" customHeight="1" s="57">
      <c r="A429" s="56" t="inlineStr">
        <is>
          <t>ORD-00098</t>
        </is>
      </c>
      <c r="B429" s="79" t="n">
        <v>46073</v>
      </c>
      <c r="C429" s="56" t="n">
        <v>2026</v>
      </c>
      <c r="D429" s="56" t="n">
        <v>2</v>
      </c>
      <c r="E429" s="56" t="inlineStr">
        <is>
          <t>Kuwait</t>
        </is>
      </c>
      <c r="F429" s="56" t="inlineStr">
        <is>
          <t>Kuwait City</t>
        </is>
      </c>
      <c r="G429" s="56" t="inlineStr">
        <is>
          <t>Influencer</t>
        </is>
      </c>
      <c r="H429" s="56" t="inlineStr">
        <is>
          <t>New Creative A/B</t>
        </is>
      </c>
      <c r="I429" s="56" t="inlineStr">
        <is>
          <t>P002</t>
        </is>
      </c>
      <c r="J429" s="56" t="inlineStr">
        <is>
          <t>Phone Case</t>
        </is>
      </c>
      <c r="K429" s="56" t="inlineStr">
        <is>
          <t>Accessories</t>
        </is>
      </c>
      <c r="L429" s="56" t="inlineStr">
        <is>
          <t>Guangzhou Cases Ltd.</t>
        </is>
      </c>
      <c r="M429" s="80" t="n">
        <v>13.65</v>
      </c>
      <c r="N429" s="80" t="n">
        <v>1.92</v>
      </c>
      <c r="O429" s="80" t="n">
        <v>1.99</v>
      </c>
      <c r="P429" s="80" t="n">
        <v>0.03</v>
      </c>
      <c r="Q429" s="80" t="n">
        <v>7.38</v>
      </c>
      <c r="R429" s="80" t="n">
        <v>1</v>
      </c>
      <c r="S429" s="80">
        <f>IF(AC429="Cancelled",0,M429*R429)</f>
        <v/>
      </c>
      <c r="T429" s="80">
        <f>IF(AC429="Cancelled",0,N429*R429)</f>
        <v/>
      </c>
      <c r="U429" s="80">
        <f>IF(AC429="Cancelled",0,O429*R429)</f>
        <v/>
      </c>
      <c r="V429" s="80">
        <f>IF(AC429="Cancelled",0,ROUND(P429*S429,2))</f>
        <v/>
      </c>
      <c r="W429" s="80" t="inlineStr">
        <is>
          <t>No</t>
        </is>
      </c>
      <c r="X429" s="80" t="n">
        <v>0</v>
      </c>
      <c r="Y429" s="80">
        <f>IF(AC429="Cancelled",0,T429+U429+V429+Q429+X429)</f>
        <v/>
      </c>
      <c r="Z429" s="80">
        <f>IF(AC429="Cancelled",-Q429,S429-Y429)</f>
        <v/>
      </c>
      <c r="AA429" s="81">
        <f>IF(OR(AC429="Cancelled",S429=0),0,Z429/S429)</f>
        <v/>
      </c>
      <c r="AB429" s="82">
        <f>IFERROR(S429/Q429,0)</f>
        <v/>
      </c>
      <c r="AC429" s="56" t="inlineStr">
        <is>
          <t>Delivered</t>
        </is>
      </c>
    </row>
    <row r="430" ht="14.25" customHeight="1" s="57">
      <c r="A430" s="56" t="inlineStr">
        <is>
          <t>ORD-00473</t>
        </is>
      </c>
      <c r="B430" s="79" t="n">
        <v>46073</v>
      </c>
      <c r="C430" s="56" t="n">
        <v>2026</v>
      </c>
      <c r="D430" s="56" t="n">
        <v>2</v>
      </c>
      <c r="E430" s="56" t="inlineStr">
        <is>
          <t>Saudi Arabia</t>
        </is>
      </c>
      <c r="F430" s="56" t="inlineStr">
        <is>
          <t>Jeddah</t>
        </is>
      </c>
      <c r="G430" s="56" t="inlineStr">
        <is>
          <t>TikTok Ads</t>
        </is>
      </c>
      <c r="H430" s="56" t="inlineStr">
        <is>
          <t>Retargeting</t>
        </is>
      </c>
      <c r="I430" s="56" t="inlineStr">
        <is>
          <t>P007</t>
        </is>
      </c>
      <c r="J430" s="56" t="inlineStr">
        <is>
          <t>Pet Grooming Glove</t>
        </is>
      </c>
      <c r="K430" s="56" t="inlineStr">
        <is>
          <t>Pets</t>
        </is>
      </c>
      <c r="L430" s="56" t="inlineStr">
        <is>
          <t>Yiwu Pet Products</t>
        </is>
      </c>
      <c r="M430" s="80" t="n">
        <v>19.09</v>
      </c>
      <c r="N430" s="80" t="n">
        <v>3.69</v>
      </c>
      <c r="O430" s="80" t="n">
        <v>2.44</v>
      </c>
      <c r="P430" s="80" t="n">
        <v>0.03</v>
      </c>
      <c r="Q430" s="80" t="n">
        <v>18.17</v>
      </c>
      <c r="R430" s="80" t="n">
        <v>2</v>
      </c>
      <c r="S430" s="80">
        <f>IF(AC430="Cancelled",0,M430*R430)</f>
        <v/>
      </c>
      <c r="T430" s="80">
        <f>IF(AC430="Cancelled",0,N430*R430)</f>
        <v/>
      </c>
      <c r="U430" s="80">
        <f>IF(AC430="Cancelled",0,O430*R430)</f>
        <v/>
      </c>
      <c r="V430" s="80">
        <f>IF(AC430="Cancelled",0,ROUND(P430*S430,2))</f>
        <v/>
      </c>
      <c r="W430" s="80" t="inlineStr">
        <is>
          <t>No</t>
        </is>
      </c>
      <c r="X430" s="80" t="n">
        <v>0</v>
      </c>
      <c r="Y430" s="80">
        <f>IF(AC430="Cancelled",0,T430+U430+V430+Q430+X430)</f>
        <v/>
      </c>
      <c r="Z430" s="80">
        <f>IF(AC430="Cancelled",-Q430,S430-Y430)</f>
        <v/>
      </c>
      <c r="AA430" s="81">
        <f>IF(OR(AC430="Cancelled",S430=0),0,Z430/S430)</f>
        <v/>
      </c>
      <c r="AB430" s="82">
        <f>IFERROR(S430/Q430,0)</f>
        <v/>
      </c>
      <c r="AC430" s="56" t="inlineStr">
        <is>
          <t>Delivered</t>
        </is>
      </c>
    </row>
    <row r="431" ht="14.25" customHeight="1" s="57">
      <c r="A431" s="56" t="inlineStr">
        <is>
          <t>ORD-00304</t>
        </is>
      </c>
      <c r="B431" s="79" t="n">
        <v>46074</v>
      </c>
      <c r="C431" s="56" t="n">
        <v>2026</v>
      </c>
      <c r="D431" s="56" t="n">
        <v>2</v>
      </c>
      <c r="E431" s="56" t="inlineStr">
        <is>
          <t>Saudi Arabia</t>
        </is>
      </c>
      <c r="F431" s="56" t="inlineStr">
        <is>
          <t>Riyadh</t>
        </is>
      </c>
      <c r="G431" s="56" t="inlineStr">
        <is>
          <t>Organic Search</t>
        </is>
      </c>
      <c r="H431" s="56" t="inlineStr">
        <is>
          <t>Summer Sale</t>
        </is>
      </c>
      <c r="I431" s="56" t="inlineStr">
        <is>
          <t>P010</t>
        </is>
      </c>
      <c r="J431" s="56" t="inlineStr">
        <is>
          <t>Smart Water Bottle</t>
        </is>
      </c>
      <c r="K431" s="56" t="inlineStr">
        <is>
          <t>Lifestyle</t>
        </is>
      </c>
      <c r="L431" s="56" t="inlineStr">
        <is>
          <t>Shenzhen Smart Home</t>
        </is>
      </c>
      <c r="M431" s="80" t="n">
        <v>36.67</v>
      </c>
      <c r="N431" s="80" t="n">
        <v>9.539999999999999</v>
      </c>
      <c r="O431" s="80" t="n">
        <v>4.49</v>
      </c>
      <c r="P431" s="80" t="n">
        <v>0.03</v>
      </c>
      <c r="Q431" s="80" t="n">
        <v>0</v>
      </c>
      <c r="R431" s="80" t="n">
        <v>3</v>
      </c>
      <c r="S431" s="80">
        <f>IF(AC431="Cancelled",0,M431*R431)</f>
        <v/>
      </c>
      <c r="T431" s="80">
        <f>IF(AC431="Cancelled",0,N431*R431)</f>
        <v/>
      </c>
      <c r="U431" s="80">
        <f>IF(AC431="Cancelled",0,O431*R431)</f>
        <v/>
      </c>
      <c r="V431" s="80">
        <f>IF(AC431="Cancelled",0,ROUND(P431*S431,2))</f>
        <v/>
      </c>
      <c r="W431" s="80" t="inlineStr">
        <is>
          <t>No</t>
        </is>
      </c>
      <c r="X431" s="80" t="n">
        <v>0</v>
      </c>
      <c r="Y431" s="80">
        <f>IF(AC431="Cancelled",0,T431+U431+V431+Q431+X431)</f>
        <v/>
      </c>
      <c r="Z431" s="80">
        <f>IF(AC431="Cancelled",-Q431,S431-Y431)</f>
        <v/>
      </c>
      <c r="AA431" s="81">
        <f>IF(OR(AC431="Cancelled",S431=0),0,Z431/S431)</f>
        <v/>
      </c>
      <c r="AB431" s="82">
        <f>IFERROR(S431/Q431,0)</f>
        <v/>
      </c>
      <c r="AC431" s="56" t="inlineStr">
        <is>
          <t>Delivered</t>
        </is>
      </c>
    </row>
    <row r="432" ht="14.25" customHeight="1" s="57">
      <c r="A432" s="56" t="inlineStr">
        <is>
          <t>ORD-00131</t>
        </is>
      </c>
      <c r="B432" s="79" t="n">
        <v>46075</v>
      </c>
      <c r="C432" s="56" t="n">
        <v>2026</v>
      </c>
      <c r="D432" s="56" t="n">
        <v>2</v>
      </c>
      <c r="E432" s="56" t="inlineStr">
        <is>
          <t>UAE</t>
        </is>
      </c>
      <c r="F432" s="56" t="inlineStr">
        <is>
          <t>Dubai</t>
        </is>
      </c>
      <c r="G432" s="56" t="inlineStr">
        <is>
          <t>Google Ads</t>
        </is>
      </c>
      <c r="H432" s="56" t="inlineStr">
        <is>
          <t>Launch Test</t>
        </is>
      </c>
      <c r="I432" s="56" t="inlineStr">
        <is>
          <t>P004</t>
        </is>
      </c>
      <c r="J432" s="56" t="inlineStr">
        <is>
          <t>Beauty Tool</t>
        </is>
      </c>
      <c r="K432" s="56" t="inlineStr">
        <is>
          <t>Beauty</t>
        </is>
      </c>
      <c r="L432" s="56" t="inlineStr">
        <is>
          <t>Ningbo Beauty Supply</t>
        </is>
      </c>
      <c r="M432" s="80" t="n">
        <v>28.35</v>
      </c>
      <c r="N432" s="80" t="n">
        <v>7.19</v>
      </c>
      <c r="O432" s="80" t="n">
        <v>4.6</v>
      </c>
      <c r="P432" s="80" t="n">
        <v>0.03</v>
      </c>
      <c r="Q432" s="80" t="n">
        <v>18.08</v>
      </c>
      <c r="R432" s="80" t="n">
        <v>2</v>
      </c>
      <c r="S432" s="80">
        <f>IF(AC432="Cancelled",0,M432*R432)</f>
        <v/>
      </c>
      <c r="T432" s="80">
        <f>IF(AC432="Cancelled",0,N432*R432)</f>
        <v/>
      </c>
      <c r="U432" s="80">
        <f>IF(AC432="Cancelled",0,O432*R432)</f>
        <v/>
      </c>
      <c r="V432" s="80">
        <f>IF(AC432="Cancelled",0,ROUND(P432*S432,2))</f>
        <v/>
      </c>
      <c r="W432" s="80" t="inlineStr">
        <is>
          <t>No</t>
        </is>
      </c>
      <c r="X432" s="80" t="n">
        <v>0</v>
      </c>
      <c r="Y432" s="80">
        <f>IF(AC432="Cancelled",0,T432+U432+V432+Q432+X432)</f>
        <v/>
      </c>
      <c r="Z432" s="80">
        <f>IF(AC432="Cancelled",-Q432,S432-Y432)</f>
        <v/>
      </c>
      <c r="AA432" s="81">
        <f>IF(OR(AC432="Cancelled",S432=0),0,Z432/S432)</f>
        <v/>
      </c>
      <c r="AB432" s="82">
        <f>IFERROR(S432/Q432,0)</f>
        <v/>
      </c>
      <c r="AC432" s="56" t="inlineStr">
        <is>
          <t>Delivered</t>
        </is>
      </c>
    </row>
    <row r="433" ht="14.25" customHeight="1" s="57">
      <c r="A433" s="56" t="inlineStr">
        <is>
          <t>ORD-00239</t>
        </is>
      </c>
      <c r="B433" s="79" t="n">
        <v>46075</v>
      </c>
      <c r="C433" s="56" t="n">
        <v>2026</v>
      </c>
      <c r="D433" s="56" t="n">
        <v>2</v>
      </c>
      <c r="E433" s="56" t="inlineStr">
        <is>
          <t>Kuwait</t>
        </is>
      </c>
      <c r="F433" s="56" t="inlineStr">
        <is>
          <t>Kuwait City</t>
        </is>
      </c>
      <c r="G433" s="56" t="inlineStr">
        <is>
          <t>Meta Ads</t>
        </is>
      </c>
      <c r="H433" s="56" t="inlineStr">
        <is>
          <t>Retargeting</t>
        </is>
      </c>
      <c r="I433" s="56" t="inlineStr">
        <is>
          <t>P005</t>
        </is>
      </c>
      <c r="J433" s="56" t="inlineStr">
        <is>
          <t>Mini Printer</t>
        </is>
      </c>
      <c r="K433" s="56" t="inlineStr">
        <is>
          <t>Electronics</t>
        </is>
      </c>
      <c r="L433" s="56" t="inlineStr">
        <is>
          <t>Shenzhen Print Tech</t>
        </is>
      </c>
      <c r="M433" s="80" t="n">
        <v>66.40000000000001</v>
      </c>
      <c r="N433" s="80" t="n">
        <v>22.96</v>
      </c>
      <c r="O433" s="80" t="n">
        <v>7.46</v>
      </c>
      <c r="P433" s="80" t="n">
        <v>0.03</v>
      </c>
      <c r="Q433" s="80" t="n">
        <v>9</v>
      </c>
      <c r="R433" s="80" t="n">
        <v>1</v>
      </c>
      <c r="S433" s="80">
        <f>IF(AC433="Cancelled",0,M433*R433)</f>
        <v/>
      </c>
      <c r="T433" s="80">
        <f>IF(AC433="Cancelled",0,N433*R433)</f>
        <v/>
      </c>
      <c r="U433" s="80">
        <f>IF(AC433="Cancelled",0,O433*R433)</f>
        <v/>
      </c>
      <c r="V433" s="80">
        <f>IF(AC433="Cancelled",0,ROUND(P433*S433,2))</f>
        <v/>
      </c>
      <c r="W433" s="80" t="inlineStr">
        <is>
          <t>No</t>
        </is>
      </c>
      <c r="X433" s="80" t="n">
        <v>0</v>
      </c>
      <c r="Y433" s="80">
        <f>IF(AC433="Cancelled",0,T433+U433+V433+Q433+X433)</f>
        <v/>
      </c>
      <c r="Z433" s="80">
        <f>IF(AC433="Cancelled",-Q433,S433-Y433)</f>
        <v/>
      </c>
      <c r="AA433" s="81">
        <f>IF(OR(AC433="Cancelled",S433=0),0,Z433/S433)</f>
        <v/>
      </c>
      <c r="AB433" s="82">
        <f>IFERROR(S433/Q433,0)</f>
        <v/>
      </c>
      <c r="AC433" s="56" t="inlineStr">
        <is>
          <t>Delivered</t>
        </is>
      </c>
    </row>
    <row r="434" ht="14.25" customHeight="1" s="57">
      <c r="A434" s="56" t="inlineStr">
        <is>
          <t>ORD-00349</t>
        </is>
      </c>
      <c r="B434" s="79" t="n">
        <v>46075</v>
      </c>
      <c r="C434" s="56" t="n">
        <v>2026</v>
      </c>
      <c r="D434" s="56" t="n">
        <v>2</v>
      </c>
      <c r="E434" s="56" t="inlineStr">
        <is>
          <t>UAE</t>
        </is>
      </c>
      <c r="F434" s="56" t="inlineStr">
        <is>
          <t>Sharjah</t>
        </is>
      </c>
      <c r="G434" s="56" t="inlineStr">
        <is>
          <t>Email</t>
        </is>
      </c>
      <c r="H434" s="56" t="inlineStr">
        <is>
          <t>Retargeting</t>
        </is>
      </c>
      <c r="I434" s="56" t="inlineStr">
        <is>
          <t>P007</t>
        </is>
      </c>
      <c r="J434" s="56" t="inlineStr">
        <is>
          <t>Pet Grooming Glove</t>
        </is>
      </c>
      <c r="K434" s="56" t="inlineStr">
        <is>
          <t>Pets</t>
        </is>
      </c>
      <c r="L434" s="56" t="inlineStr">
        <is>
          <t>Yiwu Pet Products</t>
        </is>
      </c>
      <c r="M434" s="80" t="n">
        <v>20.88</v>
      </c>
      <c r="N434" s="80" t="n">
        <v>3.49</v>
      </c>
      <c r="O434" s="80" t="n">
        <v>2.84</v>
      </c>
      <c r="P434" s="80" t="n">
        <v>0.03</v>
      </c>
      <c r="Q434" s="80" t="n">
        <v>19.99</v>
      </c>
      <c r="R434" s="80" t="n">
        <v>2</v>
      </c>
      <c r="S434" s="80">
        <f>IF(AC434="Cancelled",0,M434*R434)</f>
        <v/>
      </c>
      <c r="T434" s="80">
        <f>IF(AC434="Cancelled",0,N434*R434)</f>
        <v/>
      </c>
      <c r="U434" s="80">
        <f>IF(AC434="Cancelled",0,O434*R434)</f>
        <v/>
      </c>
      <c r="V434" s="80">
        <f>IF(AC434="Cancelled",0,ROUND(P434*S434,2))</f>
        <v/>
      </c>
      <c r="W434" s="80" t="inlineStr">
        <is>
          <t>No</t>
        </is>
      </c>
      <c r="X434" s="80" t="n">
        <v>0</v>
      </c>
      <c r="Y434" s="80">
        <f>IF(AC434="Cancelled",0,T434+U434+V434+Q434+X434)</f>
        <v/>
      </c>
      <c r="Z434" s="80">
        <f>IF(AC434="Cancelled",-Q434,S434-Y434)</f>
        <v/>
      </c>
      <c r="AA434" s="81">
        <f>IF(OR(AC434="Cancelled",S434=0),0,Z434/S434)</f>
        <v/>
      </c>
      <c r="AB434" s="82">
        <f>IFERROR(S434/Q434,0)</f>
        <v/>
      </c>
      <c r="AC434" s="56" t="inlineStr">
        <is>
          <t>Delivered</t>
        </is>
      </c>
    </row>
    <row r="435" ht="14.25" customHeight="1" s="57">
      <c r="A435" s="56" t="inlineStr">
        <is>
          <t>ORD-00281</t>
        </is>
      </c>
      <c r="B435" s="79" t="n">
        <v>46076</v>
      </c>
      <c r="C435" s="56" t="n">
        <v>2026</v>
      </c>
      <c r="D435" s="56" t="n">
        <v>2</v>
      </c>
      <c r="E435" s="56" t="inlineStr">
        <is>
          <t>UAE</t>
        </is>
      </c>
      <c r="F435" s="56" t="inlineStr">
        <is>
          <t>Dubai</t>
        </is>
      </c>
      <c r="G435" s="56" t="inlineStr">
        <is>
          <t>TikTok Ads</t>
        </is>
      </c>
      <c r="H435" s="56" t="inlineStr">
        <is>
          <t>Retargeting</t>
        </is>
      </c>
      <c r="I435" s="56" t="inlineStr">
        <is>
          <t>P006</t>
        </is>
      </c>
      <c r="J435" s="56" t="inlineStr">
        <is>
          <t>Posture Corrector</t>
        </is>
      </c>
      <c r="K435" s="56" t="inlineStr">
        <is>
          <t>Fitness</t>
        </is>
      </c>
      <c r="L435" s="56" t="inlineStr">
        <is>
          <t>Hangzhou Health Gear</t>
        </is>
      </c>
      <c r="M435" s="80" t="n">
        <v>33.22</v>
      </c>
      <c r="N435" s="80" t="n">
        <v>9.69</v>
      </c>
      <c r="O435" s="80" t="n">
        <v>4.5</v>
      </c>
      <c r="P435" s="80" t="n">
        <v>0.03</v>
      </c>
      <c r="Q435" s="80" t="n">
        <v>5.26</v>
      </c>
      <c r="R435" s="80" t="n">
        <v>1</v>
      </c>
      <c r="S435" s="80">
        <f>IF(AC435="Cancelled",0,M435*R435)</f>
        <v/>
      </c>
      <c r="T435" s="80">
        <f>IF(AC435="Cancelled",0,N435*R435)</f>
        <v/>
      </c>
      <c r="U435" s="80">
        <f>IF(AC435="Cancelled",0,O435*R435)</f>
        <v/>
      </c>
      <c r="V435" s="80">
        <f>IF(AC435="Cancelled",0,ROUND(P435*S435,2))</f>
        <v/>
      </c>
      <c r="W435" s="80" t="inlineStr">
        <is>
          <t>No</t>
        </is>
      </c>
      <c r="X435" s="80" t="n">
        <v>0</v>
      </c>
      <c r="Y435" s="80">
        <f>IF(AC435="Cancelled",0,T435+U435+V435+Q435+X435)</f>
        <v/>
      </c>
      <c r="Z435" s="80">
        <f>IF(AC435="Cancelled",-Q435,S435-Y435)</f>
        <v/>
      </c>
      <c r="AA435" s="81">
        <f>IF(OR(AC435="Cancelled",S435=0),0,Z435/S435)</f>
        <v/>
      </c>
      <c r="AB435" s="82">
        <f>IFERROR(S435/Q435,0)</f>
        <v/>
      </c>
      <c r="AC435" s="56" t="inlineStr">
        <is>
          <t>Delivered</t>
        </is>
      </c>
    </row>
    <row r="436" ht="14.25" customHeight="1" s="57">
      <c r="A436" s="56" t="inlineStr">
        <is>
          <t>ORD-00483</t>
        </is>
      </c>
      <c r="B436" s="79" t="n">
        <v>46076</v>
      </c>
      <c r="C436" s="56" t="n">
        <v>2026</v>
      </c>
      <c r="D436" s="56" t="n">
        <v>2</v>
      </c>
      <c r="E436" s="56" t="inlineStr">
        <is>
          <t>UAE</t>
        </is>
      </c>
      <c r="F436" s="56" t="inlineStr">
        <is>
          <t>Sharjah</t>
        </is>
      </c>
      <c r="G436" s="56" t="inlineStr">
        <is>
          <t>Organic Search</t>
        </is>
      </c>
      <c r="H436" s="56" t="inlineStr">
        <is>
          <t>New Creative A/B</t>
        </is>
      </c>
      <c r="I436" s="56" t="inlineStr">
        <is>
          <t>P005</t>
        </is>
      </c>
      <c r="J436" s="56" t="inlineStr">
        <is>
          <t>Mini Printer</t>
        </is>
      </c>
      <c r="K436" s="56" t="inlineStr">
        <is>
          <t>Electronics</t>
        </is>
      </c>
      <c r="L436" s="56" t="inlineStr">
        <is>
          <t>Shenzhen Print Tech</t>
        </is>
      </c>
      <c r="M436" s="80" t="n">
        <v>58.84</v>
      </c>
      <c r="N436" s="80" t="n">
        <v>22.99</v>
      </c>
      <c r="O436" s="80" t="n">
        <v>6.31</v>
      </c>
      <c r="P436" s="80" t="n">
        <v>0.03</v>
      </c>
      <c r="Q436" s="80" t="n">
        <v>0</v>
      </c>
      <c r="R436" s="80" t="n">
        <v>2</v>
      </c>
      <c r="S436" s="80">
        <f>IF(AC436="Cancelled",0,M436*R436)</f>
        <v/>
      </c>
      <c r="T436" s="80">
        <f>IF(AC436="Cancelled",0,N436*R436)</f>
        <v/>
      </c>
      <c r="U436" s="80">
        <f>IF(AC436="Cancelled",0,O436*R436)</f>
        <v/>
      </c>
      <c r="V436" s="80">
        <f>IF(AC436="Cancelled",0,ROUND(P436*S436,2))</f>
        <v/>
      </c>
      <c r="W436" s="80" t="inlineStr">
        <is>
          <t>No</t>
        </is>
      </c>
      <c r="X436" s="80" t="n">
        <v>0</v>
      </c>
      <c r="Y436" s="80">
        <f>IF(AC436="Cancelled",0,T436+U436+V436+Q436+X436)</f>
        <v/>
      </c>
      <c r="Z436" s="80">
        <f>IF(AC436="Cancelled",-Q436,S436-Y436)</f>
        <v/>
      </c>
      <c r="AA436" s="81">
        <f>IF(OR(AC436="Cancelled",S436=0),0,Z436/S436)</f>
        <v/>
      </c>
      <c r="AB436" s="82">
        <f>IFERROR(S436/Q436,0)</f>
        <v/>
      </c>
      <c r="AC436" s="56" t="inlineStr">
        <is>
          <t>Cancelled</t>
        </is>
      </c>
    </row>
    <row r="437" ht="14.25" customHeight="1" s="57">
      <c r="A437" s="56" t="inlineStr">
        <is>
          <t>ORD-00370</t>
        </is>
      </c>
      <c r="B437" s="79" t="n">
        <v>46077</v>
      </c>
      <c r="C437" s="56" t="n">
        <v>2026</v>
      </c>
      <c r="D437" s="56" t="n">
        <v>2</v>
      </c>
      <c r="E437" s="56" t="inlineStr">
        <is>
          <t>UAE</t>
        </is>
      </c>
      <c r="F437" s="56" t="inlineStr">
        <is>
          <t>Abu Dhabi</t>
        </is>
      </c>
      <c r="G437" s="56" t="inlineStr">
        <is>
          <t>Meta Ads</t>
        </is>
      </c>
      <c r="H437" s="56" t="inlineStr">
        <is>
          <t>Launch Test</t>
        </is>
      </c>
      <c r="I437" s="56" t="inlineStr">
        <is>
          <t>P007</t>
        </is>
      </c>
      <c r="J437" s="56" t="inlineStr">
        <is>
          <t>Pet Grooming Glove</t>
        </is>
      </c>
      <c r="K437" s="56" t="inlineStr">
        <is>
          <t>Pets</t>
        </is>
      </c>
      <c r="L437" s="56" t="inlineStr">
        <is>
          <t>Yiwu Pet Products</t>
        </is>
      </c>
      <c r="M437" s="80" t="n">
        <v>18.7</v>
      </c>
      <c r="N437" s="80" t="n">
        <v>3.57</v>
      </c>
      <c r="O437" s="80" t="n">
        <v>2.72</v>
      </c>
      <c r="P437" s="80" t="n">
        <v>0.03</v>
      </c>
      <c r="Q437" s="80" t="n">
        <v>5.43</v>
      </c>
      <c r="R437" s="80" t="n">
        <v>1</v>
      </c>
      <c r="S437" s="80">
        <f>IF(AC437="Cancelled",0,M437*R437)</f>
        <v/>
      </c>
      <c r="T437" s="80">
        <f>IF(AC437="Cancelled",0,N437*R437)</f>
        <v/>
      </c>
      <c r="U437" s="80">
        <f>IF(AC437="Cancelled",0,O437*R437)</f>
        <v/>
      </c>
      <c r="V437" s="80">
        <f>IF(AC437="Cancelled",0,ROUND(P437*S437,2))</f>
        <v/>
      </c>
      <c r="W437" s="80" t="inlineStr">
        <is>
          <t>No</t>
        </is>
      </c>
      <c r="X437" s="80" t="n">
        <v>0</v>
      </c>
      <c r="Y437" s="80">
        <f>IF(AC437="Cancelled",0,T437+U437+V437+Q437+X437)</f>
        <v/>
      </c>
      <c r="Z437" s="80">
        <f>IF(AC437="Cancelled",-Q437,S437-Y437)</f>
        <v/>
      </c>
      <c r="AA437" s="81">
        <f>IF(OR(AC437="Cancelled",S437=0),0,Z437/S437)</f>
        <v/>
      </c>
      <c r="AB437" s="82">
        <f>IFERROR(S437/Q437,0)</f>
        <v/>
      </c>
      <c r="AC437" s="56" t="inlineStr">
        <is>
          <t>Delivered</t>
        </is>
      </c>
    </row>
    <row r="438" ht="14.25" customHeight="1" s="57">
      <c r="A438" s="56" t="inlineStr">
        <is>
          <t>ORD-00470</t>
        </is>
      </c>
      <c r="B438" s="79" t="n">
        <v>46077</v>
      </c>
      <c r="C438" s="56" t="n">
        <v>2026</v>
      </c>
      <c r="D438" s="56" t="n">
        <v>2</v>
      </c>
      <c r="E438" s="56" t="inlineStr">
        <is>
          <t>Saudi Arabia</t>
        </is>
      </c>
      <c r="F438" s="56" t="inlineStr">
        <is>
          <t>Riyadh</t>
        </is>
      </c>
      <c r="G438" s="56" t="inlineStr">
        <is>
          <t>Google Ads</t>
        </is>
      </c>
      <c r="H438" s="56" t="inlineStr">
        <is>
          <t>Bundle Promo</t>
        </is>
      </c>
      <c r="I438" s="56" t="inlineStr">
        <is>
          <t>P007</t>
        </is>
      </c>
      <c r="J438" s="56" t="inlineStr">
        <is>
          <t>Pet Grooming Glove</t>
        </is>
      </c>
      <c r="K438" s="56" t="inlineStr">
        <is>
          <t>Pets</t>
        </is>
      </c>
      <c r="L438" s="56" t="inlineStr">
        <is>
          <t>Yiwu Pet Products</t>
        </is>
      </c>
      <c r="M438" s="80" t="n">
        <v>20.26</v>
      </c>
      <c r="N438" s="80" t="n">
        <v>3.64</v>
      </c>
      <c r="O438" s="80" t="n">
        <v>2.77</v>
      </c>
      <c r="P438" s="80" t="n">
        <v>0.03</v>
      </c>
      <c r="Q438" s="80" t="n">
        <v>13.93</v>
      </c>
      <c r="R438" s="80" t="n">
        <v>2</v>
      </c>
      <c r="S438" s="80">
        <f>IF(AC438="Cancelled",0,M438*R438)</f>
        <v/>
      </c>
      <c r="T438" s="80">
        <f>IF(AC438="Cancelled",0,N438*R438)</f>
        <v/>
      </c>
      <c r="U438" s="80">
        <f>IF(AC438="Cancelled",0,O438*R438)</f>
        <v/>
      </c>
      <c r="V438" s="80">
        <f>IF(AC438="Cancelled",0,ROUND(P438*S438,2))</f>
        <v/>
      </c>
      <c r="W438" s="80" t="inlineStr">
        <is>
          <t>No</t>
        </is>
      </c>
      <c r="X438" s="80" t="n">
        <v>0</v>
      </c>
      <c r="Y438" s="80">
        <f>IF(AC438="Cancelled",0,T438+U438+V438+Q438+X438)</f>
        <v/>
      </c>
      <c r="Z438" s="80">
        <f>IF(AC438="Cancelled",-Q438,S438-Y438)</f>
        <v/>
      </c>
      <c r="AA438" s="81">
        <f>IF(OR(AC438="Cancelled",S438=0),0,Z438/S438)</f>
        <v/>
      </c>
      <c r="AB438" s="82">
        <f>IFERROR(S438/Q438,0)</f>
        <v/>
      </c>
      <c r="AC438" s="56" t="inlineStr">
        <is>
          <t>Delivered</t>
        </is>
      </c>
    </row>
    <row r="439" ht="14.25" customHeight="1" s="57">
      <c r="A439" s="56" t="inlineStr">
        <is>
          <t>ORD-00106</t>
        </is>
      </c>
      <c r="B439" s="79" t="n">
        <v>46078</v>
      </c>
      <c r="C439" s="56" t="n">
        <v>2026</v>
      </c>
      <c r="D439" s="56" t="n">
        <v>2</v>
      </c>
      <c r="E439" s="56" t="inlineStr">
        <is>
          <t>Saudi Arabia</t>
        </is>
      </c>
      <c r="F439" s="56" t="inlineStr">
        <is>
          <t>Riyadh</t>
        </is>
      </c>
      <c r="G439" s="56" t="inlineStr">
        <is>
          <t>Email</t>
        </is>
      </c>
      <c r="H439" s="56" t="inlineStr">
        <is>
          <t>Summer Sale</t>
        </is>
      </c>
      <c r="I439" s="56" t="inlineStr">
        <is>
          <t>P001</t>
        </is>
      </c>
      <c r="J439" s="56" t="inlineStr">
        <is>
          <t>Wireless Earbuds</t>
        </is>
      </c>
      <c r="K439" s="56" t="inlineStr">
        <is>
          <t>Electronics</t>
        </is>
      </c>
      <c r="L439" s="56" t="inlineStr">
        <is>
          <t>Shenzhen Audio Co.</t>
        </is>
      </c>
      <c r="M439" s="80" t="n">
        <v>42.37</v>
      </c>
      <c r="N439" s="80" t="n">
        <v>8.15</v>
      </c>
      <c r="O439" s="80" t="n">
        <v>4.21</v>
      </c>
      <c r="P439" s="80" t="n">
        <v>0.03</v>
      </c>
      <c r="Q439" s="80" t="n">
        <v>19.88</v>
      </c>
      <c r="R439" s="80" t="n">
        <v>2</v>
      </c>
      <c r="S439" s="80">
        <f>IF(AC439="Cancelled",0,M439*R439)</f>
        <v/>
      </c>
      <c r="T439" s="80">
        <f>IF(AC439="Cancelled",0,N439*R439)</f>
        <v/>
      </c>
      <c r="U439" s="80">
        <f>IF(AC439="Cancelled",0,O439*R439)</f>
        <v/>
      </c>
      <c r="V439" s="80">
        <f>IF(AC439="Cancelled",0,ROUND(P439*S439,2))</f>
        <v/>
      </c>
      <c r="W439" s="80" t="inlineStr">
        <is>
          <t>No</t>
        </is>
      </c>
      <c r="X439" s="80" t="n">
        <v>0</v>
      </c>
      <c r="Y439" s="80">
        <f>IF(AC439="Cancelled",0,T439+U439+V439+Q439+X439)</f>
        <v/>
      </c>
      <c r="Z439" s="80">
        <f>IF(AC439="Cancelled",-Q439,S439-Y439)</f>
        <v/>
      </c>
      <c r="AA439" s="81">
        <f>IF(OR(AC439="Cancelled",S439=0),0,Z439/S439)</f>
        <v/>
      </c>
      <c r="AB439" s="82">
        <f>IFERROR(S439/Q439,0)</f>
        <v/>
      </c>
      <c r="AC439" s="56" t="inlineStr">
        <is>
          <t>Delivered</t>
        </is>
      </c>
    </row>
    <row r="440" ht="14.25" customHeight="1" s="57">
      <c r="A440" s="56" t="inlineStr">
        <is>
          <t>ORD-00118</t>
        </is>
      </c>
      <c r="B440" s="79" t="n">
        <v>46078</v>
      </c>
      <c r="C440" s="56" t="n">
        <v>2026</v>
      </c>
      <c r="D440" s="56" t="n">
        <v>2</v>
      </c>
      <c r="E440" s="56" t="inlineStr">
        <is>
          <t>UAE</t>
        </is>
      </c>
      <c r="F440" s="56" t="inlineStr">
        <is>
          <t>Dubai</t>
        </is>
      </c>
      <c r="G440" s="56" t="inlineStr">
        <is>
          <t>Email</t>
        </is>
      </c>
      <c r="H440" s="56" t="inlineStr">
        <is>
          <t>Retargeting</t>
        </is>
      </c>
      <c r="I440" s="56" t="inlineStr">
        <is>
          <t>P007</t>
        </is>
      </c>
      <c r="J440" s="56" t="inlineStr">
        <is>
          <t>Pet Grooming Glove</t>
        </is>
      </c>
      <c r="K440" s="56" t="inlineStr">
        <is>
          <t>Pets</t>
        </is>
      </c>
      <c r="L440" s="56" t="inlineStr">
        <is>
          <t>Yiwu Pet Products</t>
        </is>
      </c>
      <c r="M440" s="80" t="n">
        <v>18.99</v>
      </c>
      <c r="N440" s="80" t="n">
        <v>3.46</v>
      </c>
      <c r="O440" s="80" t="n">
        <v>2.26</v>
      </c>
      <c r="P440" s="80" t="n">
        <v>0.03</v>
      </c>
      <c r="Q440" s="80" t="n">
        <v>8.99</v>
      </c>
      <c r="R440" s="80" t="n">
        <v>1</v>
      </c>
      <c r="S440" s="80">
        <f>IF(AC440="Cancelled",0,M440*R440)</f>
        <v/>
      </c>
      <c r="T440" s="80">
        <f>IF(AC440="Cancelled",0,N440*R440)</f>
        <v/>
      </c>
      <c r="U440" s="80">
        <f>IF(AC440="Cancelled",0,O440*R440)</f>
        <v/>
      </c>
      <c r="V440" s="80">
        <f>IF(AC440="Cancelled",0,ROUND(P440*S440,2))</f>
        <v/>
      </c>
      <c r="W440" s="80" t="inlineStr">
        <is>
          <t>No</t>
        </is>
      </c>
      <c r="X440" s="80" t="n">
        <v>0</v>
      </c>
      <c r="Y440" s="80">
        <f>IF(AC440="Cancelled",0,T440+U440+V440+Q440+X440)</f>
        <v/>
      </c>
      <c r="Z440" s="80">
        <f>IF(AC440="Cancelled",-Q440,S440-Y440)</f>
        <v/>
      </c>
      <c r="AA440" s="81">
        <f>IF(OR(AC440="Cancelled",S440=0),0,Z440/S440)</f>
        <v/>
      </c>
      <c r="AB440" s="82">
        <f>IFERROR(S440/Q440,0)</f>
        <v/>
      </c>
      <c r="AC440" s="56" t="inlineStr">
        <is>
          <t>Delivered</t>
        </is>
      </c>
    </row>
    <row r="441" ht="14.25" customHeight="1" s="57">
      <c r="A441" s="56" t="inlineStr">
        <is>
          <t>ORD-00019</t>
        </is>
      </c>
      <c r="B441" s="79" t="n">
        <v>46079</v>
      </c>
      <c r="C441" s="56" t="n">
        <v>2026</v>
      </c>
      <c r="D441" s="56" t="n">
        <v>2</v>
      </c>
      <c r="E441" s="56" t="inlineStr">
        <is>
          <t>Saudi Arabia</t>
        </is>
      </c>
      <c r="F441" s="56" t="inlineStr">
        <is>
          <t>Jeddah</t>
        </is>
      </c>
      <c r="G441" s="56" t="inlineStr">
        <is>
          <t>Meta Ads</t>
        </is>
      </c>
      <c r="H441" s="56" t="inlineStr">
        <is>
          <t>Bundle Promo</t>
        </is>
      </c>
      <c r="I441" s="56" t="inlineStr">
        <is>
          <t>P001</t>
        </is>
      </c>
      <c r="J441" s="56" t="inlineStr">
        <is>
          <t>Wireless Earbuds</t>
        </is>
      </c>
      <c r="K441" s="56" t="inlineStr">
        <is>
          <t>Electronics</t>
        </is>
      </c>
      <c r="L441" s="56" t="inlineStr">
        <is>
          <t>Shenzhen Audio Co.</t>
        </is>
      </c>
      <c r="M441" s="80" t="n">
        <v>37.69</v>
      </c>
      <c r="N441" s="80" t="n">
        <v>8.9</v>
      </c>
      <c r="O441" s="80" t="n">
        <v>4.07</v>
      </c>
      <c r="P441" s="80" t="n">
        <v>0.03</v>
      </c>
      <c r="Q441" s="80" t="n">
        <v>3.79</v>
      </c>
      <c r="R441" s="80" t="n">
        <v>1</v>
      </c>
      <c r="S441" s="80">
        <f>IF(AC441="Cancelled",0,M441*R441)</f>
        <v/>
      </c>
      <c r="T441" s="80">
        <f>IF(AC441="Cancelled",0,N441*R441)</f>
        <v/>
      </c>
      <c r="U441" s="80">
        <f>IF(AC441="Cancelled",0,O441*R441)</f>
        <v/>
      </c>
      <c r="V441" s="80">
        <f>IF(AC441="Cancelled",0,ROUND(P441*S441,2))</f>
        <v/>
      </c>
      <c r="W441" s="80" t="inlineStr">
        <is>
          <t>No</t>
        </is>
      </c>
      <c r="X441" s="80" t="n">
        <v>0</v>
      </c>
      <c r="Y441" s="80">
        <f>IF(AC441="Cancelled",0,T441+U441+V441+Q441+X441)</f>
        <v/>
      </c>
      <c r="Z441" s="80">
        <f>IF(AC441="Cancelled",-Q441,S441-Y441)</f>
        <v/>
      </c>
      <c r="AA441" s="81">
        <f>IF(OR(AC441="Cancelled",S441=0),0,Z441/S441)</f>
        <v/>
      </c>
      <c r="AB441" s="82">
        <f>IFERROR(S441/Q441,0)</f>
        <v/>
      </c>
      <c r="AC441" s="56" t="inlineStr">
        <is>
          <t>Delivered</t>
        </is>
      </c>
    </row>
    <row r="442" ht="14.25" customHeight="1" s="57">
      <c r="A442" s="56" t="inlineStr">
        <is>
          <t>ORD-00130</t>
        </is>
      </c>
      <c r="B442" s="79" t="n">
        <v>46079</v>
      </c>
      <c r="C442" s="56" t="n">
        <v>2026</v>
      </c>
      <c r="D442" s="56" t="n">
        <v>2</v>
      </c>
      <c r="E442" s="56" t="inlineStr">
        <is>
          <t>Qatar</t>
        </is>
      </c>
      <c r="F442" s="56" t="inlineStr">
        <is>
          <t>Doha</t>
        </is>
      </c>
      <c r="G442" s="56" t="inlineStr">
        <is>
          <t>Meta Ads</t>
        </is>
      </c>
      <c r="H442" s="56" t="inlineStr">
        <is>
          <t>Launch Test</t>
        </is>
      </c>
      <c r="I442" s="56" t="inlineStr">
        <is>
          <t>P002</t>
        </is>
      </c>
      <c r="J442" s="56" t="inlineStr">
        <is>
          <t>Phone Case</t>
        </is>
      </c>
      <c r="K442" s="56" t="inlineStr">
        <is>
          <t>Accessories</t>
        </is>
      </c>
      <c r="L442" s="56" t="inlineStr">
        <is>
          <t>Guangzhou Cases Ltd.</t>
        </is>
      </c>
      <c r="M442" s="80" t="n">
        <v>16.33</v>
      </c>
      <c r="N442" s="80" t="n">
        <v>1.94</v>
      </c>
      <c r="O442" s="80" t="n">
        <v>2.11</v>
      </c>
      <c r="P442" s="80" t="n">
        <v>0.03</v>
      </c>
      <c r="Q442" s="80" t="n">
        <v>8.720000000000001</v>
      </c>
      <c r="R442" s="80" t="n">
        <v>1</v>
      </c>
      <c r="S442" s="80">
        <f>IF(AC442="Cancelled",0,M442*R442)</f>
        <v/>
      </c>
      <c r="T442" s="80">
        <f>IF(AC442="Cancelled",0,N442*R442)</f>
        <v/>
      </c>
      <c r="U442" s="80">
        <f>IF(AC442="Cancelled",0,O442*R442)</f>
        <v/>
      </c>
      <c r="V442" s="80">
        <f>IF(AC442="Cancelled",0,ROUND(P442*S442,2))</f>
        <v/>
      </c>
      <c r="W442" s="80" t="inlineStr">
        <is>
          <t>No</t>
        </is>
      </c>
      <c r="X442" s="80" t="n">
        <v>0</v>
      </c>
      <c r="Y442" s="80">
        <f>IF(AC442="Cancelled",0,T442+U442+V442+Q442+X442)</f>
        <v/>
      </c>
      <c r="Z442" s="80">
        <f>IF(AC442="Cancelled",-Q442,S442-Y442)</f>
        <v/>
      </c>
      <c r="AA442" s="81">
        <f>IF(OR(AC442="Cancelled",S442=0),0,Z442/S442)</f>
        <v/>
      </c>
      <c r="AB442" s="82">
        <f>IFERROR(S442/Q442,0)</f>
        <v/>
      </c>
      <c r="AC442" s="56" t="inlineStr">
        <is>
          <t>Delivered</t>
        </is>
      </c>
    </row>
    <row r="443" ht="14.25" customHeight="1" s="57">
      <c r="A443" s="56" t="inlineStr">
        <is>
          <t>ORD-00179</t>
        </is>
      </c>
      <c r="B443" s="79" t="n">
        <v>46079</v>
      </c>
      <c r="C443" s="56" t="n">
        <v>2026</v>
      </c>
      <c r="D443" s="56" t="n">
        <v>2</v>
      </c>
      <c r="E443" s="56" t="inlineStr">
        <is>
          <t>UAE</t>
        </is>
      </c>
      <c r="F443" s="56" t="inlineStr">
        <is>
          <t>Abu Dhabi</t>
        </is>
      </c>
      <c r="G443" s="56" t="inlineStr">
        <is>
          <t>Meta Ads</t>
        </is>
      </c>
      <c r="H443" s="56" t="inlineStr">
        <is>
          <t>Retargeting</t>
        </is>
      </c>
      <c r="I443" s="56" t="inlineStr">
        <is>
          <t>P003</t>
        </is>
      </c>
      <c r="J443" s="56" t="inlineStr">
        <is>
          <t>LED Strip Lights</t>
        </is>
      </c>
      <c r="K443" s="56" t="inlineStr">
        <is>
          <t>Home Decor</t>
        </is>
      </c>
      <c r="L443" s="56" t="inlineStr">
        <is>
          <t>Yiwu Lighting Factory</t>
        </is>
      </c>
      <c r="M443" s="80" t="n">
        <v>27.34</v>
      </c>
      <c r="N443" s="80" t="n">
        <v>5.9</v>
      </c>
      <c r="O443" s="80" t="n">
        <v>3.94</v>
      </c>
      <c r="P443" s="80" t="n">
        <v>0.03</v>
      </c>
      <c r="Q443" s="80" t="n">
        <v>7.77</v>
      </c>
      <c r="R443" s="80" t="n">
        <v>1</v>
      </c>
      <c r="S443" s="80">
        <f>IF(AC443="Cancelled",0,M443*R443)</f>
        <v/>
      </c>
      <c r="T443" s="80">
        <f>IF(AC443="Cancelled",0,N443*R443)</f>
        <v/>
      </c>
      <c r="U443" s="80">
        <f>IF(AC443="Cancelled",0,O443*R443)</f>
        <v/>
      </c>
      <c r="V443" s="80">
        <f>IF(AC443="Cancelled",0,ROUND(P443*S443,2))</f>
        <v/>
      </c>
      <c r="W443" s="80" t="inlineStr">
        <is>
          <t>No</t>
        </is>
      </c>
      <c r="X443" s="80" t="n">
        <v>0</v>
      </c>
      <c r="Y443" s="80">
        <f>IF(AC443="Cancelled",0,T443+U443+V443+Q443+X443)</f>
        <v/>
      </c>
      <c r="Z443" s="80">
        <f>IF(AC443="Cancelled",-Q443,S443-Y443)</f>
        <v/>
      </c>
      <c r="AA443" s="81">
        <f>IF(OR(AC443="Cancelled",S443=0),0,Z443/S443)</f>
        <v/>
      </c>
      <c r="AB443" s="82">
        <f>IFERROR(S443/Q443,0)</f>
        <v/>
      </c>
      <c r="AC443" s="56" t="inlineStr">
        <is>
          <t>Delivered</t>
        </is>
      </c>
    </row>
    <row r="444" ht="14.25" customHeight="1" s="57">
      <c r="A444" s="56" t="inlineStr">
        <is>
          <t>ORD-00218</t>
        </is>
      </c>
      <c r="B444" s="79" t="n">
        <v>46079</v>
      </c>
      <c r="C444" s="56" t="n">
        <v>2026</v>
      </c>
      <c r="D444" s="56" t="n">
        <v>2</v>
      </c>
      <c r="E444" s="56" t="inlineStr">
        <is>
          <t>UAE</t>
        </is>
      </c>
      <c r="F444" s="56" t="inlineStr">
        <is>
          <t>Sharjah</t>
        </is>
      </c>
      <c r="G444" s="56" t="inlineStr">
        <is>
          <t>Meta Ads</t>
        </is>
      </c>
      <c r="H444" s="56" t="inlineStr">
        <is>
          <t>Retargeting</t>
        </is>
      </c>
      <c r="I444" s="56" t="inlineStr">
        <is>
          <t>P008</t>
        </is>
      </c>
      <c r="J444" s="56" t="inlineStr">
        <is>
          <t>Portable Blender</t>
        </is>
      </c>
      <c r="K444" s="56" t="inlineStr">
        <is>
          <t>Kitchen</t>
        </is>
      </c>
      <c r="L444" s="56" t="inlineStr">
        <is>
          <t>Foshan Appliances</t>
        </is>
      </c>
      <c r="M444" s="80" t="n">
        <v>52.38</v>
      </c>
      <c r="N444" s="80" t="n">
        <v>16.71</v>
      </c>
      <c r="O444" s="80" t="n">
        <v>6.62</v>
      </c>
      <c r="P444" s="80" t="n">
        <v>0.03</v>
      </c>
      <c r="Q444" s="80" t="n">
        <v>5.66</v>
      </c>
      <c r="R444" s="80" t="n">
        <v>1</v>
      </c>
      <c r="S444" s="80">
        <f>IF(AC444="Cancelled",0,M444*R444)</f>
        <v/>
      </c>
      <c r="T444" s="80">
        <f>IF(AC444="Cancelled",0,N444*R444)</f>
        <v/>
      </c>
      <c r="U444" s="80">
        <f>IF(AC444="Cancelled",0,O444*R444)</f>
        <v/>
      </c>
      <c r="V444" s="80">
        <f>IF(AC444="Cancelled",0,ROUND(P444*S444,2))</f>
        <v/>
      </c>
      <c r="W444" s="80" t="inlineStr">
        <is>
          <t>No</t>
        </is>
      </c>
      <c r="X444" s="80" t="n">
        <v>0</v>
      </c>
      <c r="Y444" s="80">
        <f>IF(AC444="Cancelled",0,T444+U444+V444+Q444+X444)</f>
        <v/>
      </c>
      <c r="Z444" s="80">
        <f>IF(AC444="Cancelled",-Q444,S444-Y444)</f>
        <v/>
      </c>
      <c r="AA444" s="81">
        <f>IF(OR(AC444="Cancelled",S444=0),0,Z444/S444)</f>
        <v/>
      </c>
      <c r="AB444" s="82">
        <f>IFERROR(S444/Q444,0)</f>
        <v/>
      </c>
      <c r="AC444" s="56" t="inlineStr">
        <is>
          <t>Delivered</t>
        </is>
      </c>
    </row>
    <row r="445" ht="14.25" customHeight="1" s="57">
      <c r="A445" s="56" t="inlineStr">
        <is>
          <t>ORD-00012</t>
        </is>
      </c>
      <c r="B445" s="79" t="n">
        <v>46082</v>
      </c>
      <c r="C445" s="56" t="n">
        <v>2026</v>
      </c>
      <c r="D445" s="56" t="n">
        <v>3</v>
      </c>
      <c r="E445" s="56" t="inlineStr">
        <is>
          <t>Oman</t>
        </is>
      </c>
      <c r="F445" s="56" t="inlineStr">
        <is>
          <t>Muscat</t>
        </is>
      </c>
      <c r="G445" s="56" t="inlineStr">
        <is>
          <t>Google Ads</t>
        </is>
      </c>
      <c r="H445" s="56" t="inlineStr">
        <is>
          <t>Bundle Promo</t>
        </is>
      </c>
      <c r="I445" s="56" t="inlineStr">
        <is>
          <t>P001</t>
        </is>
      </c>
      <c r="J445" s="56" t="inlineStr">
        <is>
          <t>Wireless Earbuds</t>
        </is>
      </c>
      <c r="K445" s="56" t="inlineStr">
        <is>
          <t>Electronics</t>
        </is>
      </c>
      <c r="L445" s="56" t="inlineStr">
        <is>
          <t>Shenzhen Audio Co.</t>
        </is>
      </c>
      <c r="M445" s="80" t="n">
        <v>36.81</v>
      </c>
      <c r="N445" s="80" t="n">
        <v>8.199999999999999</v>
      </c>
      <c r="O445" s="80" t="n">
        <v>4.05</v>
      </c>
      <c r="P445" s="80" t="n">
        <v>0.03</v>
      </c>
      <c r="Q445" s="80" t="n">
        <v>10.43</v>
      </c>
      <c r="R445" s="80" t="n">
        <v>1</v>
      </c>
      <c r="S445" s="80">
        <f>IF(AC445="Cancelled",0,M445*R445)</f>
        <v/>
      </c>
      <c r="T445" s="80">
        <f>IF(AC445="Cancelled",0,N445*R445)</f>
        <v/>
      </c>
      <c r="U445" s="80">
        <f>IF(AC445="Cancelled",0,O445*R445)</f>
        <v/>
      </c>
      <c r="V445" s="80">
        <f>IF(AC445="Cancelled",0,ROUND(P445*S445,2))</f>
        <v/>
      </c>
      <c r="W445" s="80" t="inlineStr">
        <is>
          <t>No</t>
        </is>
      </c>
      <c r="X445" s="80" t="n">
        <v>0</v>
      </c>
      <c r="Y445" s="80">
        <f>IF(AC445="Cancelled",0,T445+U445+V445+Q445+X445)</f>
        <v/>
      </c>
      <c r="Z445" s="80">
        <f>IF(AC445="Cancelled",-Q445,S445-Y445)</f>
        <v/>
      </c>
      <c r="AA445" s="81">
        <f>IF(OR(AC445="Cancelled",S445=0),0,Z445/S445)</f>
        <v/>
      </c>
      <c r="AB445" s="82">
        <f>IFERROR(S445/Q445,0)</f>
        <v/>
      </c>
      <c r="AC445" s="56" t="inlineStr">
        <is>
          <t>Delivered</t>
        </is>
      </c>
    </row>
    <row r="446" ht="14.25" customHeight="1" s="57">
      <c r="A446" s="56" t="inlineStr">
        <is>
          <t>ORD-00092</t>
        </is>
      </c>
      <c r="B446" s="79" t="n">
        <v>46084</v>
      </c>
      <c r="C446" s="56" t="n">
        <v>2026</v>
      </c>
      <c r="D446" s="56" t="n">
        <v>3</v>
      </c>
      <c r="E446" s="56" t="inlineStr">
        <is>
          <t>Qatar</t>
        </is>
      </c>
      <c r="F446" s="56" t="inlineStr">
        <is>
          <t>Doha</t>
        </is>
      </c>
      <c r="G446" s="56" t="inlineStr">
        <is>
          <t>Organic Search</t>
        </is>
      </c>
      <c r="H446" s="56" t="inlineStr">
        <is>
          <t>Bundle Promo</t>
        </is>
      </c>
      <c r="I446" s="56" t="inlineStr">
        <is>
          <t>P009</t>
        </is>
      </c>
      <c r="J446" s="56" t="inlineStr">
        <is>
          <t>Car Vacuum Cleaner</t>
        </is>
      </c>
      <c r="K446" s="56" t="inlineStr">
        <is>
          <t>Automotive</t>
        </is>
      </c>
      <c r="L446" s="56" t="inlineStr">
        <is>
          <t>Dongguan Auto Tools</t>
        </is>
      </c>
      <c r="M446" s="80" t="n">
        <v>40.84</v>
      </c>
      <c r="N446" s="80" t="n">
        <v>13.9</v>
      </c>
      <c r="O446" s="80" t="n">
        <v>7.28</v>
      </c>
      <c r="P446" s="80" t="n">
        <v>0.03</v>
      </c>
      <c r="Q446" s="80" t="n">
        <v>0</v>
      </c>
      <c r="R446" s="80" t="n">
        <v>3</v>
      </c>
      <c r="S446" s="80">
        <f>IF(AC446="Cancelled",0,M446*R446)</f>
        <v/>
      </c>
      <c r="T446" s="80">
        <f>IF(AC446="Cancelled",0,N446*R446)</f>
        <v/>
      </c>
      <c r="U446" s="80">
        <f>IF(AC446="Cancelled",0,O446*R446)</f>
        <v/>
      </c>
      <c r="V446" s="80">
        <f>IF(AC446="Cancelled",0,ROUND(P446*S446,2))</f>
        <v/>
      </c>
      <c r="W446" s="80" t="inlineStr">
        <is>
          <t>No</t>
        </is>
      </c>
      <c r="X446" s="80" t="n">
        <v>0</v>
      </c>
      <c r="Y446" s="80">
        <f>IF(AC446="Cancelled",0,T446+U446+V446+Q446+X446)</f>
        <v/>
      </c>
      <c r="Z446" s="80">
        <f>IF(AC446="Cancelled",-Q446,S446-Y446)</f>
        <v/>
      </c>
      <c r="AA446" s="81">
        <f>IF(OR(AC446="Cancelled",S446=0),0,Z446/S446)</f>
        <v/>
      </c>
      <c r="AB446" s="82">
        <f>IFERROR(S446/Q446,0)</f>
        <v/>
      </c>
      <c r="AC446" s="56" t="inlineStr">
        <is>
          <t>Delivered</t>
        </is>
      </c>
    </row>
    <row r="447" ht="14.25" customHeight="1" s="57">
      <c r="A447" s="56" t="inlineStr">
        <is>
          <t>ORD-00410</t>
        </is>
      </c>
      <c r="B447" s="79" t="n">
        <v>46084</v>
      </c>
      <c r="C447" s="56" t="n">
        <v>2026</v>
      </c>
      <c r="D447" s="56" t="n">
        <v>3</v>
      </c>
      <c r="E447" s="56" t="inlineStr">
        <is>
          <t>Saudi Arabia</t>
        </is>
      </c>
      <c r="F447" s="56" t="inlineStr">
        <is>
          <t>Jeddah</t>
        </is>
      </c>
      <c r="G447" s="56" t="inlineStr">
        <is>
          <t>Email</t>
        </is>
      </c>
      <c r="H447" s="56" t="inlineStr">
        <is>
          <t>Retargeting</t>
        </is>
      </c>
      <c r="I447" s="56" t="inlineStr">
        <is>
          <t>P008</t>
        </is>
      </c>
      <c r="J447" s="56" t="inlineStr">
        <is>
          <t>Portable Blender</t>
        </is>
      </c>
      <c r="K447" s="56" t="inlineStr">
        <is>
          <t>Kitchen</t>
        </is>
      </c>
      <c r="L447" s="56" t="inlineStr">
        <is>
          <t>Foshan Appliances</t>
        </is>
      </c>
      <c r="M447" s="80" t="n">
        <v>54.48</v>
      </c>
      <c r="N447" s="80" t="n">
        <v>17.14</v>
      </c>
      <c r="O447" s="80" t="n">
        <v>6.16</v>
      </c>
      <c r="P447" s="80" t="n">
        <v>0.03</v>
      </c>
      <c r="Q447" s="80" t="n">
        <v>6.11</v>
      </c>
      <c r="R447" s="80" t="n">
        <v>1</v>
      </c>
      <c r="S447" s="80">
        <f>IF(AC447="Cancelled",0,M447*R447)</f>
        <v/>
      </c>
      <c r="T447" s="80">
        <f>IF(AC447="Cancelled",0,N447*R447)</f>
        <v/>
      </c>
      <c r="U447" s="80">
        <f>IF(AC447="Cancelled",0,O447*R447)</f>
        <v/>
      </c>
      <c r="V447" s="80">
        <f>IF(AC447="Cancelled",0,ROUND(P447*S447,2))</f>
        <v/>
      </c>
      <c r="W447" s="80" t="inlineStr">
        <is>
          <t>No</t>
        </is>
      </c>
      <c r="X447" s="80" t="n">
        <v>0</v>
      </c>
      <c r="Y447" s="80">
        <f>IF(AC447="Cancelled",0,T447+U447+V447+Q447+X447)</f>
        <v/>
      </c>
      <c r="Z447" s="80">
        <f>IF(AC447="Cancelled",-Q447,S447-Y447)</f>
        <v/>
      </c>
      <c r="AA447" s="81">
        <f>IF(OR(AC447="Cancelled",S447=0),0,Z447/S447)</f>
        <v/>
      </c>
      <c r="AB447" s="82">
        <f>IFERROR(S447/Q447,0)</f>
        <v/>
      </c>
      <c r="AC447" s="56" t="inlineStr">
        <is>
          <t>Delivered</t>
        </is>
      </c>
    </row>
    <row r="448" ht="14.25" customHeight="1" s="57">
      <c r="A448" s="56" t="inlineStr">
        <is>
          <t>ORD-00188</t>
        </is>
      </c>
      <c r="B448" s="79" t="n">
        <v>46085</v>
      </c>
      <c r="C448" s="56" t="n">
        <v>2026</v>
      </c>
      <c r="D448" s="56" t="n">
        <v>3</v>
      </c>
      <c r="E448" s="56" t="inlineStr">
        <is>
          <t>UAE</t>
        </is>
      </c>
      <c r="F448" s="56" t="inlineStr">
        <is>
          <t>Sharjah</t>
        </is>
      </c>
      <c r="G448" s="56" t="inlineStr">
        <is>
          <t>Meta Ads</t>
        </is>
      </c>
      <c r="H448" s="56" t="inlineStr">
        <is>
          <t>Bundle Promo</t>
        </is>
      </c>
      <c r="I448" s="56" t="inlineStr">
        <is>
          <t>P007</t>
        </is>
      </c>
      <c r="J448" s="56" t="inlineStr">
        <is>
          <t>Pet Grooming Glove</t>
        </is>
      </c>
      <c r="K448" s="56" t="inlineStr">
        <is>
          <t>Pets</t>
        </is>
      </c>
      <c r="L448" s="56" t="inlineStr">
        <is>
          <t>Yiwu Pet Products</t>
        </is>
      </c>
      <c r="M448" s="80" t="n">
        <v>18.3</v>
      </c>
      <c r="N448" s="80" t="n">
        <v>3.37</v>
      </c>
      <c r="O448" s="80" t="n">
        <v>2.84</v>
      </c>
      <c r="P448" s="80" t="n">
        <v>0.03</v>
      </c>
      <c r="Q448" s="80" t="n">
        <v>7.66</v>
      </c>
      <c r="R448" s="80" t="n">
        <v>1</v>
      </c>
      <c r="S448" s="80">
        <f>IF(AC448="Cancelled",0,M448*R448)</f>
        <v/>
      </c>
      <c r="T448" s="80">
        <f>IF(AC448="Cancelled",0,N448*R448)</f>
        <v/>
      </c>
      <c r="U448" s="80">
        <f>IF(AC448="Cancelled",0,O448*R448)</f>
        <v/>
      </c>
      <c r="V448" s="80">
        <f>IF(AC448="Cancelled",0,ROUND(P448*S448,2))</f>
        <v/>
      </c>
      <c r="W448" s="80" t="inlineStr">
        <is>
          <t>No</t>
        </is>
      </c>
      <c r="X448" s="80" t="n">
        <v>0</v>
      </c>
      <c r="Y448" s="80">
        <f>IF(AC448="Cancelled",0,T448+U448+V448+Q448+X448)</f>
        <v/>
      </c>
      <c r="Z448" s="80">
        <f>IF(AC448="Cancelled",-Q448,S448-Y448)</f>
        <v/>
      </c>
      <c r="AA448" s="81">
        <f>IF(OR(AC448="Cancelled",S448=0),0,Z448/S448)</f>
        <v/>
      </c>
      <c r="AB448" s="82">
        <f>IFERROR(S448/Q448,0)</f>
        <v/>
      </c>
      <c r="AC448" s="56" t="inlineStr">
        <is>
          <t>Delivered</t>
        </is>
      </c>
    </row>
    <row r="449" ht="14.25" customHeight="1" s="57">
      <c r="A449" s="56" t="inlineStr">
        <is>
          <t>ORD-00227</t>
        </is>
      </c>
      <c r="B449" s="79" t="n">
        <v>46087</v>
      </c>
      <c r="C449" s="56" t="n">
        <v>2026</v>
      </c>
      <c r="D449" s="56" t="n">
        <v>3</v>
      </c>
      <c r="E449" s="56" t="inlineStr">
        <is>
          <t>Saudi Arabia</t>
        </is>
      </c>
      <c r="F449" s="56" t="inlineStr">
        <is>
          <t>Jeddah</t>
        </is>
      </c>
      <c r="G449" s="56" t="inlineStr">
        <is>
          <t>TikTok Ads</t>
        </is>
      </c>
      <c r="H449" s="56" t="inlineStr">
        <is>
          <t>Retargeting</t>
        </is>
      </c>
      <c r="I449" s="56" t="inlineStr">
        <is>
          <t>P005</t>
        </is>
      </c>
      <c r="J449" s="56" t="inlineStr">
        <is>
          <t>Mini Printer</t>
        </is>
      </c>
      <c r="K449" s="56" t="inlineStr">
        <is>
          <t>Electronics</t>
        </is>
      </c>
      <c r="L449" s="56" t="inlineStr">
        <is>
          <t>Shenzhen Print Tech</t>
        </is>
      </c>
      <c r="M449" s="80" t="n">
        <v>65.16</v>
      </c>
      <c r="N449" s="80" t="n">
        <v>22.87</v>
      </c>
      <c r="O449" s="80" t="n">
        <v>7.7</v>
      </c>
      <c r="P449" s="80" t="n">
        <v>0.03</v>
      </c>
      <c r="Q449" s="80" t="n">
        <v>9.6</v>
      </c>
      <c r="R449" s="80" t="n">
        <v>1</v>
      </c>
      <c r="S449" s="80">
        <f>IF(AC449="Cancelled",0,M449*R449)</f>
        <v/>
      </c>
      <c r="T449" s="80">
        <f>IF(AC449="Cancelled",0,N449*R449)</f>
        <v/>
      </c>
      <c r="U449" s="80">
        <f>IF(AC449="Cancelled",0,O449*R449)</f>
        <v/>
      </c>
      <c r="V449" s="80">
        <f>IF(AC449="Cancelled",0,ROUND(P449*S449,2))</f>
        <v/>
      </c>
      <c r="W449" s="80" t="inlineStr">
        <is>
          <t>No</t>
        </is>
      </c>
      <c r="X449" s="80" t="n">
        <v>0</v>
      </c>
      <c r="Y449" s="80">
        <f>IF(AC449="Cancelled",0,T449+U449+V449+Q449+X449)</f>
        <v/>
      </c>
      <c r="Z449" s="80">
        <f>IF(AC449="Cancelled",-Q449,S449-Y449)</f>
        <v/>
      </c>
      <c r="AA449" s="81">
        <f>IF(OR(AC449="Cancelled",S449=0),0,Z449/S449)</f>
        <v/>
      </c>
      <c r="AB449" s="82">
        <f>IFERROR(S449/Q449,0)</f>
        <v/>
      </c>
      <c r="AC449" s="56" t="inlineStr">
        <is>
          <t>Delivered</t>
        </is>
      </c>
    </row>
    <row r="450" ht="14.25" customHeight="1" s="57">
      <c r="A450" s="56" t="inlineStr">
        <is>
          <t>ORD-00260</t>
        </is>
      </c>
      <c r="B450" s="79" t="n">
        <v>46087</v>
      </c>
      <c r="C450" s="56" t="n">
        <v>2026</v>
      </c>
      <c r="D450" s="56" t="n">
        <v>3</v>
      </c>
      <c r="E450" s="56" t="inlineStr">
        <is>
          <t>Qatar</t>
        </is>
      </c>
      <c r="F450" s="56" t="inlineStr">
        <is>
          <t>Doha</t>
        </is>
      </c>
      <c r="G450" s="56" t="inlineStr">
        <is>
          <t>TikTok Ads</t>
        </is>
      </c>
      <c r="H450" s="56" t="inlineStr">
        <is>
          <t>Retargeting</t>
        </is>
      </c>
      <c r="I450" s="56" t="inlineStr">
        <is>
          <t>P002</t>
        </is>
      </c>
      <c r="J450" s="56" t="inlineStr">
        <is>
          <t>Phone Case</t>
        </is>
      </c>
      <c r="K450" s="56" t="inlineStr">
        <is>
          <t>Accessories</t>
        </is>
      </c>
      <c r="L450" s="56" t="inlineStr">
        <is>
          <t>Guangzhou Cases Ltd.</t>
        </is>
      </c>
      <c r="M450" s="80" t="n">
        <v>16.37</v>
      </c>
      <c r="N450" s="80" t="n">
        <v>1.97</v>
      </c>
      <c r="O450" s="80" t="n">
        <v>1.94</v>
      </c>
      <c r="P450" s="80" t="n">
        <v>0.03</v>
      </c>
      <c r="Q450" s="80" t="n">
        <v>6.64</v>
      </c>
      <c r="R450" s="80" t="n">
        <v>1</v>
      </c>
      <c r="S450" s="80">
        <f>IF(AC450="Cancelled",0,M450*R450)</f>
        <v/>
      </c>
      <c r="T450" s="80">
        <f>IF(AC450="Cancelled",0,N450*R450)</f>
        <v/>
      </c>
      <c r="U450" s="80">
        <f>IF(AC450="Cancelled",0,O450*R450)</f>
        <v/>
      </c>
      <c r="V450" s="80">
        <f>IF(AC450="Cancelled",0,ROUND(P450*S450,2))</f>
        <v/>
      </c>
      <c r="W450" s="80" t="inlineStr">
        <is>
          <t>No</t>
        </is>
      </c>
      <c r="X450" s="80" t="n">
        <v>0</v>
      </c>
      <c r="Y450" s="80">
        <f>IF(AC450="Cancelled",0,T450+U450+V450+Q450+X450)</f>
        <v/>
      </c>
      <c r="Z450" s="80">
        <f>IF(AC450="Cancelled",-Q450,S450-Y450)</f>
        <v/>
      </c>
      <c r="AA450" s="81">
        <f>IF(OR(AC450="Cancelled",S450=0),0,Z450/S450)</f>
        <v/>
      </c>
      <c r="AB450" s="82">
        <f>IFERROR(S450/Q450,0)</f>
        <v/>
      </c>
      <c r="AC450" s="56" t="inlineStr">
        <is>
          <t>Delivered</t>
        </is>
      </c>
    </row>
    <row r="451" ht="14.25" customHeight="1" s="57">
      <c r="A451" s="56" t="inlineStr">
        <is>
          <t>ORD-00284</t>
        </is>
      </c>
      <c r="B451" s="79" t="n">
        <v>46088</v>
      </c>
      <c r="C451" s="56" t="n">
        <v>2026</v>
      </c>
      <c r="D451" s="56" t="n">
        <v>3</v>
      </c>
      <c r="E451" s="56" t="inlineStr">
        <is>
          <t>Saudi Arabia</t>
        </is>
      </c>
      <c r="F451" s="56" t="inlineStr">
        <is>
          <t>Jeddah</t>
        </is>
      </c>
      <c r="G451" s="56" t="inlineStr">
        <is>
          <t>TikTok Ads</t>
        </is>
      </c>
      <c r="H451" s="56" t="inlineStr">
        <is>
          <t>Retargeting</t>
        </is>
      </c>
      <c r="I451" s="56" t="inlineStr">
        <is>
          <t>P006</t>
        </is>
      </c>
      <c r="J451" s="56" t="inlineStr">
        <is>
          <t>Posture Corrector</t>
        </is>
      </c>
      <c r="K451" s="56" t="inlineStr">
        <is>
          <t>Fitness</t>
        </is>
      </c>
      <c r="L451" s="56" t="inlineStr">
        <is>
          <t>Hangzhou Health Gear</t>
        </is>
      </c>
      <c r="M451" s="80" t="n">
        <v>31.53</v>
      </c>
      <c r="N451" s="80" t="n">
        <v>9.42</v>
      </c>
      <c r="O451" s="80" t="n">
        <v>3.83</v>
      </c>
      <c r="P451" s="80" t="n">
        <v>0.03</v>
      </c>
      <c r="Q451" s="80" t="n">
        <v>3.72</v>
      </c>
      <c r="R451" s="80" t="n">
        <v>1</v>
      </c>
      <c r="S451" s="80">
        <f>IF(AC451="Cancelled",0,M451*R451)</f>
        <v/>
      </c>
      <c r="T451" s="80">
        <f>IF(AC451="Cancelled",0,N451*R451)</f>
        <v/>
      </c>
      <c r="U451" s="80">
        <f>IF(AC451="Cancelled",0,O451*R451)</f>
        <v/>
      </c>
      <c r="V451" s="80">
        <f>IF(AC451="Cancelled",0,ROUND(P451*S451,2))</f>
        <v/>
      </c>
      <c r="W451" s="80" t="inlineStr">
        <is>
          <t>No</t>
        </is>
      </c>
      <c r="X451" s="80" t="n">
        <v>0</v>
      </c>
      <c r="Y451" s="80">
        <f>IF(AC451="Cancelled",0,T451+U451+V451+Q451+X451)</f>
        <v/>
      </c>
      <c r="Z451" s="80">
        <f>IF(AC451="Cancelled",-Q451,S451-Y451)</f>
        <v/>
      </c>
      <c r="AA451" s="81">
        <f>IF(OR(AC451="Cancelled",S451=0),0,Z451/S451)</f>
        <v/>
      </c>
      <c r="AB451" s="82">
        <f>IFERROR(S451/Q451,0)</f>
        <v/>
      </c>
      <c r="AC451" s="56" t="inlineStr">
        <is>
          <t>Delivered</t>
        </is>
      </c>
    </row>
    <row r="452" ht="14.25" customHeight="1" s="57">
      <c r="A452" s="56" t="inlineStr">
        <is>
          <t>ORD-00368</t>
        </is>
      </c>
      <c r="B452" s="79" t="n">
        <v>46089</v>
      </c>
      <c r="C452" s="56" t="n">
        <v>2026</v>
      </c>
      <c r="D452" s="56" t="n">
        <v>3</v>
      </c>
      <c r="E452" s="56" t="inlineStr">
        <is>
          <t>UAE</t>
        </is>
      </c>
      <c r="F452" s="56" t="inlineStr">
        <is>
          <t>Dubai</t>
        </is>
      </c>
      <c r="G452" s="56" t="inlineStr">
        <is>
          <t>Meta Ads</t>
        </is>
      </c>
      <c r="H452" s="56" t="inlineStr">
        <is>
          <t>New Creative A/B</t>
        </is>
      </c>
      <c r="I452" s="56" t="inlineStr">
        <is>
          <t>P007</t>
        </is>
      </c>
      <c r="J452" s="56" t="inlineStr">
        <is>
          <t>Pet Grooming Glove</t>
        </is>
      </c>
      <c r="K452" s="56" t="inlineStr">
        <is>
          <t>Pets</t>
        </is>
      </c>
      <c r="L452" s="56" t="inlineStr">
        <is>
          <t>Yiwu Pet Products</t>
        </is>
      </c>
      <c r="M452" s="80" t="n">
        <v>20.61</v>
      </c>
      <c r="N452" s="80" t="n">
        <v>3.52</v>
      </c>
      <c r="O452" s="80" t="n">
        <v>2.27</v>
      </c>
      <c r="P452" s="80" t="n">
        <v>0.03</v>
      </c>
      <c r="Q452" s="80" t="n">
        <v>3.38</v>
      </c>
      <c r="R452" s="80" t="n">
        <v>1</v>
      </c>
      <c r="S452" s="80">
        <f>IF(AC452="Cancelled",0,M452*R452)</f>
        <v/>
      </c>
      <c r="T452" s="80">
        <f>IF(AC452="Cancelled",0,N452*R452)</f>
        <v/>
      </c>
      <c r="U452" s="80">
        <f>IF(AC452="Cancelled",0,O452*R452)</f>
        <v/>
      </c>
      <c r="V452" s="80">
        <f>IF(AC452="Cancelled",0,ROUND(P452*S452,2))</f>
        <v/>
      </c>
      <c r="W452" s="80" t="inlineStr">
        <is>
          <t>No</t>
        </is>
      </c>
      <c r="X452" s="80" t="n">
        <v>0</v>
      </c>
      <c r="Y452" s="80">
        <f>IF(AC452="Cancelled",0,T452+U452+V452+Q452+X452)</f>
        <v/>
      </c>
      <c r="Z452" s="80">
        <f>IF(AC452="Cancelled",-Q452,S452-Y452)</f>
        <v/>
      </c>
      <c r="AA452" s="81">
        <f>IF(OR(AC452="Cancelled",S452=0),0,Z452/S452)</f>
        <v/>
      </c>
      <c r="AB452" s="82">
        <f>IFERROR(S452/Q452,0)</f>
        <v/>
      </c>
      <c r="AC452" s="56" t="inlineStr">
        <is>
          <t>Delivered</t>
        </is>
      </c>
    </row>
    <row r="453" ht="14.25" customHeight="1" s="57">
      <c r="A453" s="56" t="inlineStr">
        <is>
          <t>ORD-00141</t>
        </is>
      </c>
      <c r="B453" s="79" t="n">
        <v>46092</v>
      </c>
      <c r="C453" s="56" t="n">
        <v>2026</v>
      </c>
      <c r="D453" s="56" t="n">
        <v>3</v>
      </c>
      <c r="E453" s="56" t="inlineStr">
        <is>
          <t>Qatar</t>
        </is>
      </c>
      <c r="F453" s="56" t="inlineStr">
        <is>
          <t>Doha</t>
        </is>
      </c>
      <c r="G453" s="56" t="inlineStr">
        <is>
          <t>Google Ads</t>
        </is>
      </c>
      <c r="H453" s="56" t="inlineStr">
        <is>
          <t>Retargeting</t>
        </is>
      </c>
      <c r="I453" s="56" t="inlineStr">
        <is>
          <t>P010</t>
        </is>
      </c>
      <c r="J453" s="56" t="inlineStr">
        <is>
          <t>Smart Water Bottle</t>
        </is>
      </c>
      <c r="K453" s="56" t="inlineStr">
        <is>
          <t>Lifestyle</t>
        </is>
      </c>
      <c r="L453" s="56" t="inlineStr">
        <is>
          <t>Shenzhen Smart Home</t>
        </is>
      </c>
      <c r="M453" s="80" t="n">
        <v>36.88</v>
      </c>
      <c r="N453" s="80" t="n">
        <v>10.32</v>
      </c>
      <c r="O453" s="80" t="n">
        <v>3.82</v>
      </c>
      <c r="P453" s="80" t="n">
        <v>0.03</v>
      </c>
      <c r="Q453" s="80" t="n">
        <v>8.800000000000001</v>
      </c>
      <c r="R453" s="80" t="n">
        <v>1</v>
      </c>
      <c r="S453" s="80">
        <f>IF(AC453="Cancelled",0,M453*R453)</f>
        <v/>
      </c>
      <c r="T453" s="80">
        <f>IF(AC453="Cancelled",0,N453*R453)</f>
        <v/>
      </c>
      <c r="U453" s="80">
        <f>IF(AC453="Cancelled",0,O453*R453)</f>
        <v/>
      </c>
      <c r="V453" s="80">
        <f>IF(AC453="Cancelled",0,ROUND(P453*S453,2))</f>
        <v/>
      </c>
      <c r="W453" s="80" t="inlineStr">
        <is>
          <t>Yes</t>
        </is>
      </c>
      <c r="X453" s="80" t="n">
        <v>21.52</v>
      </c>
      <c r="Y453" s="80">
        <f>IF(AC453="Cancelled",0,T453+U453+V453+Q453+X453)</f>
        <v/>
      </c>
      <c r="Z453" s="80">
        <f>IF(AC453="Cancelled",-Q453,S453-Y453)</f>
        <v/>
      </c>
      <c r="AA453" s="81">
        <f>IF(OR(AC453="Cancelled",S453=0),0,Z453/S453)</f>
        <v/>
      </c>
      <c r="AB453" s="82">
        <f>IFERROR(S453/Q453,0)</f>
        <v/>
      </c>
      <c r="AC453" s="56" t="inlineStr">
        <is>
          <t>Refunded</t>
        </is>
      </c>
    </row>
    <row r="454" ht="14.25" customHeight="1" s="57">
      <c r="A454" s="56" t="inlineStr">
        <is>
          <t>ORD-00321</t>
        </is>
      </c>
      <c r="B454" s="79" t="n">
        <v>46092</v>
      </c>
      <c r="C454" s="56" t="n">
        <v>2026</v>
      </c>
      <c r="D454" s="56" t="n">
        <v>3</v>
      </c>
      <c r="E454" s="56" t="inlineStr">
        <is>
          <t>UAE</t>
        </is>
      </c>
      <c r="F454" s="56" t="inlineStr">
        <is>
          <t>Abu Dhabi</t>
        </is>
      </c>
      <c r="G454" s="56" t="inlineStr">
        <is>
          <t>Meta Ads</t>
        </is>
      </c>
      <c r="H454" s="56" t="inlineStr">
        <is>
          <t>Summer Sale</t>
        </is>
      </c>
      <c r="I454" s="56" t="inlineStr">
        <is>
          <t>P008</t>
        </is>
      </c>
      <c r="J454" s="56" t="inlineStr">
        <is>
          <t>Portable Blender</t>
        </is>
      </c>
      <c r="K454" s="56" t="inlineStr">
        <is>
          <t>Kitchen</t>
        </is>
      </c>
      <c r="L454" s="56" t="inlineStr">
        <is>
          <t>Foshan Appliances</t>
        </is>
      </c>
      <c r="M454" s="80" t="n">
        <v>46.93</v>
      </c>
      <c r="N454" s="80" t="n">
        <v>15.82</v>
      </c>
      <c r="O454" s="80" t="n">
        <v>5.58</v>
      </c>
      <c r="P454" s="80" t="n">
        <v>0.03</v>
      </c>
      <c r="Q454" s="80" t="n">
        <v>3.01</v>
      </c>
      <c r="R454" s="80" t="n">
        <v>3</v>
      </c>
      <c r="S454" s="80">
        <f>IF(AC454="Cancelled",0,M454*R454)</f>
        <v/>
      </c>
      <c r="T454" s="80">
        <f>IF(AC454="Cancelled",0,N454*R454)</f>
        <v/>
      </c>
      <c r="U454" s="80">
        <f>IF(AC454="Cancelled",0,O454*R454)</f>
        <v/>
      </c>
      <c r="V454" s="80">
        <f>IF(AC454="Cancelled",0,ROUND(P454*S454,2))</f>
        <v/>
      </c>
      <c r="W454" s="80" t="inlineStr">
        <is>
          <t>No</t>
        </is>
      </c>
      <c r="X454" s="80" t="n">
        <v>0</v>
      </c>
      <c r="Y454" s="80">
        <f>IF(AC454="Cancelled",0,T454+U454+V454+Q454+X454)</f>
        <v/>
      </c>
      <c r="Z454" s="80">
        <f>IF(AC454="Cancelled",-Q454,S454-Y454)</f>
        <v/>
      </c>
      <c r="AA454" s="81">
        <f>IF(OR(AC454="Cancelled",S454=0),0,Z454/S454)</f>
        <v/>
      </c>
      <c r="AB454" s="82">
        <f>IFERROR(S454/Q454,0)</f>
        <v/>
      </c>
      <c r="AC454" s="56" t="inlineStr">
        <is>
          <t>Delivered</t>
        </is>
      </c>
    </row>
    <row r="455" ht="14.25" customHeight="1" s="57">
      <c r="A455" s="56" t="inlineStr">
        <is>
          <t>ORD-00359</t>
        </is>
      </c>
      <c r="B455" s="79" t="n">
        <v>46092</v>
      </c>
      <c r="C455" s="56" t="n">
        <v>2026</v>
      </c>
      <c r="D455" s="56" t="n">
        <v>3</v>
      </c>
      <c r="E455" s="56" t="inlineStr">
        <is>
          <t>Saudi Arabia</t>
        </is>
      </c>
      <c r="F455" s="56" t="inlineStr">
        <is>
          <t>Jeddah</t>
        </is>
      </c>
      <c r="G455" s="56" t="inlineStr">
        <is>
          <t>TikTok Ads</t>
        </is>
      </c>
      <c r="H455" s="56" t="inlineStr">
        <is>
          <t>Retargeting</t>
        </is>
      </c>
      <c r="I455" s="56" t="inlineStr">
        <is>
          <t>P005</t>
        </is>
      </c>
      <c r="J455" s="56" t="inlineStr">
        <is>
          <t>Mini Printer</t>
        </is>
      </c>
      <c r="K455" s="56" t="inlineStr">
        <is>
          <t>Electronics</t>
        </is>
      </c>
      <c r="L455" s="56" t="inlineStr">
        <is>
          <t>Shenzhen Print Tech</t>
        </is>
      </c>
      <c r="M455" s="80" t="n">
        <v>64.68000000000001</v>
      </c>
      <c r="N455" s="80" t="n">
        <v>23.18</v>
      </c>
      <c r="O455" s="80" t="n">
        <v>6.51</v>
      </c>
      <c r="P455" s="80" t="n">
        <v>0.03</v>
      </c>
      <c r="Q455" s="80" t="n">
        <v>24.8</v>
      </c>
      <c r="R455" s="80" t="n">
        <v>3</v>
      </c>
      <c r="S455" s="80">
        <f>IF(AC455="Cancelled",0,M455*R455)</f>
        <v/>
      </c>
      <c r="T455" s="80">
        <f>IF(AC455="Cancelled",0,N455*R455)</f>
        <v/>
      </c>
      <c r="U455" s="80">
        <f>IF(AC455="Cancelled",0,O455*R455)</f>
        <v/>
      </c>
      <c r="V455" s="80">
        <f>IF(AC455="Cancelled",0,ROUND(P455*S455,2))</f>
        <v/>
      </c>
      <c r="W455" s="80" t="inlineStr">
        <is>
          <t>No</t>
        </is>
      </c>
      <c r="X455" s="80" t="n">
        <v>0</v>
      </c>
      <c r="Y455" s="80">
        <f>IF(AC455="Cancelled",0,T455+U455+V455+Q455+X455)</f>
        <v/>
      </c>
      <c r="Z455" s="80">
        <f>IF(AC455="Cancelled",-Q455,S455-Y455)</f>
        <v/>
      </c>
      <c r="AA455" s="81">
        <f>IF(OR(AC455="Cancelled",S455=0),0,Z455/S455)</f>
        <v/>
      </c>
      <c r="AB455" s="82">
        <f>IFERROR(S455/Q455,0)</f>
        <v/>
      </c>
      <c r="AC455" s="56" t="inlineStr">
        <is>
          <t>Delivered</t>
        </is>
      </c>
    </row>
    <row r="456" ht="14.25" customHeight="1" s="57">
      <c r="A456" s="56" t="inlineStr">
        <is>
          <t>ORD-00409</t>
        </is>
      </c>
      <c r="B456" s="79" t="n">
        <v>46092</v>
      </c>
      <c r="C456" s="56" t="n">
        <v>2026</v>
      </c>
      <c r="D456" s="56" t="n">
        <v>3</v>
      </c>
      <c r="E456" s="56" t="inlineStr">
        <is>
          <t>Kuwait</t>
        </is>
      </c>
      <c r="F456" s="56" t="inlineStr">
        <is>
          <t>Kuwait City</t>
        </is>
      </c>
      <c r="G456" s="56" t="inlineStr">
        <is>
          <t>Google Ads</t>
        </is>
      </c>
      <c r="H456" s="56" t="inlineStr">
        <is>
          <t>Bundle Promo</t>
        </is>
      </c>
      <c r="I456" s="56" t="inlineStr">
        <is>
          <t>P001</t>
        </is>
      </c>
      <c r="J456" s="56" t="inlineStr">
        <is>
          <t>Wireless Earbuds</t>
        </is>
      </c>
      <c r="K456" s="56" t="inlineStr">
        <is>
          <t>Electronics</t>
        </is>
      </c>
      <c r="L456" s="56" t="inlineStr">
        <is>
          <t>Shenzhen Audio Co.</t>
        </is>
      </c>
      <c r="M456" s="80" t="n">
        <v>37.74</v>
      </c>
      <c r="N456" s="80" t="n">
        <v>8.81</v>
      </c>
      <c r="O456" s="80" t="n">
        <v>4.31</v>
      </c>
      <c r="P456" s="80" t="n">
        <v>0.03</v>
      </c>
      <c r="Q456" s="80" t="n">
        <v>17.49</v>
      </c>
      <c r="R456" s="80" t="n">
        <v>2</v>
      </c>
      <c r="S456" s="80">
        <f>IF(AC456="Cancelled",0,M456*R456)</f>
        <v/>
      </c>
      <c r="T456" s="80">
        <f>IF(AC456="Cancelled",0,N456*R456)</f>
        <v/>
      </c>
      <c r="U456" s="80">
        <f>IF(AC456="Cancelled",0,O456*R456)</f>
        <v/>
      </c>
      <c r="V456" s="80">
        <f>IF(AC456="Cancelled",0,ROUND(P456*S456,2))</f>
        <v/>
      </c>
      <c r="W456" s="80" t="inlineStr">
        <is>
          <t>No</t>
        </is>
      </c>
      <c r="X456" s="80" t="n">
        <v>0</v>
      </c>
      <c r="Y456" s="80">
        <f>IF(AC456="Cancelled",0,T456+U456+V456+Q456+X456)</f>
        <v/>
      </c>
      <c r="Z456" s="80">
        <f>IF(AC456="Cancelled",-Q456,S456-Y456)</f>
        <v/>
      </c>
      <c r="AA456" s="81">
        <f>IF(OR(AC456="Cancelled",S456=0),0,Z456/S456)</f>
        <v/>
      </c>
      <c r="AB456" s="82">
        <f>IFERROR(S456/Q456,0)</f>
        <v/>
      </c>
      <c r="AC456" s="56" t="inlineStr">
        <is>
          <t>Delivered</t>
        </is>
      </c>
    </row>
    <row r="457" ht="14.25" customHeight="1" s="57">
      <c r="A457" s="56" t="inlineStr">
        <is>
          <t>ORD-00493</t>
        </is>
      </c>
      <c r="B457" s="79" t="n">
        <v>46093</v>
      </c>
      <c r="C457" s="56" t="n">
        <v>2026</v>
      </c>
      <c r="D457" s="56" t="n">
        <v>3</v>
      </c>
      <c r="E457" s="56" t="inlineStr">
        <is>
          <t>UAE</t>
        </is>
      </c>
      <c r="F457" s="56" t="inlineStr">
        <is>
          <t>Abu Dhabi</t>
        </is>
      </c>
      <c r="G457" s="56" t="inlineStr">
        <is>
          <t>Google Ads</t>
        </is>
      </c>
      <c r="H457" s="56" t="inlineStr">
        <is>
          <t>Bundle Promo</t>
        </is>
      </c>
      <c r="I457" s="56" t="inlineStr">
        <is>
          <t>P003</t>
        </is>
      </c>
      <c r="J457" s="56" t="inlineStr">
        <is>
          <t>LED Strip Lights</t>
        </is>
      </c>
      <c r="K457" s="56" t="inlineStr">
        <is>
          <t>Home Decor</t>
        </is>
      </c>
      <c r="L457" s="56" t="inlineStr">
        <is>
          <t>Yiwu Lighting Factory</t>
        </is>
      </c>
      <c r="M457" s="80" t="n">
        <v>25.91</v>
      </c>
      <c r="N457" s="80" t="n">
        <v>5.9</v>
      </c>
      <c r="O457" s="80" t="n">
        <v>3.77</v>
      </c>
      <c r="P457" s="80" t="n">
        <v>0.03</v>
      </c>
      <c r="Q457" s="80" t="n">
        <v>7.43</v>
      </c>
      <c r="R457" s="80" t="n">
        <v>2</v>
      </c>
      <c r="S457" s="80">
        <f>IF(AC457="Cancelled",0,M457*R457)</f>
        <v/>
      </c>
      <c r="T457" s="80">
        <f>IF(AC457="Cancelled",0,N457*R457)</f>
        <v/>
      </c>
      <c r="U457" s="80">
        <f>IF(AC457="Cancelled",0,O457*R457)</f>
        <v/>
      </c>
      <c r="V457" s="80">
        <f>IF(AC457="Cancelled",0,ROUND(P457*S457,2))</f>
        <v/>
      </c>
      <c r="W457" s="80" t="inlineStr">
        <is>
          <t>No</t>
        </is>
      </c>
      <c r="X457" s="80" t="n">
        <v>0</v>
      </c>
      <c r="Y457" s="80">
        <f>IF(AC457="Cancelled",0,T457+U457+V457+Q457+X457)</f>
        <v/>
      </c>
      <c r="Z457" s="80">
        <f>IF(AC457="Cancelled",-Q457,S457-Y457)</f>
        <v/>
      </c>
      <c r="AA457" s="81">
        <f>IF(OR(AC457="Cancelled",S457=0),0,Z457/S457)</f>
        <v/>
      </c>
      <c r="AB457" s="82">
        <f>IFERROR(S457/Q457,0)</f>
        <v/>
      </c>
      <c r="AC457" s="56" t="inlineStr">
        <is>
          <t>Delivered</t>
        </is>
      </c>
    </row>
    <row r="458" ht="14.25" customHeight="1" s="57">
      <c r="A458" s="56" t="inlineStr">
        <is>
          <t>ORD-00282</t>
        </is>
      </c>
      <c r="B458" s="79" t="n">
        <v>46096</v>
      </c>
      <c r="C458" s="56" t="n">
        <v>2026</v>
      </c>
      <c r="D458" s="56" t="n">
        <v>3</v>
      </c>
      <c r="E458" s="56" t="inlineStr">
        <is>
          <t>Saudi Arabia</t>
        </is>
      </c>
      <c r="F458" s="56" t="inlineStr">
        <is>
          <t>Jeddah</t>
        </is>
      </c>
      <c r="G458" s="56" t="inlineStr">
        <is>
          <t>Google Ads</t>
        </is>
      </c>
      <c r="H458" s="56" t="inlineStr">
        <is>
          <t>Summer Sale</t>
        </is>
      </c>
      <c r="I458" s="56" t="inlineStr">
        <is>
          <t>P010</t>
        </is>
      </c>
      <c r="J458" s="56" t="inlineStr">
        <is>
          <t>Smart Water Bottle</t>
        </is>
      </c>
      <c r="K458" s="56" t="inlineStr">
        <is>
          <t>Lifestyle</t>
        </is>
      </c>
      <c r="L458" s="56" t="inlineStr">
        <is>
          <t>Shenzhen Smart Home</t>
        </is>
      </c>
      <c r="M458" s="80" t="n">
        <v>33.95</v>
      </c>
      <c r="N458" s="80" t="n">
        <v>10.78</v>
      </c>
      <c r="O458" s="80" t="n">
        <v>3.86</v>
      </c>
      <c r="P458" s="80" t="n">
        <v>0.03</v>
      </c>
      <c r="Q458" s="80" t="n">
        <v>4.2</v>
      </c>
      <c r="R458" s="80" t="n">
        <v>1</v>
      </c>
      <c r="S458" s="80">
        <f>IF(AC458="Cancelled",0,M458*R458)</f>
        <v/>
      </c>
      <c r="T458" s="80">
        <f>IF(AC458="Cancelled",0,N458*R458)</f>
        <v/>
      </c>
      <c r="U458" s="80">
        <f>IF(AC458="Cancelled",0,O458*R458)</f>
        <v/>
      </c>
      <c r="V458" s="80">
        <f>IF(AC458="Cancelled",0,ROUND(P458*S458,2))</f>
        <v/>
      </c>
      <c r="W458" s="80" t="inlineStr">
        <is>
          <t>No</t>
        </is>
      </c>
      <c r="X458" s="80" t="n">
        <v>0</v>
      </c>
      <c r="Y458" s="80">
        <f>IF(AC458="Cancelled",0,T458+U458+V458+Q458+X458)</f>
        <v/>
      </c>
      <c r="Z458" s="80">
        <f>IF(AC458="Cancelled",-Q458,S458-Y458)</f>
        <v/>
      </c>
      <c r="AA458" s="81">
        <f>IF(OR(AC458="Cancelled",S458=0),0,Z458/S458)</f>
        <v/>
      </c>
      <c r="AB458" s="82">
        <f>IFERROR(S458/Q458,0)</f>
        <v/>
      </c>
      <c r="AC458" s="56" t="inlineStr">
        <is>
          <t>Delivered</t>
        </is>
      </c>
    </row>
    <row r="459" ht="14.25" customHeight="1" s="57">
      <c r="A459" s="56" t="inlineStr">
        <is>
          <t>ORD-00477</t>
        </is>
      </c>
      <c r="B459" s="79" t="n">
        <v>46099</v>
      </c>
      <c r="C459" s="56" t="n">
        <v>2026</v>
      </c>
      <c r="D459" s="56" t="n">
        <v>3</v>
      </c>
      <c r="E459" s="56" t="inlineStr">
        <is>
          <t>Kuwait</t>
        </is>
      </c>
      <c r="F459" s="56" t="inlineStr">
        <is>
          <t>Kuwait City</t>
        </is>
      </c>
      <c r="G459" s="56" t="inlineStr">
        <is>
          <t>TikTok Ads</t>
        </is>
      </c>
      <c r="H459" s="56" t="inlineStr">
        <is>
          <t>New Creative A/B</t>
        </is>
      </c>
      <c r="I459" s="56" t="inlineStr">
        <is>
          <t>P004</t>
        </is>
      </c>
      <c r="J459" s="56" t="inlineStr">
        <is>
          <t>Beauty Tool</t>
        </is>
      </c>
      <c r="K459" s="56" t="inlineStr">
        <is>
          <t>Beauty</t>
        </is>
      </c>
      <c r="L459" s="56" t="inlineStr">
        <is>
          <t>Ningbo Beauty Supply</t>
        </is>
      </c>
      <c r="M459" s="80" t="n">
        <v>31.08</v>
      </c>
      <c r="N459" s="80" t="n">
        <v>7.33</v>
      </c>
      <c r="O459" s="80" t="n">
        <v>4.66</v>
      </c>
      <c r="P459" s="80" t="n">
        <v>0.03</v>
      </c>
      <c r="Q459" s="80" t="n">
        <v>26.99</v>
      </c>
      <c r="R459" s="80" t="n">
        <v>3</v>
      </c>
      <c r="S459" s="80">
        <f>IF(AC459="Cancelled",0,M459*R459)</f>
        <v/>
      </c>
      <c r="T459" s="80">
        <f>IF(AC459="Cancelled",0,N459*R459)</f>
        <v/>
      </c>
      <c r="U459" s="80">
        <f>IF(AC459="Cancelled",0,O459*R459)</f>
        <v/>
      </c>
      <c r="V459" s="80">
        <f>IF(AC459="Cancelled",0,ROUND(P459*S459,2))</f>
        <v/>
      </c>
      <c r="W459" s="80" t="inlineStr">
        <is>
          <t>No</t>
        </is>
      </c>
      <c r="X459" s="80" t="n">
        <v>0</v>
      </c>
      <c r="Y459" s="80">
        <f>IF(AC459="Cancelled",0,T459+U459+V459+Q459+X459)</f>
        <v/>
      </c>
      <c r="Z459" s="80">
        <f>IF(AC459="Cancelled",-Q459,S459-Y459)</f>
        <v/>
      </c>
      <c r="AA459" s="81">
        <f>IF(OR(AC459="Cancelled",S459=0),0,Z459/S459)</f>
        <v/>
      </c>
      <c r="AB459" s="82">
        <f>IFERROR(S459/Q459,0)</f>
        <v/>
      </c>
      <c r="AC459" s="56" t="inlineStr">
        <is>
          <t>Delivered</t>
        </is>
      </c>
    </row>
    <row r="460" ht="14.25" customHeight="1" s="57">
      <c r="A460" s="56" t="inlineStr">
        <is>
          <t>ORD-00299</t>
        </is>
      </c>
      <c r="B460" s="79" t="n">
        <v>46100</v>
      </c>
      <c r="C460" s="56" t="n">
        <v>2026</v>
      </c>
      <c r="D460" s="56" t="n">
        <v>3</v>
      </c>
      <c r="E460" s="56" t="inlineStr">
        <is>
          <t>Saudi Arabia</t>
        </is>
      </c>
      <c r="F460" s="56" t="inlineStr">
        <is>
          <t>Riyadh</t>
        </is>
      </c>
      <c r="G460" s="56" t="inlineStr">
        <is>
          <t>Meta Ads</t>
        </is>
      </c>
      <c r="H460" s="56" t="inlineStr">
        <is>
          <t>Bundle Promo</t>
        </is>
      </c>
      <c r="I460" s="56" t="inlineStr">
        <is>
          <t>P004</t>
        </is>
      </c>
      <c r="J460" s="56" t="inlineStr">
        <is>
          <t>Beauty Tool</t>
        </is>
      </c>
      <c r="K460" s="56" t="inlineStr">
        <is>
          <t>Beauty</t>
        </is>
      </c>
      <c r="L460" s="56" t="inlineStr">
        <is>
          <t>Ningbo Beauty Supply</t>
        </is>
      </c>
      <c r="M460" s="80" t="n">
        <v>29.04</v>
      </c>
      <c r="N460" s="80" t="n">
        <v>7.2</v>
      </c>
      <c r="O460" s="80" t="n">
        <v>4.72</v>
      </c>
      <c r="P460" s="80" t="n">
        <v>0.03</v>
      </c>
      <c r="Q460" s="80" t="n">
        <v>6.48</v>
      </c>
      <c r="R460" s="80" t="n">
        <v>1</v>
      </c>
      <c r="S460" s="80">
        <f>IF(AC460="Cancelled",0,M460*R460)</f>
        <v/>
      </c>
      <c r="T460" s="80">
        <f>IF(AC460="Cancelled",0,N460*R460)</f>
        <v/>
      </c>
      <c r="U460" s="80">
        <f>IF(AC460="Cancelled",0,O460*R460)</f>
        <v/>
      </c>
      <c r="V460" s="80">
        <f>IF(AC460="Cancelled",0,ROUND(P460*S460,2))</f>
        <v/>
      </c>
      <c r="W460" s="80" t="inlineStr">
        <is>
          <t>No</t>
        </is>
      </c>
      <c r="X460" s="80" t="n">
        <v>0</v>
      </c>
      <c r="Y460" s="80">
        <f>IF(AC460="Cancelled",0,T460+U460+V460+Q460+X460)</f>
        <v/>
      </c>
      <c r="Z460" s="80">
        <f>IF(AC460="Cancelled",-Q460,S460-Y460)</f>
        <v/>
      </c>
      <c r="AA460" s="81">
        <f>IF(OR(AC460="Cancelled",S460=0),0,Z460/S460)</f>
        <v/>
      </c>
      <c r="AB460" s="82">
        <f>IFERROR(S460/Q460,0)</f>
        <v/>
      </c>
      <c r="AC460" s="56" t="inlineStr">
        <is>
          <t>Delivered</t>
        </is>
      </c>
    </row>
    <row r="461" ht="14.25" customHeight="1" s="57">
      <c r="A461" s="56" t="inlineStr">
        <is>
          <t>ORD-00303</t>
        </is>
      </c>
      <c r="B461" s="79" t="n">
        <v>46101</v>
      </c>
      <c r="C461" s="56" t="n">
        <v>2026</v>
      </c>
      <c r="D461" s="56" t="n">
        <v>3</v>
      </c>
      <c r="E461" s="56" t="inlineStr">
        <is>
          <t>UAE</t>
        </is>
      </c>
      <c r="F461" s="56" t="inlineStr">
        <is>
          <t>Dubai</t>
        </is>
      </c>
      <c r="G461" s="56" t="inlineStr">
        <is>
          <t>Meta Ads</t>
        </is>
      </c>
      <c r="H461" s="56" t="inlineStr">
        <is>
          <t>Bundle Promo</t>
        </is>
      </c>
      <c r="I461" s="56" t="inlineStr">
        <is>
          <t>P009</t>
        </is>
      </c>
      <c r="J461" s="56" t="inlineStr">
        <is>
          <t>Car Vacuum Cleaner</t>
        </is>
      </c>
      <c r="K461" s="56" t="inlineStr">
        <is>
          <t>Automotive</t>
        </is>
      </c>
      <c r="L461" s="56" t="inlineStr">
        <is>
          <t>Dongguan Auto Tools</t>
        </is>
      </c>
      <c r="M461" s="80" t="n">
        <v>47.62</v>
      </c>
      <c r="N461" s="80" t="n">
        <v>14.84</v>
      </c>
      <c r="O461" s="80" t="n">
        <v>6.87</v>
      </c>
      <c r="P461" s="80" t="n">
        <v>0.03</v>
      </c>
      <c r="Q461" s="80" t="n">
        <v>9.42</v>
      </c>
      <c r="R461" s="80" t="n">
        <v>1</v>
      </c>
      <c r="S461" s="80">
        <f>IF(AC461="Cancelled",0,M461*R461)</f>
        <v/>
      </c>
      <c r="T461" s="80">
        <f>IF(AC461="Cancelled",0,N461*R461)</f>
        <v/>
      </c>
      <c r="U461" s="80">
        <f>IF(AC461="Cancelled",0,O461*R461)</f>
        <v/>
      </c>
      <c r="V461" s="80">
        <f>IF(AC461="Cancelled",0,ROUND(P461*S461,2))</f>
        <v/>
      </c>
      <c r="W461" s="80" t="inlineStr">
        <is>
          <t>No</t>
        </is>
      </c>
      <c r="X461" s="80" t="n">
        <v>0</v>
      </c>
      <c r="Y461" s="80">
        <f>IF(AC461="Cancelled",0,T461+U461+V461+Q461+X461)</f>
        <v/>
      </c>
      <c r="Z461" s="80">
        <f>IF(AC461="Cancelled",-Q461,S461-Y461)</f>
        <v/>
      </c>
      <c r="AA461" s="81">
        <f>IF(OR(AC461="Cancelled",S461=0),0,Z461/S461)</f>
        <v/>
      </c>
      <c r="AB461" s="82">
        <f>IFERROR(S461/Q461,0)</f>
        <v/>
      </c>
      <c r="AC461" s="56" t="inlineStr">
        <is>
          <t>Delivered</t>
        </is>
      </c>
    </row>
    <row r="462" ht="14.25" customHeight="1" s="57">
      <c r="A462" s="56" t="inlineStr">
        <is>
          <t>ORD-00025</t>
        </is>
      </c>
      <c r="B462" s="79" t="n">
        <v>46103</v>
      </c>
      <c r="C462" s="56" t="n">
        <v>2026</v>
      </c>
      <c r="D462" s="56" t="n">
        <v>3</v>
      </c>
      <c r="E462" s="56" t="inlineStr">
        <is>
          <t>UAE</t>
        </is>
      </c>
      <c r="F462" s="56" t="inlineStr">
        <is>
          <t>Dubai</t>
        </is>
      </c>
      <c r="G462" s="56" t="inlineStr">
        <is>
          <t>TikTok Ads</t>
        </is>
      </c>
      <c r="H462" s="56" t="inlineStr">
        <is>
          <t>Launch Test</t>
        </is>
      </c>
      <c r="I462" s="56" t="inlineStr">
        <is>
          <t>P001</t>
        </is>
      </c>
      <c r="J462" s="56" t="inlineStr">
        <is>
          <t>Wireless Earbuds</t>
        </is>
      </c>
      <c r="K462" s="56" t="inlineStr">
        <is>
          <t>Electronics</t>
        </is>
      </c>
      <c r="L462" s="56" t="inlineStr">
        <is>
          <t>Shenzhen Audio Co.</t>
        </is>
      </c>
      <c r="M462" s="80" t="n">
        <v>44.22</v>
      </c>
      <c r="N462" s="80" t="n">
        <v>8.43</v>
      </c>
      <c r="O462" s="80" t="n">
        <v>4.24</v>
      </c>
      <c r="P462" s="80" t="n">
        <v>0.03</v>
      </c>
      <c r="Q462" s="80" t="n">
        <v>25.02</v>
      </c>
      <c r="R462" s="80" t="n">
        <v>3</v>
      </c>
      <c r="S462" s="80">
        <f>IF(AC462="Cancelled",0,M462*R462)</f>
        <v/>
      </c>
      <c r="T462" s="80">
        <f>IF(AC462="Cancelled",0,N462*R462)</f>
        <v/>
      </c>
      <c r="U462" s="80">
        <f>IF(AC462="Cancelled",0,O462*R462)</f>
        <v/>
      </c>
      <c r="V462" s="80">
        <f>IF(AC462="Cancelled",0,ROUND(P462*S462,2))</f>
        <v/>
      </c>
      <c r="W462" s="80" t="inlineStr">
        <is>
          <t>No</t>
        </is>
      </c>
      <c r="X462" s="80" t="n">
        <v>0</v>
      </c>
      <c r="Y462" s="80">
        <f>IF(AC462="Cancelled",0,T462+U462+V462+Q462+X462)</f>
        <v/>
      </c>
      <c r="Z462" s="80">
        <f>IF(AC462="Cancelled",-Q462,S462-Y462)</f>
        <v/>
      </c>
      <c r="AA462" s="81">
        <f>IF(OR(AC462="Cancelled",S462=0),0,Z462/S462)</f>
        <v/>
      </c>
      <c r="AB462" s="82">
        <f>IFERROR(S462/Q462,0)</f>
        <v/>
      </c>
      <c r="AC462" s="56" t="inlineStr">
        <is>
          <t>Delivered</t>
        </is>
      </c>
    </row>
    <row r="463" ht="14.25" customHeight="1" s="57">
      <c r="A463" s="56" t="inlineStr">
        <is>
          <t>ORD-00196</t>
        </is>
      </c>
      <c r="B463" s="79" t="n">
        <v>46107</v>
      </c>
      <c r="C463" s="56" t="n">
        <v>2026</v>
      </c>
      <c r="D463" s="56" t="n">
        <v>3</v>
      </c>
      <c r="E463" s="56" t="inlineStr">
        <is>
          <t>Saudi Arabia</t>
        </is>
      </c>
      <c r="F463" s="56" t="inlineStr">
        <is>
          <t>Jeddah</t>
        </is>
      </c>
      <c r="G463" s="56" t="inlineStr">
        <is>
          <t>Meta Ads</t>
        </is>
      </c>
      <c r="H463" s="56" t="inlineStr">
        <is>
          <t>Summer Sale</t>
        </is>
      </c>
      <c r="I463" s="56" t="inlineStr">
        <is>
          <t>P007</t>
        </is>
      </c>
      <c r="J463" s="56" t="inlineStr">
        <is>
          <t>Pet Grooming Glove</t>
        </is>
      </c>
      <c r="K463" s="56" t="inlineStr">
        <is>
          <t>Pets</t>
        </is>
      </c>
      <c r="L463" s="56" t="inlineStr">
        <is>
          <t>Yiwu Pet Products</t>
        </is>
      </c>
      <c r="M463" s="80" t="n">
        <v>21.74</v>
      </c>
      <c r="N463" s="80" t="n">
        <v>3.76</v>
      </c>
      <c r="O463" s="80" t="n">
        <v>2.52</v>
      </c>
      <c r="P463" s="80" t="n">
        <v>0.03</v>
      </c>
      <c r="Q463" s="80" t="n">
        <v>5.93</v>
      </c>
      <c r="R463" s="80" t="n">
        <v>2</v>
      </c>
      <c r="S463" s="80">
        <f>IF(AC463="Cancelled",0,M463*R463)</f>
        <v/>
      </c>
      <c r="T463" s="80">
        <f>IF(AC463="Cancelled",0,N463*R463)</f>
        <v/>
      </c>
      <c r="U463" s="80">
        <f>IF(AC463="Cancelled",0,O463*R463)</f>
        <v/>
      </c>
      <c r="V463" s="80">
        <f>IF(AC463="Cancelled",0,ROUND(P463*S463,2))</f>
        <v/>
      </c>
      <c r="W463" s="80" t="inlineStr">
        <is>
          <t>No</t>
        </is>
      </c>
      <c r="X463" s="80" t="n">
        <v>0</v>
      </c>
      <c r="Y463" s="80">
        <f>IF(AC463="Cancelled",0,T463+U463+V463+Q463+X463)</f>
        <v/>
      </c>
      <c r="Z463" s="80">
        <f>IF(AC463="Cancelled",-Q463,S463-Y463)</f>
        <v/>
      </c>
      <c r="AA463" s="81">
        <f>IF(OR(AC463="Cancelled",S463=0),0,Z463/S463)</f>
        <v/>
      </c>
      <c r="AB463" s="82">
        <f>IFERROR(S463/Q463,0)</f>
        <v/>
      </c>
      <c r="AC463" s="56" t="inlineStr">
        <is>
          <t>Delivered</t>
        </is>
      </c>
    </row>
    <row r="464" ht="14.25" customHeight="1" s="57">
      <c r="A464" s="56" t="inlineStr">
        <is>
          <t>ORD-00137</t>
        </is>
      </c>
      <c r="B464" s="79" t="n">
        <v>46108</v>
      </c>
      <c r="C464" s="56" t="n">
        <v>2026</v>
      </c>
      <c r="D464" s="56" t="n">
        <v>3</v>
      </c>
      <c r="E464" s="56" t="inlineStr">
        <is>
          <t>UAE</t>
        </is>
      </c>
      <c r="F464" s="56" t="inlineStr">
        <is>
          <t>Sharjah</t>
        </is>
      </c>
      <c r="G464" s="56" t="inlineStr">
        <is>
          <t>TikTok Ads</t>
        </is>
      </c>
      <c r="H464" s="56" t="inlineStr">
        <is>
          <t>New Creative A/B</t>
        </is>
      </c>
      <c r="I464" s="56" t="inlineStr">
        <is>
          <t>P009</t>
        </is>
      </c>
      <c r="J464" s="56" t="inlineStr">
        <is>
          <t>Car Vacuum Cleaner</t>
        </is>
      </c>
      <c r="K464" s="56" t="inlineStr">
        <is>
          <t>Automotive</t>
        </is>
      </c>
      <c r="L464" s="56" t="inlineStr">
        <is>
          <t>Dongguan Auto Tools</t>
        </is>
      </c>
      <c r="M464" s="80" t="n">
        <v>43.99</v>
      </c>
      <c r="N464" s="80" t="n">
        <v>13.37</v>
      </c>
      <c r="O464" s="80" t="n">
        <v>7.44</v>
      </c>
      <c r="P464" s="80" t="n">
        <v>0.03</v>
      </c>
      <c r="Q464" s="80" t="n">
        <v>8.449999999999999</v>
      </c>
      <c r="R464" s="80" t="n">
        <v>1</v>
      </c>
      <c r="S464" s="80">
        <f>IF(AC464="Cancelled",0,M464*R464)</f>
        <v/>
      </c>
      <c r="T464" s="80">
        <f>IF(AC464="Cancelled",0,N464*R464)</f>
        <v/>
      </c>
      <c r="U464" s="80">
        <f>IF(AC464="Cancelled",0,O464*R464)</f>
        <v/>
      </c>
      <c r="V464" s="80">
        <f>IF(AC464="Cancelled",0,ROUND(P464*S464,2))</f>
        <v/>
      </c>
      <c r="W464" s="80" t="inlineStr">
        <is>
          <t>No</t>
        </is>
      </c>
      <c r="X464" s="80" t="n">
        <v>0</v>
      </c>
      <c r="Y464" s="80">
        <f>IF(AC464="Cancelled",0,T464+U464+V464+Q464+X464)</f>
        <v/>
      </c>
      <c r="Z464" s="80">
        <f>IF(AC464="Cancelled",-Q464,S464-Y464)</f>
        <v/>
      </c>
      <c r="AA464" s="81">
        <f>IF(OR(AC464="Cancelled",S464=0),0,Z464/S464)</f>
        <v/>
      </c>
      <c r="AB464" s="82">
        <f>IFERROR(S464/Q464,0)</f>
        <v/>
      </c>
      <c r="AC464" s="56" t="inlineStr">
        <is>
          <t>Delivered</t>
        </is>
      </c>
    </row>
    <row r="465" ht="14.25" customHeight="1" s="57">
      <c r="A465" s="56" t="inlineStr">
        <is>
          <t>ORD-00223</t>
        </is>
      </c>
      <c r="B465" s="79" t="n">
        <v>46111</v>
      </c>
      <c r="C465" s="56" t="n">
        <v>2026</v>
      </c>
      <c r="D465" s="56" t="n">
        <v>3</v>
      </c>
      <c r="E465" s="56" t="inlineStr">
        <is>
          <t>Oman</t>
        </is>
      </c>
      <c r="F465" s="56" t="inlineStr">
        <is>
          <t>Muscat</t>
        </is>
      </c>
      <c r="G465" s="56" t="inlineStr">
        <is>
          <t>Organic Search</t>
        </is>
      </c>
      <c r="H465" s="56" t="inlineStr">
        <is>
          <t>Launch Test</t>
        </is>
      </c>
      <c r="I465" s="56" t="inlineStr">
        <is>
          <t>P002</t>
        </is>
      </c>
      <c r="J465" s="56" t="inlineStr">
        <is>
          <t>Phone Case</t>
        </is>
      </c>
      <c r="K465" s="56" t="inlineStr">
        <is>
          <t>Accessories</t>
        </is>
      </c>
      <c r="L465" s="56" t="inlineStr">
        <is>
          <t>Guangzhou Cases Ltd.</t>
        </is>
      </c>
      <c r="M465" s="80" t="n">
        <v>13.91</v>
      </c>
      <c r="N465" s="80" t="n">
        <v>2.01</v>
      </c>
      <c r="O465" s="80" t="n">
        <v>1.92</v>
      </c>
      <c r="P465" s="80" t="n">
        <v>0.03</v>
      </c>
      <c r="Q465" s="80" t="n">
        <v>0</v>
      </c>
      <c r="R465" s="80" t="n">
        <v>1</v>
      </c>
      <c r="S465" s="80">
        <f>IF(AC465="Cancelled",0,M465*R465)</f>
        <v/>
      </c>
      <c r="T465" s="80">
        <f>IF(AC465="Cancelled",0,N465*R465)</f>
        <v/>
      </c>
      <c r="U465" s="80">
        <f>IF(AC465="Cancelled",0,O465*R465)</f>
        <v/>
      </c>
      <c r="V465" s="80">
        <f>IF(AC465="Cancelled",0,ROUND(P465*S465,2))</f>
        <v/>
      </c>
      <c r="W465" s="80" t="inlineStr">
        <is>
          <t>No</t>
        </is>
      </c>
      <c r="X465" s="80" t="n">
        <v>0</v>
      </c>
      <c r="Y465" s="80">
        <f>IF(AC465="Cancelled",0,T465+U465+V465+Q465+X465)</f>
        <v/>
      </c>
      <c r="Z465" s="80">
        <f>IF(AC465="Cancelled",-Q465,S465-Y465)</f>
        <v/>
      </c>
      <c r="AA465" s="81">
        <f>IF(OR(AC465="Cancelled",S465=0),0,Z465/S465)</f>
        <v/>
      </c>
      <c r="AB465" s="82">
        <f>IFERROR(S465/Q465,0)</f>
        <v/>
      </c>
      <c r="AC465" s="56" t="inlineStr">
        <is>
          <t>Delivered</t>
        </is>
      </c>
    </row>
    <row r="466" ht="14.25" customHeight="1" s="57">
      <c r="A466" s="56" t="inlineStr">
        <is>
          <t>ORD-00376</t>
        </is>
      </c>
      <c r="B466" s="79" t="n">
        <v>46111</v>
      </c>
      <c r="C466" s="56" t="n">
        <v>2026</v>
      </c>
      <c r="D466" s="56" t="n">
        <v>3</v>
      </c>
      <c r="E466" s="56" t="inlineStr">
        <is>
          <t>UAE</t>
        </is>
      </c>
      <c r="F466" s="56" t="inlineStr">
        <is>
          <t>Sharjah</t>
        </is>
      </c>
      <c r="G466" s="56" t="inlineStr">
        <is>
          <t>Influencer</t>
        </is>
      </c>
      <c r="H466" s="56" t="inlineStr">
        <is>
          <t>New Creative A/B</t>
        </is>
      </c>
      <c r="I466" s="56" t="inlineStr">
        <is>
          <t>P005</t>
        </is>
      </c>
      <c r="J466" s="56" t="inlineStr">
        <is>
          <t>Mini Printer</t>
        </is>
      </c>
      <c r="K466" s="56" t="inlineStr">
        <is>
          <t>Electronics</t>
        </is>
      </c>
      <c r="L466" s="56" t="inlineStr">
        <is>
          <t>Shenzhen Print Tech</t>
        </is>
      </c>
      <c r="M466" s="80" t="n">
        <v>60.45</v>
      </c>
      <c r="N466" s="80" t="n">
        <v>20.98</v>
      </c>
      <c r="O466" s="80" t="n">
        <v>7.16</v>
      </c>
      <c r="P466" s="80" t="n">
        <v>0.03</v>
      </c>
      <c r="Q466" s="80" t="n">
        <v>7.66</v>
      </c>
      <c r="R466" s="80" t="n">
        <v>2</v>
      </c>
      <c r="S466" s="80">
        <f>IF(AC466="Cancelled",0,M466*R466)</f>
        <v/>
      </c>
      <c r="T466" s="80">
        <f>IF(AC466="Cancelled",0,N466*R466)</f>
        <v/>
      </c>
      <c r="U466" s="80">
        <f>IF(AC466="Cancelled",0,O466*R466)</f>
        <v/>
      </c>
      <c r="V466" s="80">
        <f>IF(AC466="Cancelled",0,ROUND(P466*S466,2))</f>
        <v/>
      </c>
      <c r="W466" s="80" t="inlineStr">
        <is>
          <t>No</t>
        </is>
      </c>
      <c r="X466" s="80" t="n">
        <v>0</v>
      </c>
      <c r="Y466" s="80">
        <f>IF(AC466="Cancelled",0,T466+U466+V466+Q466+X466)</f>
        <v/>
      </c>
      <c r="Z466" s="80">
        <f>IF(AC466="Cancelled",-Q466,S466-Y466)</f>
        <v/>
      </c>
      <c r="AA466" s="81">
        <f>IF(OR(AC466="Cancelled",S466=0),0,Z466/S466)</f>
        <v/>
      </c>
      <c r="AB466" s="82">
        <f>IFERROR(S466/Q466,0)</f>
        <v/>
      </c>
      <c r="AC466" s="56" t="inlineStr">
        <is>
          <t>Delivered</t>
        </is>
      </c>
    </row>
    <row r="467" ht="14.25" customHeight="1" s="57">
      <c r="A467" s="56" t="inlineStr">
        <is>
          <t>ORD-00242</t>
        </is>
      </c>
      <c r="B467" s="79" t="n">
        <v>46114</v>
      </c>
      <c r="C467" s="56" t="n">
        <v>2026</v>
      </c>
      <c r="D467" s="56" t="n">
        <v>4</v>
      </c>
      <c r="E467" s="56" t="inlineStr">
        <is>
          <t>UAE</t>
        </is>
      </c>
      <c r="F467" s="56" t="inlineStr">
        <is>
          <t>Abu Dhabi</t>
        </is>
      </c>
      <c r="G467" s="56" t="inlineStr">
        <is>
          <t>Organic Search</t>
        </is>
      </c>
      <c r="H467" s="56" t="inlineStr">
        <is>
          <t>Bundle Promo</t>
        </is>
      </c>
      <c r="I467" s="56" t="inlineStr">
        <is>
          <t>P002</t>
        </is>
      </c>
      <c r="J467" s="56" t="inlineStr">
        <is>
          <t>Phone Case</t>
        </is>
      </c>
      <c r="K467" s="56" t="inlineStr">
        <is>
          <t>Accessories</t>
        </is>
      </c>
      <c r="L467" s="56" t="inlineStr">
        <is>
          <t>Guangzhou Cases Ltd.</t>
        </is>
      </c>
      <c r="M467" s="80" t="n">
        <v>15.06</v>
      </c>
      <c r="N467" s="80" t="n">
        <v>1.91</v>
      </c>
      <c r="O467" s="80" t="n">
        <v>2.03</v>
      </c>
      <c r="P467" s="80" t="n">
        <v>0.03</v>
      </c>
      <c r="Q467" s="80" t="n">
        <v>0</v>
      </c>
      <c r="R467" s="80" t="n">
        <v>1</v>
      </c>
      <c r="S467" s="80">
        <f>IF(AC467="Cancelled",0,M467*R467)</f>
        <v/>
      </c>
      <c r="T467" s="80">
        <f>IF(AC467="Cancelled",0,N467*R467)</f>
        <v/>
      </c>
      <c r="U467" s="80">
        <f>IF(AC467="Cancelled",0,O467*R467)</f>
        <v/>
      </c>
      <c r="V467" s="80">
        <f>IF(AC467="Cancelled",0,ROUND(P467*S467,2))</f>
        <v/>
      </c>
      <c r="W467" s="80" t="inlineStr">
        <is>
          <t>No</t>
        </is>
      </c>
      <c r="X467" s="80" t="n">
        <v>0</v>
      </c>
      <c r="Y467" s="80">
        <f>IF(AC467="Cancelled",0,T467+U467+V467+Q467+X467)</f>
        <v/>
      </c>
      <c r="Z467" s="80">
        <f>IF(AC467="Cancelled",-Q467,S467-Y467)</f>
        <v/>
      </c>
      <c r="AA467" s="81">
        <f>IF(OR(AC467="Cancelled",S467=0),0,Z467/S467)</f>
        <v/>
      </c>
      <c r="AB467" s="82">
        <f>IFERROR(S467/Q467,0)</f>
        <v/>
      </c>
      <c r="AC467" s="56" t="inlineStr">
        <is>
          <t>Delivered</t>
        </is>
      </c>
    </row>
    <row r="468" ht="14.25" customHeight="1" s="57">
      <c r="A468" s="56" t="inlineStr">
        <is>
          <t>ORD-00162</t>
        </is>
      </c>
      <c r="B468" s="79" t="n">
        <v>46116</v>
      </c>
      <c r="C468" s="56" t="n">
        <v>2026</v>
      </c>
      <c r="D468" s="56" t="n">
        <v>4</v>
      </c>
      <c r="E468" s="56" t="inlineStr">
        <is>
          <t>Saudi Arabia</t>
        </is>
      </c>
      <c r="F468" s="56" t="inlineStr">
        <is>
          <t>Jeddah</t>
        </is>
      </c>
      <c r="G468" s="56" t="inlineStr">
        <is>
          <t>Meta Ads</t>
        </is>
      </c>
      <c r="H468" s="56" t="inlineStr">
        <is>
          <t>Launch Test</t>
        </is>
      </c>
      <c r="I468" s="56" t="inlineStr">
        <is>
          <t>P006</t>
        </is>
      </c>
      <c r="J468" s="56" t="inlineStr">
        <is>
          <t>Posture Corrector</t>
        </is>
      </c>
      <c r="K468" s="56" t="inlineStr">
        <is>
          <t>Fitness</t>
        </is>
      </c>
      <c r="L468" s="56" t="inlineStr">
        <is>
          <t>Hangzhou Health Gear</t>
        </is>
      </c>
      <c r="M468" s="80" t="n">
        <v>33.59</v>
      </c>
      <c r="N468" s="80" t="n">
        <v>9.359999999999999</v>
      </c>
      <c r="O468" s="80" t="n">
        <v>3.89</v>
      </c>
      <c r="P468" s="80" t="n">
        <v>0.03</v>
      </c>
      <c r="Q468" s="80" t="n">
        <v>10.63</v>
      </c>
      <c r="R468" s="80" t="n">
        <v>3</v>
      </c>
      <c r="S468" s="80">
        <f>IF(AC468="Cancelled",0,M468*R468)</f>
        <v/>
      </c>
      <c r="T468" s="80">
        <f>IF(AC468="Cancelled",0,N468*R468)</f>
        <v/>
      </c>
      <c r="U468" s="80">
        <f>IF(AC468="Cancelled",0,O468*R468)</f>
        <v/>
      </c>
      <c r="V468" s="80">
        <f>IF(AC468="Cancelled",0,ROUND(P468*S468,2))</f>
        <v/>
      </c>
      <c r="W468" s="80" t="inlineStr">
        <is>
          <t>No</t>
        </is>
      </c>
      <c r="X468" s="80" t="n">
        <v>0</v>
      </c>
      <c r="Y468" s="80">
        <f>IF(AC468="Cancelled",0,T468+U468+V468+Q468+X468)</f>
        <v/>
      </c>
      <c r="Z468" s="80">
        <f>IF(AC468="Cancelled",-Q468,S468-Y468)</f>
        <v/>
      </c>
      <c r="AA468" s="81">
        <f>IF(OR(AC468="Cancelled",S468=0),0,Z468/S468)</f>
        <v/>
      </c>
      <c r="AB468" s="82">
        <f>IFERROR(S468/Q468,0)</f>
        <v/>
      </c>
      <c r="AC468" s="56" t="inlineStr">
        <is>
          <t>Delivered</t>
        </is>
      </c>
    </row>
    <row r="469" ht="14.25" customHeight="1" s="57">
      <c r="A469" s="56" t="inlineStr">
        <is>
          <t>ORD-00011</t>
        </is>
      </c>
      <c r="B469" s="79" t="n">
        <v>46117</v>
      </c>
      <c r="C469" s="56" t="n">
        <v>2026</v>
      </c>
      <c r="D469" s="56" t="n">
        <v>4</v>
      </c>
      <c r="E469" s="56" t="inlineStr">
        <is>
          <t>Kuwait</t>
        </is>
      </c>
      <c r="F469" s="56" t="inlineStr">
        <is>
          <t>Kuwait City</t>
        </is>
      </c>
      <c r="G469" s="56" t="inlineStr">
        <is>
          <t>Google Ads</t>
        </is>
      </c>
      <c r="H469" s="56" t="inlineStr">
        <is>
          <t>Bundle Promo</t>
        </is>
      </c>
      <c r="I469" s="56" t="inlineStr">
        <is>
          <t>P007</t>
        </is>
      </c>
      <c r="J469" s="56" t="inlineStr">
        <is>
          <t>Pet Grooming Glove</t>
        </is>
      </c>
      <c r="K469" s="56" t="inlineStr">
        <is>
          <t>Pets</t>
        </is>
      </c>
      <c r="L469" s="56" t="inlineStr">
        <is>
          <t>Yiwu Pet Products</t>
        </is>
      </c>
      <c r="M469" s="80" t="n">
        <v>19.7</v>
      </c>
      <c r="N469" s="80" t="n">
        <v>3.64</v>
      </c>
      <c r="O469" s="80" t="n">
        <v>2.6</v>
      </c>
      <c r="P469" s="80" t="n">
        <v>0.03</v>
      </c>
      <c r="Q469" s="80" t="n">
        <v>1.94</v>
      </c>
      <c r="R469" s="80" t="n">
        <v>1</v>
      </c>
      <c r="S469" s="80">
        <f>IF(AC469="Cancelled",0,M469*R469)</f>
        <v/>
      </c>
      <c r="T469" s="80">
        <f>IF(AC469="Cancelled",0,N469*R469)</f>
        <v/>
      </c>
      <c r="U469" s="80">
        <f>IF(AC469="Cancelled",0,O469*R469)</f>
        <v/>
      </c>
      <c r="V469" s="80">
        <f>IF(AC469="Cancelled",0,ROUND(P469*S469,2))</f>
        <v/>
      </c>
      <c r="W469" s="80" t="inlineStr">
        <is>
          <t>No</t>
        </is>
      </c>
      <c r="X469" s="80" t="n">
        <v>0</v>
      </c>
      <c r="Y469" s="80">
        <f>IF(AC469="Cancelled",0,T469+U469+V469+Q469+X469)</f>
        <v/>
      </c>
      <c r="Z469" s="80">
        <f>IF(AC469="Cancelled",-Q469,S469-Y469)</f>
        <v/>
      </c>
      <c r="AA469" s="81">
        <f>IF(OR(AC469="Cancelled",S469=0),0,Z469/S469)</f>
        <v/>
      </c>
      <c r="AB469" s="82">
        <f>IFERROR(S469/Q469,0)</f>
        <v/>
      </c>
      <c r="AC469" s="56" t="inlineStr">
        <is>
          <t>Delivered</t>
        </is>
      </c>
    </row>
    <row r="470" ht="14.25" customHeight="1" s="57">
      <c r="A470" s="56" t="inlineStr">
        <is>
          <t>ORD-00194</t>
        </is>
      </c>
      <c r="B470" s="79" t="n">
        <v>46117</v>
      </c>
      <c r="C470" s="56" t="n">
        <v>2026</v>
      </c>
      <c r="D470" s="56" t="n">
        <v>4</v>
      </c>
      <c r="E470" s="56" t="inlineStr">
        <is>
          <t>UAE</t>
        </is>
      </c>
      <c r="F470" s="56" t="inlineStr">
        <is>
          <t>Sharjah</t>
        </is>
      </c>
      <c r="G470" s="56" t="inlineStr">
        <is>
          <t>Influencer</t>
        </is>
      </c>
      <c r="H470" s="56" t="inlineStr">
        <is>
          <t>Summer Sale</t>
        </is>
      </c>
      <c r="I470" s="56" t="inlineStr">
        <is>
          <t>P010</t>
        </is>
      </c>
      <c r="J470" s="56" t="inlineStr">
        <is>
          <t>Smart Water Bottle</t>
        </is>
      </c>
      <c r="K470" s="56" t="inlineStr">
        <is>
          <t>Lifestyle</t>
        </is>
      </c>
      <c r="L470" s="56" t="inlineStr">
        <is>
          <t>Shenzhen Smart Home</t>
        </is>
      </c>
      <c r="M470" s="80" t="n">
        <v>31.62</v>
      </c>
      <c r="N470" s="80" t="n">
        <v>10.74</v>
      </c>
      <c r="O470" s="80" t="n">
        <v>4.47</v>
      </c>
      <c r="P470" s="80" t="n">
        <v>0.03</v>
      </c>
      <c r="Q470" s="80" t="n">
        <v>5.48</v>
      </c>
      <c r="R470" s="80" t="n">
        <v>1</v>
      </c>
      <c r="S470" s="80">
        <f>IF(AC470="Cancelled",0,M470*R470)</f>
        <v/>
      </c>
      <c r="T470" s="80">
        <f>IF(AC470="Cancelled",0,N470*R470)</f>
        <v/>
      </c>
      <c r="U470" s="80">
        <f>IF(AC470="Cancelled",0,O470*R470)</f>
        <v/>
      </c>
      <c r="V470" s="80">
        <f>IF(AC470="Cancelled",0,ROUND(P470*S470,2))</f>
        <v/>
      </c>
      <c r="W470" s="80" t="inlineStr">
        <is>
          <t>No</t>
        </is>
      </c>
      <c r="X470" s="80" t="n">
        <v>0</v>
      </c>
      <c r="Y470" s="80">
        <f>IF(AC470="Cancelled",0,T470+U470+V470+Q470+X470)</f>
        <v/>
      </c>
      <c r="Z470" s="80">
        <f>IF(AC470="Cancelled",-Q470,S470-Y470)</f>
        <v/>
      </c>
      <c r="AA470" s="81">
        <f>IF(OR(AC470="Cancelled",S470=0),0,Z470/S470)</f>
        <v/>
      </c>
      <c r="AB470" s="82">
        <f>IFERROR(S470/Q470,0)</f>
        <v/>
      </c>
      <c r="AC470" s="56" t="inlineStr">
        <is>
          <t>Delivered</t>
        </is>
      </c>
    </row>
    <row r="471" ht="14.25" customHeight="1" s="57">
      <c r="A471" s="56" t="inlineStr">
        <is>
          <t>ORD-00392</t>
        </is>
      </c>
      <c r="B471" s="79" t="n">
        <v>46117</v>
      </c>
      <c r="C471" s="56" t="n">
        <v>2026</v>
      </c>
      <c r="D471" s="56" t="n">
        <v>4</v>
      </c>
      <c r="E471" s="56" t="inlineStr">
        <is>
          <t>UAE</t>
        </is>
      </c>
      <c r="F471" s="56" t="inlineStr">
        <is>
          <t>Sharjah</t>
        </is>
      </c>
      <c r="G471" s="56" t="inlineStr">
        <is>
          <t>TikTok Ads</t>
        </is>
      </c>
      <c r="H471" s="56" t="inlineStr">
        <is>
          <t>Summer Sale</t>
        </is>
      </c>
      <c r="I471" s="56" t="inlineStr">
        <is>
          <t>P003</t>
        </is>
      </c>
      <c r="J471" s="56" t="inlineStr">
        <is>
          <t>LED Strip Lights</t>
        </is>
      </c>
      <c r="K471" s="56" t="inlineStr">
        <is>
          <t>Home Decor</t>
        </is>
      </c>
      <c r="L471" s="56" t="inlineStr">
        <is>
          <t>Yiwu Lighting Factory</t>
        </is>
      </c>
      <c r="M471" s="80" t="n">
        <v>23.51</v>
      </c>
      <c r="N471" s="80" t="n">
        <v>6.33</v>
      </c>
      <c r="O471" s="80" t="n">
        <v>3.28</v>
      </c>
      <c r="P471" s="80" t="n">
        <v>0.03</v>
      </c>
      <c r="Q471" s="80" t="n">
        <v>4.32</v>
      </c>
      <c r="R471" s="80" t="n">
        <v>3</v>
      </c>
      <c r="S471" s="80">
        <f>IF(AC471="Cancelled",0,M471*R471)</f>
        <v/>
      </c>
      <c r="T471" s="80">
        <f>IF(AC471="Cancelled",0,N471*R471)</f>
        <v/>
      </c>
      <c r="U471" s="80">
        <f>IF(AC471="Cancelled",0,O471*R471)</f>
        <v/>
      </c>
      <c r="V471" s="80">
        <f>IF(AC471="Cancelled",0,ROUND(P471*S471,2))</f>
        <v/>
      </c>
      <c r="W471" s="80" t="inlineStr">
        <is>
          <t>No</t>
        </is>
      </c>
      <c r="X471" s="80" t="n">
        <v>0</v>
      </c>
      <c r="Y471" s="80">
        <f>IF(AC471="Cancelled",0,T471+U471+V471+Q471+X471)</f>
        <v/>
      </c>
      <c r="Z471" s="80">
        <f>IF(AC471="Cancelled",-Q471,S471-Y471)</f>
        <v/>
      </c>
      <c r="AA471" s="81">
        <f>IF(OR(AC471="Cancelled",S471=0),0,Z471/S471)</f>
        <v/>
      </c>
      <c r="AB471" s="82">
        <f>IFERROR(S471/Q471,0)</f>
        <v/>
      </c>
      <c r="AC471" s="56" t="inlineStr">
        <is>
          <t>Delivered</t>
        </is>
      </c>
    </row>
    <row r="472" ht="14.25" customHeight="1" s="57">
      <c r="A472" s="56" t="inlineStr">
        <is>
          <t>ORD-00463</t>
        </is>
      </c>
      <c r="B472" s="79" t="n">
        <v>46118</v>
      </c>
      <c r="C472" s="56" t="n">
        <v>2026</v>
      </c>
      <c r="D472" s="56" t="n">
        <v>4</v>
      </c>
      <c r="E472" s="56" t="inlineStr">
        <is>
          <t>Qatar</t>
        </is>
      </c>
      <c r="F472" s="56" t="inlineStr">
        <is>
          <t>Doha</t>
        </is>
      </c>
      <c r="G472" s="56" t="inlineStr">
        <is>
          <t>Organic Search</t>
        </is>
      </c>
      <c r="H472" s="56" t="inlineStr">
        <is>
          <t>Launch Test</t>
        </is>
      </c>
      <c r="I472" s="56" t="inlineStr">
        <is>
          <t>P003</t>
        </is>
      </c>
      <c r="J472" s="56" t="inlineStr">
        <is>
          <t>LED Strip Lights</t>
        </is>
      </c>
      <c r="K472" s="56" t="inlineStr">
        <is>
          <t>Home Decor</t>
        </is>
      </c>
      <c r="L472" s="56" t="inlineStr">
        <is>
          <t>Yiwu Lighting Factory</t>
        </is>
      </c>
      <c r="M472" s="80" t="n">
        <v>25.13</v>
      </c>
      <c r="N472" s="80" t="n">
        <v>6.17</v>
      </c>
      <c r="O472" s="80" t="n">
        <v>3.71</v>
      </c>
      <c r="P472" s="80" t="n">
        <v>0.03</v>
      </c>
      <c r="Q472" s="80" t="n">
        <v>0</v>
      </c>
      <c r="R472" s="80" t="n">
        <v>1</v>
      </c>
      <c r="S472" s="80">
        <f>IF(AC472="Cancelled",0,M472*R472)</f>
        <v/>
      </c>
      <c r="T472" s="80">
        <f>IF(AC472="Cancelled",0,N472*R472)</f>
        <v/>
      </c>
      <c r="U472" s="80">
        <f>IF(AC472="Cancelled",0,O472*R472)</f>
        <v/>
      </c>
      <c r="V472" s="80">
        <f>IF(AC472="Cancelled",0,ROUND(P472*S472,2))</f>
        <v/>
      </c>
      <c r="W472" s="80" t="inlineStr">
        <is>
          <t>No</t>
        </is>
      </c>
      <c r="X472" s="80" t="n">
        <v>0</v>
      </c>
      <c r="Y472" s="80">
        <f>IF(AC472="Cancelled",0,T472+U472+V472+Q472+X472)</f>
        <v/>
      </c>
      <c r="Z472" s="80">
        <f>IF(AC472="Cancelled",-Q472,S472-Y472)</f>
        <v/>
      </c>
      <c r="AA472" s="81">
        <f>IF(OR(AC472="Cancelled",S472=0),0,Z472/S472)</f>
        <v/>
      </c>
      <c r="AB472" s="82">
        <f>IFERROR(S472/Q472,0)</f>
        <v/>
      </c>
      <c r="AC472" s="56" t="inlineStr">
        <is>
          <t>Delivered</t>
        </is>
      </c>
    </row>
    <row r="473" ht="14.25" customHeight="1" s="57">
      <c r="A473" s="56" t="inlineStr">
        <is>
          <t>ORD-00114</t>
        </is>
      </c>
      <c r="B473" s="79" t="n">
        <v>46122</v>
      </c>
      <c r="C473" s="56" t="n">
        <v>2026</v>
      </c>
      <c r="D473" s="56" t="n">
        <v>4</v>
      </c>
      <c r="E473" s="56" t="inlineStr">
        <is>
          <t>Saudi Arabia</t>
        </is>
      </c>
      <c r="F473" s="56" t="inlineStr">
        <is>
          <t>Jeddah</t>
        </is>
      </c>
      <c r="G473" s="56" t="inlineStr">
        <is>
          <t>Meta Ads</t>
        </is>
      </c>
      <c r="H473" s="56" t="inlineStr">
        <is>
          <t>New Creative A/B</t>
        </is>
      </c>
      <c r="I473" s="56" t="inlineStr">
        <is>
          <t>P006</t>
        </is>
      </c>
      <c r="J473" s="56" t="inlineStr">
        <is>
          <t>Posture Corrector</t>
        </is>
      </c>
      <c r="K473" s="56" t="inlineStr">
        <is>
          <t>Fitness</t>
        </is>
      </c>
      <c r="L473" s="56" t="inlineStr">
        <is>
          <t>Hangzhou Health Gear</t>
        </is>
      </c>
      <c r="M473" s="80" t="n">
        <v>33.1</v>
      </c>
      <c r="N473" s="80" t="n">
        <v>9.06</v>
      </c>
      <c r="O473" s="80" t="n">
        <v>4.13</v>
      </c>
      <c r="P473" s="80" t="n">
        <v>0.03</v>
      </c>
      <c r="Q473" s="80" t="n">
        <v>8.789999999999999</v>
      </c>
      <c r="R473" s="80" t="n">
        <v>1</v>
      </c>
      <c r="S473" s="80">
        <f>IF(AC473="Cancelled",0,M473*R473)</f>
        <v/>
      </c>
      <c r="T473" s="80">
        <f>IF(AC473="Cancelled",0,N473*R473)</f>
        <v/>
      </c>
      <c r="U473" s="80">
        <f>IF(AC473="Cancelled",0,O473*R473)</f>
        <v/>
      </c>
      <c r="V473" s="80">
        <f>IF(AC473="Cancelled",0,ROUND(P473*S473,2))</f>
        <v/>
      </c>
      <c r="W473" s="80" t="inlineStr">
        <is>
          <t>No</t>
        </is>
      </c>
      <c r="X473" s="80" t="n">
        <v>0</v>
      </c>
      <c r="Y473" s="80">
        <f>IF(AC473="Cancelled",0,T473+U473+V473+Q473+X473)</f>
        <v/>
      </c>
      <c r="Z473" s="80">
        <f>IF(AC473="Cancelled",-Q473,S473-Y473)</f>
        <v/>
      </c>
      <c r="AA473" s="81">
        <f>IF(OR(AC473="Cancelled",S473=0),0,Z473/S473)</f>
        <v/>
      </c>
      <c r="AB473" s="82">
        <f>IFERROR(S473/Q473,0)</f>
        <v/>
      </c>
      <c r="AC473" s="56" t="inlineStr">
        <is>
          <t>Delivered</t>
        </is>
      </c>
    </row>
    <row r="474" ht="14.25" customHeight="1" s="57">
      <c r="A474" s="56" t="inlineStr">
        <is>
          <t>ORD-00142</t>
        </is>
      </c>
      <c r="B474" s="79" t="n">
        <v>46123</v>
      </c>
      <c r="C474" s="56" t="n">
        <v>2026</v>
      </c>
      <c r="D474" s="56" t="n">
        <v>4</v>
      </c>
      <c r="E474" s="56" t="inlineStr">
        <is>
          <t>Qatar</t>
        </is>
      </c>
      <c r="F474" s="56" t="inlineStr">
        <is>
          <t>Doha</t>
        </is>
      </c>
      <c r="G474" s="56" t="inlineStr">
        <is>
          <t>TikTok Ads</t>
        </is>
      </c>
      <c r="H474" s="56" t="inlineStr">
        <is>
          <t>Bundle Promo</t>
        </is>
      </c>
      <c r="I474" s="56" t="inlineStr">
        <is>
          <t>P002</t>
        </is>
      </c>
      <c r="J474" s="56" t="inlineStr">
        <is>
          <t>Phone Case</t>
        </is>
      </c>
      <c r="K474" s="56" t="inlineStr">
        <is>
          <t>Accessories</t>
        </is>
      </c>
      <c r="L474" s="56" t="inlineStr">
        <is>
          <t>Guangzhou Cases Ltd.</t>
        </is>
      </c>
      <c r="M474" s="80" t="n">
        <v>16.06</v>
      </c>
      <c r="N474" s="80" t="n">
        <v>2.14</v>
      </c>
      <c r="O474" s="80" t="n">
        <v>2.05</v>
      </c>
      <c r="P474" s="80" t="n">
        <v>0.03</v>
      </c>
      <c r="Q474" s="80" t="n">
        <v>6.31</v>
      </c>
      <c r="R474" s="80" t="n">
        <v>1</v>
      </c>
      <c r="S474" s="80">
        <f>IF(AC474="Cancelled",0,M474*R474)</f>
        <v/>
      </c>
      <c r="T474" s="80">
        <f>IF(AC474="Cancelled",0,N474*R474)</f>
        <v/>
      </c>
      <c r="U474" s="80">
        <f>IF(AC474="Cancelled",0,O474*R474)</f>
        <v/>
      </c>
      <c r="V474" s="80">
        <f>IF(AC474="Cancelled",0,ROUND(P474*S474,2))</f>
        <v/>
      </c>
      <c r="W474" s="80" t="inlineStr">
        <is>
          <t>No</t>
        </is>
      </c>
      <c r="X474" s="80" t="n">
        <v>0</v>
      </c>
      <c r="Y474" s="80">
        <f>IF(AC474="Cancelled",0,T474+U474+V474+Q474+X474)</f>
        <v/>
      </c>
      <c r="Z474" s="80">
        <f>IF(AC474="Cancelled",-Q474,S474-Y474)</f>
        <v/>
      </c>
      <c r="AA474" s="81">
        <f>IF(OR(AC474="Cancelled",S474=0),0,Z474/S474)</f>
        <v/>
      </c>
      <c r="AB474" s="82">
        <f>IFERROR(S474/Q474,0)</f>
        <v/>
      </c>
      <c r="AC474" s="56" t="inlineStr">
        <is>
          <t>Delivered</t>
        </is>
      </c>
    </row>
    <row r="475" ht="14.25" customHeight="1" s="57">
      <c r="A475" s="56" t="inlineStr">
        <is>
          <t>ORD-00193</t>
        </is>
      </c>
      <c r="B475" s="79" t="n">
        <v>46124</v>
      </c>
      <c r="C475" s="56" t="n">
        <v>2026</v>
      </c>
      <c r="D475" s="56" t="n">
        <v>4</v>
      </c>
      <c r="E475" s="56" t="inlineStr">
        <is>
          <t>UAE</t>
        </is>
      </c>
      <c r="F475" s="56" t="inlineStr">
        <is>
          <t>Abu Dhabi</t>
        </is>
      </c>
      <c r="G475" s="56" t="inlineStr">
        <is>
          <t>Email</t>
        </is>
      </c>
      <c r="H475" s="56" t="inlineStr">
        <is>
          <t>Launch Test</t>
        </is>
      </c>
      <c r="I475" s="56" t="inlineStr">
        <is>
          <t>P009</t>
        </is>
      </c>
      <c r="J475" s="56" t="inlineStr">
        <is>
          <t>Car Vacuum Cleaner</t>
        </is>
      </c>
      <c r="K475" s="56" t="inlineStr">
        <is>
          <t>Automotive</t>
        </is>
      </c>
      <c r="L475" s="56" t="inlineStr">
        <is>
          <t>Dongguan Auto Tools</t>
        </is>
      </c>
      <c r="M475" s="80" t="n">
        <v>45.67</v>
      </c>
      <c r="N475" s="80" t="n">
        <v>14.42</v>
      </c>
      <c r="O475" s="80" t="n">
        <v>6.42</v>
      </c>
      <c r="P475" s="80" t="n">
        <v>0.03</v>
      </c>
      <c r="Q475" s="80" t="n">
        <v>2.08</v>
      </c>
      <c r="R475" s="80" t="n">
        <v>1</v>
      </c>
      <c r="S475" s="80">
        <f>IF(AC475="Cancelled",0,M475*R475)</f>
        <v/>
      </c>
      <c r="T475" s="80">
        <f>IF(AC475="Cancelled",0,N475*R475)</f>
        <v/>
      </c>
      <c r="U475" s="80">
        <f>IF(AC475="Cancelled",0,O475*R475)</f>
        <v/>
      </c>
      <c r="V475" s="80">
        <f>IF(AC475="Cancelled",0,ROUND(P475*S475,2))</f>
        <v/>
      </c>
      <c r="W475" s="80" t="inlineStr">
        <is>
          <t>Yes</t>
        </is>
      </c>
      <c r="X475" s="80" t="n">
        <v>23.81</v>
      </c>
      <c r="Y475" s="80">
        <f>IF(AC475="Cancelled",0,T475+U475+V475+Q475+X475)</f>
        <v/>
      </c>
      <c r="Z475" s="80">
        <f>IF(AC475="Cancelled",-Q475,S475-Y475)</f>
        <v/>
      </c>
      <c r="AA475" s="81">
        <f>IF(OR(AC475="Cancelled",S475=0),0,Z475/S475)</f>
        <v/>
      </c>
      <c r="AB475" s="82">
        <f>IFERROR(S475/Q475,0)</f>
        <v/>
      </c>
      <c r="AC475" s="56" t="inlineStr">
        <is>
          <t>Refunded</t>
        </is>
      </c>
    </row>
    <row r="476" ht="14.25" customHeight="1" s="57">
      <c r="A476" s="56" t="inlineStr">
        <is>
          <t>ORD-00180</t>
        </is>
      </c>
      <c r="B476" s="79" t="n">
        <v>46125</v>
      </c>
      <c r="C476" s="56" t="n">
        <v>2026</v>
      </c>
      <c r="D476" s="56" t="n">
        <v>4</v>
      </c>
      <c r="E476" s="56" t="inlineStr">
        <is>
          <t>UAE</t>
        </is>
      </c>
      <c r="F476" s="56" t="inlineStr">
        <is>
          <t>Sharjah</t>
        </is>
      </c>
      <c r="G476" s="56" t="inlineStr">
        <is>
          <t>TikTok Ads</t>
        </is>
      </c>
      <c r="H476" s="56" t="inlineStr">
        <is>
          <t>Bundle Promo</t>
        </is>
      </c>
      <c r="I476" s="56" t="inlineStr">
        <is>
          <t>P001</t>
        </is>
      </c>
      <c r="J476" s="56" t="inlineStr">
        <is>
          <t>Wireless Earbuds</t>
        </is>
      </c>
      <c r="K476" s="56" t="inlineStr">
        <is>
          <t>Electronics</t>
        </is>
      </c>
      <c r="L476" s="56" t="inlineStr">
        <is>
          <t>Shenzhen Audio Co.</t>
        </is>
      </c>
      <c r="M476" s="80" t="n">
        <v>41.14</v>
      </c>
      <c r="N476" s="80" t="n">
        <v>9.15</v>
      </c>
      <c r="O476" s="80" t="n">
        <v>4.02</v>
      </c>
      <c r="P476" s="80" t="n">
        <v>0.03</v>
      </c>
      <c r="Q476" s="80" t="n">
        <v>11.41</v>
      </c>
      <c r="R476" s="80" t="n">
        <v>2</v>
      </c>
      <c r="S476" s="80">
        <f>IF(AC476="Cancelled",0,M476*R476)</f>
        <v/>
      </c>
      <c r="T476" s="80">
        <f>IF(AC476="Cancelled",0,N476*R476)</f>
        <v/>
      </c>
      <c r="U476" s="80">
        <f>IF(AC476="Cancelled",0,O476*R476)</f>
        <v/>
      </c>
      <c r="V476" s="80">
        <f>IF(AC476="Cancelled",0,ROUND(P476*S476,2))</f>
        <v/>
      </c>
      <c r="W476" s="80" t="inlineStr">
        <is>
          <t>No</t>
        </is>
      </c>
      <c r="X476" s="80" t="n">
        <v>0</v>
      </c>
      <c r="Y476" s="80">
        <f>IF(AC476="Cancelled",0,T476+U476+V476+Q476+X476)</f>
        <v/>
      </c>
      <c r="Z476" s="80">
        <f>IF(AC476="Cancelled",-Q476,S476-Y476)</f>
        <v/>
      </c>
      <c r="AA476" s="81">
        <f>IF(OR(AC476="Cancelled",S476=0),0,Z476/S476)</f>
        <v/>
      </c>
      <c r="AB476" s="82">
        <f>IFERROR(S476/Q476,0)</f>
        <v/>
      </c>
      <c r="AC476" s="56" t="inlineStr">
        <is>
          <t>Delivered</t>
        </is>
      </c>
    </row>
    <row r="477" ht="14.25" customHeight="1" s="57">
      <c r="A477" s="56" t="inlineStr">
        <is>
          <t>ORD-00354</t>
        </is>
      </c>
      <c r="B477" s="79" t="n">
        <v>46125</v>
      </c>
      <c r="C477" s="56" t="n">
        <v>2026</v>
      </c>
      <c r="D477" s="56" t="n">
        <v>4</v>
      </c>
      <c r="E477" s="56" t="inlineStr">
        <is>
          <t>UAE</t>
        </is>
      </c>
      <c r="F477" s="56" t="inlineStr">
        <is>
          <t>Abu Dhabi</t>
        </is>
      </c>
      <c r="G477" s="56" t="inlineStr">
        <is>
          <t>Email</t>
        </is>
      </c>
      <c r="H477" s="56" t="inlineStr">
        <is>
          <t>New Creative A/B</t>
        </is>
      </c>
      <c r="I477" s="56" t="inlineStr">
        <is>
          <t>P009</t>
        </is>
      </c>
      <c r="J477" s="56" t="inlineStr">
        <is>
          <t>Car Vacuum Cleaner</t>
        </is>
      </c>
      <c r="K477" s="56" t="inlineStr">
        <is>
          <t>Automotive</t>
        </is>
      </c>
      <c r="L477" s="56" t="inlineStr">
        <is>
          <t>Dongguan Auto Tools</t>
        </is>
      </c>
      <c r="M477" s="80" t="n">
        <v>43.19</v>
      </c>
      <c r="N477" s="80" t="n">
        <v>14.03</v>
      </c>
      <c r="O477" s="80" t="n">
        <v>7.37</v>
      </c>
      <c r="P477" s="80" t="n">
        <v>0.03</v>
      </c>
      <c r="Q477" s="80" t="n">
        <v>1.37</v>
      </c>
      <c r="R477" s="80" t="n">
        <v>1</v>
      </c>
      <c r="S477" s="80">
        <f>IF(AC477="Cancelled",0,M477*R477)</f>
        <v/>
      </c>
      <c r="T477" s="80">
        <f>IF(AC477="Cancelled",0,N477*R477)</f>
        <v/>
      </c>
      <c r="U477" s="80">
        <f>IF(AC477="Cancelled",0,O477*R477)</f>
        <v/>
      </c>
      <c r="V477" s="80">
        <f>IF(AC477="Cancelled",0,ROUND(P477*S477,2))</f>
        <v/>
      </c>
      <c r="W477" s="80" t="inlineStr">
        <is>
          <t>No</t>
        </is>
      </c>
      <c r="X477" s="80" t="n">
        <v>0</v>
      </c>
      <c r="Y477" s="80">
        <f>IF(AC477="Cancelled",0,T477+U477+V477+Q477+X477)</f>
        <v/>
      </c>
      <c r="Z477" s="80">
        <f>IF(AC477="Cancelled",-Q477,S477-Y477)</f>
        <v/>
      </c>
      <c r="AA477" s="81">
        <f>IF(OR(AC477="Cancelled",S477=0),0,Z477/S477)</f>
        <v/>
      </c>
      <c r="AB477" s="82">
        <f>IFERROR(S477/Q477,0)</f>
        <v/>
      </c>
      <c r="AC477" s="56" t="inlineStr">
        <is>
          <t>Delivered</t>
        </is>
      </c>
    </row>
    <row r="478" ht="14.25" customHeight="1" s="57">
      <c r="A478" s="56" t="inlineStr">
        <is>
          <t>ORD-00192</t>
        </is>
      </c>
      <c r="B478" s="79" t="n">
        <v>46126</v>
      </c>
      <c r="C478" s="56" t="n">
        <v>2026</v>
      </c>
      <c r="D478" s="56" t="n">
        <v>4</v>
      </c>
      <c r="E478" s="56" t="inlineStr">
        <is>
          <t>Oman</t>
        </is>
      </c>
      <c r="F478" s="56" t="inlineStr">
        <is>
          <t>Muscat</t>
        </is>
      </c>
      <c r="G478" s="56" t="inlineStr">
        <is>
          <t>Organic Search</t>
        </is>
      </c>
      <c r="H478" s="56" t="inlineStr">
        <is>
          <t>Retargeting</t>
        </is>
      </c>
      <c r="I478" s="56" t="inlineStr">
        <is>
          <t>P001</t>
        </is>
      </c>
      <c r="J478" s="56" t="inlineStr">
        <is>
          <t>Wireless Earbuds</t>
        </is>
      </c>
      <c r="K478" s="56" t="inlineStr">
        <is>
          <t>Electronics</t>
        </is>
      </c>
      <c r="L478" s="56" t="inlineStr">
        <is>
          <t>Shenzhen Audio Co.</t>
        </is>
      </c>
      <c r="M478" s="80" t="n">
        <v>44.11</v>
      </c>
      <c r="N478" s="80" t="n">
        <v>8.619999999999999</v>
      </c>
      <c r="O478" s="80" t="n">
        <v>4.4</v>
      </c>
      <c r="P478" s="80" t="n">
        <v>0.03</v>
      </c>
      <c r="Q478" s="80" t="n">
        <v>0</v>
      </c>
      <c r="R478" s="80" t="n">
        <v>2</v>
      </c>
      <c r="S478" s="80">
        <f>IF(AC478="Cancelled",0,M478*R478)</f>
        <v/>
      </c>
      <c r="T478" s="80">
        <f>IF(AC478="Cancelled",0,N478*R478)</f>
        <v/>
      </c>
      <c r="U478" s="80">
        <f>IF(AC478="Cancelled",0,O478*R478)</f>
        <v/>
      </c>
      <c r="V478" s="80">
        <f>IF(AC478="Cancelled",0,ROUND(P478*S478,2))</f>
        <v/>
      </c>
      <c r="W478" s="80" t="inlineStr">
        <is>
          <t>No</t>
        </is>
      </c>
      <c r="X478" s="80" t="n">
        <v>0</v>
      </c>
      <c r="Y478" s="80">
        <f>IF(AC478="Cancelled",0,T478+U478+V478+Q478+X478)</f>
        <v/>
      </c>
      <c r="Z478" s="80">
        <f>IF(AC478="Cancelled",-Q478,S478-Y478)</f>
        <v/>
      </c>
      <c r="AA478" s="81">
        <f>IF(OR(AC478="Cancelled",S478=0),0,Z478/S478)</f>
        <v/>
      </c>
      <c r="AB478" s="82">
        <f>IFERROR(S478/Q478,0)</f>
        <v/>
      </c>
      <c r="AC478" s="56" t="inlineStr">
        <is>
          <t>Delivered</t>
        </is>
      </c>
    </row>
    <row r="479" ht="14.25" customHeight="1" s="57">
      <c r="A479" s="56" t="inlineStr">
        <is>
          <t>ORD-00480</t>
        </is>
      </c>
      <c r="B479" s="79" t="n">
        <v>46126</v>
      </c>
      <c r="C479" s="56" t="n">
        <v>2026</v>
      </c>
      <c r="D479" s="56" t="n">
        <v>4</v>
      </c>
      <c r="E479" s="56" t="inlineStr">
        <is>
          <t>Qatar</t>
        </is>
      </c>
      <c r="F479" s="56" t="inlineStr">
        <is>
          <t>Doha</t>
        </is>
      </c>
      <c r="G479" s="56" t="inlineStr">
        <is>
          <t>Organic Search</t>
        </is>
      </c>
      <c r="H479" s="56" t="inlineStr">
        <is>
          <t>Bundle Promo</t>
        </is>
      </c>
      <c r="I479" s="56" t="inlineStr">
        <is>
          <t>P008</t>
        </is>
      </c>
      <c r="J479" s="56" t="inlineStr">
        <is>
          <t>Portable Blender</t>
        </is>
      </c>
      <c r="K479" s="56" t="inlineStr">
        <is>
          <t>Kitchen</t>
        </is>
      </c>
      <c r="L479" s="56" t="inlineStr">
        <is>
          <t>Foshan Appliances</t>
        </is>
      </c>
      <c r="M479" s="80" t="n">
        <v>48.92</v>
      </c>
      <c r="N479" s="80" t="n">
        <v>16.31</v>
      </c>
      <c r="O479" s="80" t="n">
        <v>6.33</v>
      </c>
      <c r="P479" s="80" t="n">
        <v>0.03</v>
      </c>
      <c r="Q479" s="80" t="n">
        <v>0</v>
      </c>
      <c r="R479" s="80" t="n">
        <v>2</v>
      </c>
      <c r="S479" s="80">
        <f>IF(AC479="Cancelled",0,M479*R479)</f>
        <v/>
      </c>
      <c r="T479" s="80">
        <f>IF(AC479="Cancelled",0,N479*R479)</f>
        <v/>
      </c>
      <c r="U479" s="80">
        <f>IF(AC479="Cancelled",0,O479*R479)</f>
        <v/>
      </c>
      <c r="V479" s="80">
        <f>IF(AC479="Cancelled",0,ROUND(P479*S479,2))</f>
        <v/>
      </c>
      <c r="W479" s="80" t="inlineStr">
        <is>
          <t>Yes</t>
        </is>
      </c>
      <c r="X479" s="80" t="n">
        <v>44.67</v>
      </c>
      <c r="Y479" s="80">
        <f>IF(AC479="Cancelled",0,T479+U479+V479+Q479+X479)</f>
        <v/>
      </c>
      <c r="Z479" s="80">
        <f>IF(AC479="Cancelled",-Q479,S479-Y479)</f>
        <v/>
      </c>
      <c r="AA479" s="81">
        <f>IF(OR(AC479="Cancelled",S479=0),0,Z479/S479)</f>
        <v/>
      </c>
      <c r="AB479" s="82">
        <f>IFERROR(S479/Q479,0)</f>
        <v/>
      </c>
      <c r="AC479" s="56" t="inlineStr">
        <is>
          <t>Refunded</t>
        </is>
      </c>
    </row>
    <row r="480" ht="14.25" customHeight="1" s="57">
      <c r="A480" s="56" t="inlineStr">
        <is>
          <t>ORD-00090</t>
        </is>
      </c>
      <c r="B480" s="79" t="n">
        <v>46127</v>
      </c>
      <c r="C480" s="56" t="n">
        <v>2026</v>
      </c>
      <c r="D480" s="56" t="n">
        <v>4</v>
      </c>
      <c r="E480" s="56" t="inlineStr">
        <is>
          <t>UAE</t>
        </is>
      </c>
      <c r="F480" s="56" t="inlineStr">
        <is>
          <t>Dubai</t>
        </is>
      </c>
      <c r="G480" s="56" t="inlineStr">
        <is>
          <t>Influencer</t>
        </is>
      </c>
      <c r="H480" s="56" t="inlineStr">
        <is>
          <t>Launch Test</t>
        </is>
      </c>
      <c r="I480" s="56" t="inlineStr">
        <is>
          <t>P003</t>
        </is>
      </c>
      <c r="J480" s="56" t="inlineStr">
        <is>
          <t>LED Strip Lights</t>
        </is>
      </c>
      <c r="K480" s="56" t="inlineStr">
        <is>
          <t>Home Decor</t>
        </is>
      </c>
      <c r="L480" s="56" t="inlineStr">
        <is>
          <t>Yiwu Lighting Factory</t>
        </is>
      </c>
      <c r="M480" s="80" t="n">
        <v>27.36</v>
      </c>
      <c r="N480" s="80" t="n">
        <v>5.76</v>
      </c>
      <c r="O480" s="80" t="n">
        <v>3.98</v>
      </c>
      <c r="P480" s="80" t="n">
        <v>0.03</v>
      </c>
      <c r="Q480" s="80" t="n">
        <v>9.27</v>
      </c>
      <c r="R480" s="80" t="n">
        <v>1</v>
      </c>
      <c r="S480" s="80">
        <f>IF(AC480="Cancelled",0,M480*R480)</f>
        <v/>
      </c>
      <c r="T480" s="80">
        <f>IF(AC480="Cancelled",0,N480*R480)</f>
        <v/>
      </c>
      <c r="U480" s="80">
        <f>IF(AC480="Cancelled",0,O480*R480)</f>
        <v/>
      </c>
      <c r="V480" s="80">
        <f>IF(AC480="Cancelled",0,ROUND(P480*S480,2))</f>
        <v/>
      </c>
      <c r="W480" s="80" t="inlineStr">
        <is>
          <t>No</t>
        </is>
      </c>
      <c r="X480" s="80" t="n">
        <v>0</v>
      </c>
      <c r="Y480" s="80">
        <f>IF(AC480="Cancelled",0,T480+U480+V480+Q480+X480)</f>
        <v/>
      </c>
      <c r="Z480" s="80">
        <f>IF(AC480="Cancelled",-Q480,S480-Y480)</f>
        <v/>
      </c>
      <c r="AA480" s="81">
        <f>IF(OR(AC480="Cancelled",S480=0),0,Z480/S480)</f>
        <v/>
      </c>
      <c r="AB480" s="82">
        <f>IFERROR(S480/Q480,0)</f>
        <v/>
      </c>
      <c r="AC480" s="56" t="inlineStr">
        <is>
          <t>Delivered</t>
        </is>
      </c>
    </row>
    <row r="481" ht="14.25" customHeight="1" s="57">
      <c r="A481" s="56" t="inlineStr">
        <is>
          <t>ORD-00331</t>
        </is>
      </c>
      <c r="B481" s="79" t="n">
        <v>46127</v>
      </c>
      <c r="C481" s="56" t="n">
        <v>2026</v>
      </c>
      <c r="D481" s="56" t="n">
        <v>4</v>
      </c>
      <c r="E481" s="56" t="inlineStr">
        <is>
          <t>Kuwait</t>
        </is>
      </c>
      <c r="F481" s="56" t="inlineStr">
        <is>
          <t>Kuwait City</t>
        </is>
      </c>
      <c r="G481" s="56" t="inlineStr">
        <is>
          <t>Google Ads</t>
        </is>
      </c>
      <c r="H481" s="56" t="inlineStr">
        <is>
          <t>Launch Test</t>
        </is>
      </c>
      <c r="I481" s="56" t="inlineStr">
        <is>
          <t>P005</t>
        </is>
      </c>
      <c r="J481" s="56" t="inlineStr">
        <is>
          <t>Mini Printer</t>
        </is>
      </c>
      <c r="K481" s="56" t="inlineStr">
        <is>
          <t>Electronics</t>
        </is>
      </c>
      <c r="L481" s="56" t="inlineStr">
        <is>
          <t>Shenzhen Print Tech</t>
        </is>
      </c>
      <c r="M481" s="80" t="n">
        <v>66.11</v>
      </c>
      <c r="N481" s="80" t="n">
        <v>21.01</v>
      </c>
      <c r="O481" s="80" t="n">
        <v>7.92</v>
      </c>
      <c r="P481" s="80" t="n">
        <v>0.03</v>
      </c>
      <c r="Q481" s="80" t="n">
        <v>4.09</v>
      </c>
      <c r="R481" s="80" t="n">
        <v>1</v>
      </c>
      <c r="S481" s="80">
        <f>IF(AC481="Cancelled",0,M481*R481)</f>
        <v/>
      </c>
      <c r="T481" s="80">
        <f>IF(AC481="Cancelled",0,N481*R481)</f>
        <v/>
      </c>
      <c r="U481" s="80">
        <f>IF(AC481="Cancelled",0,O481*R481)</f>
        <v/>
      </c>
      <c r="V481" s="80">
        <f>IF(AC481="Cancelled",0,ROUND(P481*S481,2))</f>
        <v/>
      </c>
      <c r="W481" s="80" t="inlineStr">
        <is>
          <t>No</t>
        </is>
      </c>
      <c r="X481" s="80" t="n">
        <v>0</v>
      </c>
      <c r="Y481" s="80">
        <f>IF(AC481="Cancelled",0,T481+U481+V481+Q481+X481)</f>
        <v/>
      </c>
      <c r="Z481" s="80">
        <f>IF(AC481="Cancelled",-Q481,S481-Y481)</f>
        <v/>
      </c>
      <c r="AA481" s="81">
        <f>IF(OR(AC481="Cancelled",S481=0),0,Z481/S481)</f>
        <v/>
      </c>
      <c r="AB481" s="82">
        <f>IFERROR(S481/Q481,0)</f>
        <v/>
      </c>
      <c r="AC481" s="56" t="inlineStr">
        <is>
          <t>Delivered</t>
        </is>
      </c>
    </row>
    <row r="482" ht="14.25" customHeight="1" s="57">
      <c r="A482" s="56" t="inlineStr">
        <is>
          <t>ORD-00374</t>
        </is>
      </c>
      <c r="B482" s="79" t="n">
        <v>46128</v>
      </c>
      <c r="C482" s="56" t="n">
        <v>2026</v>
      </c>
      <c r="D482" s="56" t="n">
        <v>4</v>
      </c>
      <c r="E482" s="56" t="inlineStr">
        <is>
          <t>Qatar</t>
        </is>
      </c>
      <c r="F482" s="56" t="inlineStr">
        <is>
          <t>Doha</t>
        </is>
      </c>
      <c r="G482" s="56" t="inlineStr">
        <is>
          <t>Influencer</t>
        </is>
      </c>
      <c r="H482" s="56" t="inlineStr">
        <is>
          <t>New Creative A/B</t>
        </is>
      </c>
      <c r="I482" s="56" t="inlineStr">
        <is>
          <t>P009</t>
        </is>
      </c>
      <c r="J482" s="56" t="inlineStr">
        <is>
          <t>Car Vacuum Cleaner</t>
        </is>
      </c>
      <c r="K482" s="56" t="inlineStr">
        <is>
          <t>Automotive</t>
        </is>
      </c>
      <c r="L482" s="56" t="inlineStr">
        <is>
          <t>Dongguan Auto Tools</t>
        </is>
      </c>
      <c r="M482" s="80" t="n">
        <v>42.14</v>
      </c>
      <c r="N482" s="80" t="n">
        <v>14.42</v>
      </c>
      <c r="O482" s="80" t="n">
        <v>6.18</v>
      </c>
      <c r="P482" s="80" t="n">
        <v>0.03</v>
      </c>
      <c r="Q482" s="80" t="n">
        <v>6.19</v>
      </c>
      <c r="R482" s="80" t="n">
        <v>1</v>
      </c>
      <c r="S482" s="80">
        <f>IF(AC482="Cancelled",0,M482*R482)</f>
        <v/>
      </c>
      <c r="T482" s="80">
        <f>IF(AC482="Cancelled",0,N482*R482)</f>
        <v/>
      </c>
      <c r="U482" s="80">
        <f>IF(AC482="Cancelled",0,O482*R482)</f>
        <v/>
      </c>
      <c r="V482" s="80">
        <f>IF(AC482="Cancelled",0,ROUND(P482*S482,2))</f>
        <v/>
      </c>
      <c r="W482" s="80" t="inlineStr">
        <is>
          <t>No</t>
        </is>
      </c>
      <c r="X482" s="80" t="n">
        <v>0</v>
      </c>
      <c r="Y482" s="80">
        <f>IF(AC482="Cancelled",0,T482+U482+V482+Q482+X482)</f>
        <v/>
      </c>
      <c r="Z482" s="80">
        <f>IF(AC482="Cancelled",-Q482,S482-Y482)</f>
        <v/>
      </c>
      <c r="AA482" s="81">
        <f>IF(OR(AC482="Cancelled",S482=0),0,Z482/S482)</f>
        <v/>
      </c>
      <c r="AB482" s="82">
        <f>IFERROR(S482/Q482,0)</f>
        <v/>
      </c>
      <c r="AC482" s="56" t="inlineStr">
        <is>
          <t>Delivered</t>
        </is>
      </c>
    </row>
    <row r="483" ht="14.25" customHeight="1" s="57">
      <c r="A483" s="56" t="inlineStr">
        <is>
          <t>ORD-00341</t>
        </is>
      </c>
      <c r="B483" s="79" t="n">
        <v>46129</v>
      </c>
      <c r="C483" s="56" t="n">
        <v>2026</v>
      </c>
      <c r="D483" s="56" t="n">
        <v>4</v>
      </c>
      <c r="E483" s="56" t="inlineStr">
        <is>
          <t>Saudi Arabia</t>
        </is>
      </c>
      <c r="F483" s="56" t="inlineStr">
        <is>
          <t>Jeddah</t>
        </is>
      </c>
      <c r="G483" s="56" t="inlineStr">
        <is>
          <t>TikTok Ads</t>
        </is>
      </c>
      <c r="H483" s="56" t="inlineStr">
        <is>
          <t>Bundle Promo</t>
        </is>
      </c>
      <c r="I483" s="56" t="inlineStr">
        <is>
          <t>P002</t>
        </is>
      </c>
      <c r="J483" s="56" t="inlineStr">
        <is>
          <t>Phone Case</t>
        </is>
      </c>
      <c r="K483" s="56" t="inlineStr">
        <is>
          <t>Accessories</t>
        </is>
      </c>
      <c r="L483" s="56" t="inlineStr">
        <is>
          <t>Guangzhou Cases Ltd.</t>
        </is>
      </c>
      <c r="M483" s="80" t="n">
        <v>15.75</v>
      </c>
      <c r="N483" s="80" t="n">
        <v>2.11</v>
      </c>
      <c r="O483" s="80" t="n">
        <v>2.08</v>
      </c>
      <c r="P483" s="80" t="n">
        <v>0.03</v>
      </c>
      <c r="Q483" s="80" t="n">
        <v>9.140000000000001</v>
      </c>
      <c r="R483" s="80" t="n">
        <v>1</v>
      </c>
      <c r="S483" s="80">
        <f>IF(AC483="Cancelled",0,M483*R483)</f>
        <v/>
      </c>
      <c r="T483" s="80">
        <f>IF(AC483="Cancelled",0,N483*R483)</f>
        <v/>
      </c>
      <c r="U483" s="80">
        <f>IF(AC483="Cancelled",0,O483*R483)</f>
        <v/>
      </c>
      <c r="V483" s="80">
        <f>IF(AC483="Cancelled",0,ROUND(P483*S483,2))</f>
        <v/>
      </c>
      <c r="W483" s="80" t="inlineStr">
        <is>
          <t>No</t>
        </is>
      </c>
      <c r="X483" s="80" t="n">
        <v>0</v>
      </c>
      <c r="Y483" s="80">
        <f>IF(AC483="Cancelled",0,T483+U483+V483+Q483+X483)</f>
        <v/>
      </c>
      <c r="Z483" s="80">
        <f>IF(AC483="Cancelled",-Q483,S483-Y483)</f>
        <v/>
      </c>
      <c r="AA483" s="81">
        <f>IF(OR(AC483="Cancelled",S483=0),0,Z483/S483)</f>
        <v/>
      </c>
      <c r="AB483" s="82">
        <f>IFERROR(S483/Q483,0)</f>
        <v/>
      </c>
      <c r="AC483" s="56" t="inlineStr">
        <is>
          <t>Delivered</t>
        </is>
      </c>
    </row>
    <row r="484" ht="14.25" customHeight="1" s="57">
      <c r="A484" s="56" t="inlineStr">
        <is>
          <t>ORD-00219</t>
        </is>
      </c>
      <c r="B484" s="79" t="n">
        <v>46130</v>
      </c>
      <c r="C484" s="56" t="n">
        <v>2026</v>
      </c>
      <c r="D484" s="56" t="n">
        <v>4</v>
      </c>
      <c r="E484" s="56" t="inlineStr">
        <is>
          <t>UAE</t>
        </is>
      </c>
      <c r="F484" s="56" t="inlineStr">
        <is>
          <t>Dubai</t>
        </is>
      </c>
      <c r="G484" s="56" t="inlineStr">
        <is>
          <t>TikTok Ads</t>
        </is>
      </c>
      <c r="H484" s="56" t="inlineStr">
        <is>
          <t>Launch Test</t>
        </is>
      </c>
      <c r="I484" s="56" t="inlineStr">
        <is>
          <t>P010</t>
        </is>
      </c>
      <c r="J484" s="56" t="inlineStr">
        <is>
          <t>Smart Water Bottle</t>
        </is>
      </c>
      <c r="K484" s="56" t="inlineStr">
        <is>
          <t>Lifestyle</t>
        </is>
      </c>
      <c r="L484" s="56" t="inlineStr">
        <is>
          <t>Shenzhen Smart Home</t>
        </is>
      </c>
      <c r="M484" s="80" t="n">
        <v>34.37</v>
      </c>
      <c r="N484" s="80" t="n">
        <v>10.41</v>
      </c>
      <c r="O484" s="80" t="n">
        <v>4.17</v>
      </c>
      <c r="P484" s="80" t="n">
        <v>0.03</v>
      </c>
      <c r="Q484" s="80" t="n">
        <v>16.47</v>
      </c>
      <c r="R484" s="80" t="n">
        <v>2</v>
      </c>
      <c r="S484" s="80">
        <f>IF(AC484="Cancelled",0,M484*R484)</f>
        <v/>
      </c>
      <c r="T484" s="80">
        <f>IF(AC484="Cancelled",0,N484*R484)</f>
        <v/>
      </c>
      <c r="U484" s="80">
        <f>IF(AC484="Cancelled",0,O484*R484)</f>
        <v/>
      </c>
      <c r="V484" s="80">
        <f>IF(AC484="Cancelled",0,ROUND(P484*S484,2))</f>
        <v/>
      </c>
      <c r="W484" s="80" t="inlineStr">
        <is>
          <t>No</t>
        </is>
      </c>
      <c r="X484" s="80" t="n">
        <v>0</v>
      </c>
      <c r="Y484" s="80">
        <f>IF(AC484="Cancelled",0,T484+U484+V484+Q484+X484)</f>
        <v/>
      </c>
      <c r="Z484" s="80">
        <f>IF(AC484="Cancelled",-Q484,S484-Y484)</f>
        <v/>
      </c>
      <c r="AA484" s="81">
        <f>IF(OR(AC484="Cancelled",S484=0),0,Z484/S484)</f>
        <v/>
      </c>
      <c r="AB484" s="82">
        <f>IFERROR(S484/Q484,0)</f>
        <v/>
      </c>
      <c r="AC484" s="56" t="inlineStr">
        <is>
          <t>Delivered</t>
        </is>
      </c>
    </row>
    <row r="485" ht="14.25" customHeight="1" s="57">
      <c r="A485" s="56" t="inlineStr">
        <is>
          <t>ORD-00138</t>
        </is>
      </c>
      <c r="B485" s="79" t="n">
        <v>46132</v>
      </c>
      <c r="C485" s="56" t="n">
        <v>2026</v>
      </c>
      <c r="D485" s="56" t="n">
        <v>4</v>
      </c>
      <c r="E485" s="56" t="inlineStr">
        <is>
          <t>Kuwait</t>
        </is>
      </c>
      <c r="F485" s="56" t="inlineStr">
        <is>
          <t>Kuwait City</t>
        </is>
      </c>
      <c r="G485" s="56" t="inlineStr">
        <is>
          <t>TikTok Ads</t>
        </is>
      </c>
      <c r="H485" s="56" t="inlineStr">
        <is>
          <t>Launch Test</t>
        </is>
      </c>
      <c r="I485" s="56" t="inlineStr">
        <is>
          <t>P002</t>
        </is>
      </c>
      <c r="J485" s="56" t="inlineStr">
        <is>
          <t>Phone Case</t>
        </is>
      </c>
      <c r="K485" s="56" t="inlineStr">
        <is>
          <t>Accessories</t>
        </is>
      </c>
      <c r="L485" s="56" t="inlineStr">
        <is>
          <t>Guangzhou Cases Ltd.</t>
        </is>
      </c>
      <c r="M485" s="80" t="n">
        <v>13.62</v>
      </c>
      <c r="N485" s="80" t="n">
        <v>2.06</v>
      </c>
      <c r="O485" s="80" t="n">
        <v>2.04</v>
      </c>
      <c r="P485" s="80" t="n">
        <v>0.03</v>
      </c>
      <c r="Q485" s="80" t="n">
        <v>3.98</v>
      </c>
      <c r="R485" s="80" t="n">
        <v>3</v>
      </c>
      <c r="S485" s="80">
        <f>IF(AC485="Cancelled",0,M485*R485)</f>
        <v/>
      </c>
      <c r="T485" s="80">
        <f>IF(AC485="Cancelled",0,N485*R485)</f>
        <v/>
      </c>
      <c r="U485" s="80">
        <f>IF(AC485="Cancelled",0,O485*R485)</f>
        <v/>
      </c>
      <c r="V485" s="80">
        <f>IF(AC485="Cancelled",0,ROUND(P485*S485,2))</f>
        <v/>
      </c>
      <c r="W485" s="80" t="inlineStr">
        <is>
          <t>No</t>
        </is>
      </c>
      <c r="X485" s="80" t="n">
        <v>0</v>
      </c>
      <c r="Y485" s="80">
        <f>IF(AC485="Cancelled",0,T485+U485+V485+Q485+X485)</f>
        <v/>
      </c>
      <c r="Z485" s="80">
        <f>IF(AC485="Cancelled",-Q485,S485-Y485)</f>
        <v/>
      </c>
      <c r="AA485" s="81">
        <f>IF(OR(AC485="Cancelled",S485=0),0,Z485/S485)</f>
        <v/>
      </c>
      <c r="AB485" s="82">
        <f>IFERROR(S485/Q485,0)</f>
        <v/>
      </c>
      <c r="AC485" s="56" t="inlineStr">
        <is>
          <t>Delivered</t>
        </is>
      </c>
    </row>
    <row r="486" ht="14.25" customHeight="1" s="57">
      <c r="A486" s="56" t="inlineStr">
        <is>
          <t>ORD-00171</t>
        </is>
      </c>
      <c r="B486" s="79" t="n">
        <v>46132</v>
      </c>
      <c r="C486" s="56" t="n">
        <v>2026</v>
      </c>
      <c r="D486" s="56" t="n">
        <v>4</v>
      </c>
      <c r="E486" s="56" t="inlineStr">
        <is>
          <t>UAE</t>
        </is>
      </c>
      <c r="F486" s="56" t="inlineStr">
        <is>
          <t>Sharjah</t>
        </is>
      </c>
      <c r="G486" s="56" t="inlineStr">
        <is>
          <t>Influencer</t>
        </is>
      </c>
      <c r="H486" s="56" t="inlineStr">
        <is>
          <t>New Creative A/B</t>
        </is>
      </c>
      <c r="I486" s="56" t="inlineStr">
        <is>
          <t>P010</t>
        </is>
      </c>
      <c r="J486" s="56" t="inlineStr">
        <is>
          <t>Smart Water Bottle</t>
        </is>
      </c>
      <c r="K486" s="56" t="inlineStr">
        <is>
          <t>Lifestyle</t>
        </is>
      </c>
      <c r="L486" s="56" t="inlineStr">
        <is>
          <t>Shenzhen Smart Home</t>
        </is>
      </c>
      <c r="M486" s="80" t="n">
        <v>35.36</v>
      </c>
      <c r="N486" s="80" t="n">
        <v>9.56</v>
      </c>
      <c r="O486" s="80" t="n">
        <v>4.02</v>
      </c>
      <c r="P486" s="80" t="n">
        <v>0.03</v>
      </c>
      <c r="Q486" s="80" t="n">
        <v>4.44</v>
      </c>
      <c r="R486" s="80" t="n">
        <v>1</v>
      </c>
      <c r="S486" s="80">
        <f>IF(AC486="Cancelled",0,M486*R486)</f>
        <v/>
      </c>
      <c r="T486" s="80">
        <f>IF(AC486="Cancelled",0,N486*R486)</f>
        <v/>
      </c>
      <c r="U486" s="80">
        <f>IF(AC486="Cancelled",0,O486*R486)</f>
        <v/>
      </c>
      <c r="V486" s="80">
        <f>IF(AC486="Cancelled",0,ROUND(P486*S486,2))</f>
        <v/>
      </c>
      <c r="W486" s="80" t="inlineStr">
        <is>
          <t>No</t>
        </is>
      </c>
      <c r="X486" s="80" t="n">
        <v>0</v>
      </c>
      <c r="Y486" s="80">
        <f>IF(AC486="Cancelled",0,T486+U486+V486+Q486+X486)</f>
        <v/>
      </c>
      <c r="Z486" s="80">
        <f>IF(AC486="Cancelled",-Q486,S486-Y486)</f>
        <v/>
      </c>
      <c r="AA486" s="81">
        <f>IF(OR(AC486="Cancelled",S486=0),0,Z486/S486)</f>
        <v/>
      </c>
      <c r="AB486" s="82">
        <f>IFERROR(S486/Q486,0)</f>
        <v/>
      </c>
      <c r="AC486" s="56" t="inlineStr">
        <is>
          <t>Delivered</t>
        </is>
      </c>
    </row>
    <row r="487" ht="14.25" customHeight="1" s="57">
      <c r="A487" s="56" t="inlineStr">
        <is>
          <t>ORD-00047</t>
        </is>
      </c>
      <c r="B487" s="79" t="n">
        <v>46134</v>
      </c>
      <c r="C487" s="56" t="n">
        <v>2026</v>
      </c>
      <c r="D487" s="56" t="n">
        <v>4</v>
      </c>
      <c r="E487" s="56" t="inlineStr">
        <is>
          <t>Saudi Arabia</t>
        </is>
      </c>
      <c r="F487" s="56" t="inlineStr">
        <is>
          <t>Riyadh</t>
        </is>
      </c>
      <c r="G487" s="56" t="inlineStr">
        <is>
          <t>Google Ads</t>
        </is>
      </c>
      <c r="H487" s="56" t="inlineStr">
        <is>
          <t>Summer Sale</t>
        </is>
      </c>
      <c r="I487" s="56" t="inlineStr">
        <is>
          <t>P006</t>
        </is>
      </c>
      <c r="J487" s="56" t="inlineStr">
        <is>
          <t>Posture Corrector</t>
        </is>
      </c>
      <c r="K487" s="56" t="inlineStr">
        <is>
          <t>Fitness</t>
        </is>
      </c>
      <c r="L487" s="56" t="inlineStr">
        <is>
          <t>Hangzhou Health Gear</t>
        </is>
      </c>
      <c r="M487" s="80" t="n">
        <v>38.55</v>
      </c>
      <c r="N487" s="80" t="n">
        <v>9.4</v>
      </c>
      <c r="O487" s="80" t="n">
        <v>3.69</v>
      </c>
      <c r="P487" s="80" t="n">
        <v>0.03</v>
      </c>
      <c r="Q487" s="80" t="n">
        <v>3.29</v>
      </c>
      <c r="R487" s="80" t="n">
        <v>2</v>
      </c>
      <c r="S487" s="80">
        <f>IF(AC487="Cancelled",0,M487*R487)</f>
        <v/>
      </c>
      <c r="T487" s="80">
        <f>IF(AC487="Cancelled",0,N487*R487)</f>
        <v/>
      </c>
      <c r="U487" s="80">
        <f>IF(AC487="Cancelled",0,O487*R487)</f>
        <v/>
      </c>
      <c r="V487" s="80">
        <f>IF(AC487="Cancelled",0,ROUND(P487*S487,2))</f>
        <v/>
      </c>
      <c r="W487" s="80" t="inlineStr">
        <is>
          <t>No</t>
        </is>
      </c>
      <c r="X487" s="80" t="n">
        <v>0</v>
      </c>
      <c r="Y487" s="80">
        <f>IF(AC487="Cancelled",0,T487+U487+V487+Q487+X487)</f>
        <v/>
      </c>
      <c r="Z487" s="80">
        <f>IF(AC487="Cancelled",-Q487,S487-Y487)</f>
        <v/>
      </c>
      <c r="AA487" s="81">
        <f>IF(OR(AC487="Cancelled",S487=0),0,Z487/S487)</f>
        <v/>
      </c>
      <c r="AB487" s="82">
        <f>IFERROR(S487/Q487,0)</f>
        <v/>
      </c>
      <c r="AC487" s="56" t="inlineStr">
        <is>
          <t>Delivered</t>
        </is>
      </c>
    </row>
    <row r="488" ht="14.25" customHeight="1" s="57">
      <c r="A488" s="56" t="inlineStr">
        <is>
          <t>ORD-00079</t>
        </is>
      </c>
      <c r="B488" s="79" t="n">
        <v>46134</v>
      </c>
      <c r="C488" s="56" t="n">
        <v>2026</v>
      </c>
      <c r="D488" s="56" t="n">
        <v>4</v>
      </c>
      <c r="E488" s="56" t="inlineStr">
        <is>
          <t>Saudi Arabia</t>
        </is>
      </c>
      <c r="F488" s="56" t="inlineStr">
        <is>
          <t>Jeddah</t>
        </is>
      </c>
      <c r="G488" s="56" t="inlineStr">
        <is>
          <t>Organic Search</t>
        </is>
      </c>
      <c r="H488" s="56" t="inlineStr">
        <is>
          <t>Retargeting</t>
        </is>
      </c>
      <c r="I488" s="56" t="inlineStr">
        <is>
          <t>P001</t>
        </is>
      </c>
      <c r="J488" s="56" t="inlineStr">
        <is>
          <t>Wireless Earbuds</t>
        </is>
      </c>
      <c r="K488" s="56" t="inlineStr">
        <is>
          <t>Electronics</t>
        </is>
      </c>
      <c r="L488" s="56" t="inlineStr">
        <is>
          <t>Shenzhen Audio Co.</t>
        </is>
      </c>
      <c r="M488" s="80" t="n">
        <v>40.13</v>
      </c>
      <c r="N488" s="80" t="n">
        <v>8.279999999999999</v>
      </c>
      <c r="O488" s="80" t="n">
        <v>4.43</v>
      </c>
      <c r="P488" s="80" t="n">
        <v>0.03</v>
      </c>
      <c r="Q488" s="80" t="n">
        <v>0</v>
      </c>
      <c r="R488" s="80" t="n">
        <v>1</v>
      </c>
      <c r="S488" s="80">
        <f>IF(AC488="Cancelled",0,M488*R488)</f>
        <v/>
      </c>
      <c r="T488" s="80">
        <f>IF(AC488="Cancelled",0,N488*R488)</f>
        <v/>
      </c>
      <c r="U488" s="80">
        <f>IF(AC488="Cancelled",0,O488*R488)</f>
        <v/>
      </c>
      <c r="V488" s="80">
        <f>IF(AC488="Cancelled",0,ROUND(P488*S488,2))</f>
        <v/>
      </c>
      <c r="W488" s="80" t="inlineStr">
        <is>
          <t>No</t>
        </is>
      </c>
      <c r="X488" s="80" t="n">
        <v>0</v>
      </c>
      <c r="Y488" s="80">
        <f>IF(AC488="Cancelled",0,T488+U488+V488+Q488+X488)</f>
        <v/>
      </c>
      <c r="Z488" s="80">
        <f>IF(AC488="Cancelled",-Q488,S488-Y488)</f>
        <v/>
      </c>
      <c r="AA488" s="81">
        <f>IF(OR(AC488="Cancelled",S488=0),0,Z488/S488)</f>
        <v/>
      </c>
      <c r="AB488" s="82">
        <f>IFERROR(S488/Q488,0)</f>
        <v/>
      </c>
      <c r="AC488" s="56" t="inlineStr">
        <is>
          <t>Delivered</t>
        </is>
      </c>
    </row>
    <row r="489" ht="14.25" customHeight="1" s="57">
      <c r="A489" s="56" t="inlineStr">
        <is>
          <t>ORD-00197</t>
        </is>
      </c>
      <c r="B489" s="79" t="n">
        <v>46135</v>
      </c>
      <c r="C489" s="56" t="n">
        <v>2026</v>
      </c>
      <c r="D489" s="56" t="n">
        <v>4</v>
      </c>
      <c r="E489" s="56" t="inlineStr">
        <is>
          <t>Oman</t>
        </is>
      </c>
      <c r="F489" s="56" t="inlineStr">
        <is>
          <t>Muscat</t>
        </is>
      </c>
      <c r="G489" s="56" t="inlineStr">
        <is>
          <t>Meta Ads</t>
        </is>
      </c>
      <c r="H489" s="56" t="inlineStr">
        <is>
          <t>New Creative A/B</t>
        </is>
      </c>
      <c r="I489" s="56" t="inlineStr">
        <is>
          <t>P001</t>
        </is>
      </c>
      <c r="J489" s="56" t="inlineStr">
        <is>
          <t>Wireless Earbuds</t>
        </is>
      </c>
      <c r="K489" s="56" t="inlineStr">
        <is>
          <t>Electronics</t>
        </is>
      </c>
      <c r="L489" s="56" t="inlineStr">
        <is>
          <t>Shenzhen Audio Co.</t>
        </is>
      </c>
      <c r="M489" s="80" t="n">
        <v>42.89</v>
      </c>
      <c r="N489" s="80" t="n">
        <v>8.300000000000001</v>
      </c>
      <c r="O489" s="80" t="n">
        <v>3.66</v>
      </c>
      <c r="P489" s="80" t="n">
        <v>0.03</v>
      </c>
      <c r="Q489" s="80" t="n">
        <v>5.64</v>
      </c>
      <c r="R489" s="80" t="n">
        <v>1</v>
      </c>
      <c r="S489" s="80">
        <f>IF(AC489="Cancelled",0,M489*R489)</f>
        <v/>
      </c>
      <c r="T489" s="80">
        <f>IF(AC489="Cancelled",0,N489*R489)</f>
        <v/>
      </c>
      <c r="U489" s="80">
        <f>IF(AC489="Cancelled",0,O489*R489)</f>
        <v/>
      </c>
      <c r="V489" s="80">
        <f>IF(AC489="Cancelled",0,ROUND(P489*S489,2))</f>
        <v/>
      </c>
      <c r="W489" s="80" t="inlineStr">
        <is>
          <t>No</t>
        </is>
      </c>
      <c r="X489" s="80" t="n">
        <v>0</v>
      </c>
      <c r="Y489" s="80">
        <f>IF(AC489="Cancelled",0,T489+U489+V489+Q489+X489)</f>
        <v/>
      </c>
      <c r="Z489" s="80">
        <f>IF(AC489="Cancelled",-Q489,S489-Y489)</f>
        <v/>
      </c>
      <c r="AA489" s="81">
        <f>IF(OR(AC489="Cancelled",S489=0),0,Z489/S489)</f>
        <v/>
      </c>
      <c r="AB489" s="82">
        <f>IFERROR(S489/Q489,0)</f>
        <v/>
      </c>
      <c r="AC489" s="56" t="inlineStr">
        <is>
          <t>Delivered</t>
        </is>
      </c>
    </row>
    <row r="490" ht="14.25" customHeight="1" s="57">
      <c r="A490" s="56" t="inlineStr">
        <is>
          <t>ORD-00476</t>
        </is>
      </c>
      <c r="B490" s="79" t="n">
        <v>46135</v>
      </c>
      <c r="C490" s="56" t="n">
        <v>2026</v>
      </c>
      <c r="D490" s="56" t="n">
        <v>4</v>
      </c>
      <c r="E490" s="56" t="inlineStr">
        <is>
          <t>Saudi Arabia</t>
        </is>
      </c>
      <c r="F490" s="56" t="inlineStr">
        <is>
          <t>Riyadh</t>
        </is>
      </c>
      <c r="G490" s="56" t="inlineStr">
        <is>
          <t>Google Ads</t>
        </is>
      </c>
      <c r="H490" s="56" t="inlineStr">
        <is>
          <t>Retargeting</t>
        </is>
      </c>
      <c r="I490" s="56" t="inlineStr">
        <is>
          <t>P002</t>
        </is>
      </c>
      <c r="J490" s="56" t="inlineStr">
        <is>
          <t>Phone Case</t>
        </is>
      </c>
      <c r="K490" s="56" t="inlineStr">
        <is>
          <t>Accessories</t>
        </is>
      </c>
      <c r="L490" s="56" t="inlineStr">
        <is>
          <t>Guangzhou Cases Ltd.</t>
        </is>
      </c>
      <c r="M490" s="80" t="n">
        <v>14.04</v>
      </c>
      <c r="N490" s="80" t="n">
        <v>2.09</v>
      </c>
      <c r="O490" s="80" t="n">
        <v>1.96</v>
      </c>
      <c r="P490" s="80" t="n">
        <v>0.03</v>
      </c>
      <c r="Q490" s="80" t="n">
        <v>15.59</v>
      </c>
      <c r="R490" s="80" t="n">
        <v>2</v>
      </c>
      <c r="S490" s="80">
        <f>IF(AC490="Cancelled",0,M490*R490)</f>
        <v/>
      </c>
      <c r="T490" s="80">
        <f>IF(AC490="Cancelled",0,N490*R490)</f>
        <v/>
      </c>
      <c r="U490" s="80">
        <f>IF(AC490="Cancelled",0,O490*R490)</f>
        <v/>
      </c>
      <c r="V490" s="80">
        <f>IF(AC490="Cancelled",0,ROUND(P490*S490,2))</f>
        <v/>
      </c>
      <c r="W490" s="80" t="inlineStr">
        <is>
          <t>No</t>
        </is>
      </c>
      <c r="X490" s="80" t="n">
        <v>0</v>
      </c>
      <c r="Y490" s="80">
        <f>IF(AC490="Cancelled",0,T490+U490+V490+Q490+X490)</f>
        <v/>
      </c>
      <c r="Z490" s="80">
        <f>IF(AC490="Cancelled",-Q490,S490-Y490)</f>
        <v/>
      </c>
      <c r="AA490" s="81">
        <f>IF(OR(AC490="Cancelled",S490=0),0,Z490/S490)</f>
        <v/>
      </c>
      <c r="AB490" s="82">
        <f>IFERROR(S490/Q490,0)</f>
        <v/>
      </c>
      <c r="AC490" s="56" t="inlineStr">
        <is>
          <t>Delivered</t>
        </is>
      </c>
    </row>
    <row r="491" ht="14.25" customHeight="1" s="57">
      <c r="A491" s="56" t="inlineStr">
        <is>
          <t>ORD-00212</t>
        </is>
      </c>
      <c r="B491" s="79" t="n">
        <v>46137</v>
      </c>
      <c r="C491" s="56" t="n">
        <v>2026</v>
      </c>
      <c r="D491" s="56" t="n">
        <v>4</v>
      </c>
      <c r="E491" s="56" t="inlineStr">
        <is>
          <t>Saudi Arabia</t>
        </is>
      </c>
      <c r="F491" s="56" t="inlineStr">
        <is>
          <t>Jeddah</t>
        </is>
      </c>
      <c r="G491" s="56" t="inlineStr">
        <is>
          <t>Meta Ads</t>
        </is>
      </c>
      <c r="H491" s="56" t="inlineStr">
        <is>
          <t>Summer Sale</t>
        </is>
      </c>
      <c r="I491" s="56" t="inlineStr">
        <is>
          <t>P006</t>
        </is>
      </c>
      <c r="J491" s="56" t="inlineStr">
        <is>
          <t>Posture Corrector</t>
        </is>
      </c>
      <c r="K491" s="56" t="inlineStr">
        <is>
          <t>Fitness</t>
        </is>
      </c>
      <c r="L491" s="56" t="inlineStr">
        <is>
          <t>Hangzhou Health Gear</t>
        </is>
      </c>
      <c r="M491" s="80" t="n">
        <v>36.26</v>
      </c>
      <c r="N491" s="80" t="n">
        <v>9.630000000000001</v>
      </c>
      <c r="O491" s="80" t="n">
        <v>4.03</v>
      </c>
      <c r="P491" s="80" t="n">
        <v>0.03</v>
      </c>
      <c r="Q491" s="80" t="n">
        <v>10.44</v>
      </c>
      <c r="R491" s="80" t="n">
        <v>1</v>
      </c>
      <c r="S491" s="80">
        <f>IF(AC491="Cancelled",0,M491*R491)</f>
        <v/>
      </c>
      <c r="T491" s="80">
        <f>IF(AC491="Cancelled",0,N491*R491)</f>
        <v/>
      </c>
      <c r="U491" s="80">
        <f>IF(AC491="Cancelled",0,O491*R491)</f>
        <v/>
      </c>
      <c r="V491" s="80">
        <f>IF(AC491="Cancelled",0,ROUND(P491*S491,2))</f>
        <v/>
      </c>
      <c r="W491" s="80" t="inlineStr">
        <is>
          <t>No</t>
        </is>
      </c>
      <c r="X491" s="80" t="n">
        <v>0</v>
      </c>
      <c r="Y491" s="80">
        <f>IF(AC491="Cancelled",0,T491+U491+V491+Q491+X491)</f>
        <v/>
      </c>
      <c r="Z491" s="80">
        <f>IF(AC491="Cancelled",-Q491,S491-Y491)</f>
        <v/>
      </c>
      <c r="AA491" s="81">
        <f>IF(OR(AC491="Cancelled",S491=0),0,Z491/S491)</f>
        <v/>
      </c>
      <c r="AB491" s="82">
        <f>IFERROR(S491/Q491,0)</f>
        <v/>
      </c>
      <c r="AC491" s="56" t="inlineStr">
        <is>
          <t>Delivered</t>
        </is>
      </c>
    </row>
    <row r="492" ht="14.25" customHeight="1" s="57">
      <c r="A492" s="56" t="inlineStr">
        <is>
          <t>ORD-00379</t>
        </is>
      </c>
      <c r="B492" s="79" t="n">
        <v>46137</v>
      </c>
      <c r="C492" s="56" t="n">
        <v>2026</v>
      </c>
      <c r="D492" s="56" t="n">
        <v>4</v>
      </c>
      <c r="E492" s="56" t="inlineStr">
        <is>
          <t>Kuwait</t>
        </is>
      </c>
      <c r="F492" s="56" t="inlineStr">
        <is>
          <t>Kuwait City</t>
        </is>
      </c>
      <c r="G492" s="56" t="inlineStr">
        <is>
          <t>Meta Ads</t>
        </is>
      </c>
      <c r="H492" s="56" t="inlineStr">
        <is>
          <t>Retargeting</t>
        </is>
      </c>
      <c r="I492" s="56" t="inlineStr">
        <is>
          <t>P009</t>
        </is>
      </c>
      <c r="J492" s="56" t="inlineStr">
        <is>
          <t>Car Vacuum Cleaner</t>
        </is>
      </c>
      <c r="K492" s="56" t="inlineStr">
        <is>
          <t>Automotive</t>
        </is>
      </c>
      <c r="L492" s="56" t="inlineStr">
        <is>
          <t>Dongguan Auto Tools</t>
        </is>
      </c>
      <c r="M492" s="80" t="n">
        <v>43.82</v>
      </c>
      <c r="N492" s="80" t="n">
        <v>14.5</v>
      </c>
      <c r="O492" s="80" t="n">
        <v>7.01</v>
      </c>
      <c r="P492" s="80" t="n">
        <v>0.03</v>
      </c>
      <c r="Q492" s="80" t="n">
        <v>18.7</v>
      </c>
      <c r="R492" s="80" t="n">
        <v>2</v>
      </c>
      <c r="S492" s="80">
        <f>IF(AC492="Cancelled",0,M492*R492)</f>
        <v/>
      </c>
      <c r="T492" s="80">
        <f>IF(AC492="Cancelled",0,N492*R492)</f>
        <v/>
      </c>
      <c r="U492" s="80">
        <f>IF(AC492="Cancelled",0,O492*R492)</f>
        <v/>
      </c>
      <c r="V492" s="80">
        <f>IF(AC492="Cancelled",0,ROUND(P492*S492,2))</f>
        <v/>
      </c>
      <c r="W492" s="80" t="inlineStr">
        <is>
          <t>No</t>
        </is>
      </c>
      <c r="X492" s="80" t="n">
        <v>0</v>
      </c>
      <c r="Y492" s="80">
        <f>IF(AC492="Cancelled",0,T492+U492+V492+Q492+X492)</f>
        <v/>
      </c>
      <c r="Z492" s="80">
        <f>IF(AC492="Cancelled",-Q492,S492-Y492)</f>
        <v/>
      </c>
      <c r="AA492" s="81">
        <f>IF(OR(AC492="Cancelled",S492=0),0,Z492/S492)</f>
        <v/>
      </c>
      <c r="AB492" s="82">
        <f>IFERROR(S492/Q492,0)</f>
        <v/>
      </c>
      <c r="AC492" s="56" t="inlineStr">
        <is>
          <t>Delivered</t>
        </is>
      </c>
    </row>
    <row r="493" ht="14.25" customHeight="1" s="57">
      <c r="A493" s="56" t="inlineStr">
        <is>
          <t>ORD-00051</t>
        </is>
      </c>
      <c r="B493" s="79" t="n">
        <v>46138</v>
      </c>
      <c r="C493" s="56" t="n">
        <v>2026</v>
      </c>
      <c r="D493" s="56" t="n">
        <v>4</v>
      </c>
      <c r="E493" s="56" t="inlineStr">
        <is>
          <t>UAE</t>
        </is>
      </c>
      <c r="F493" s="56" t="inlineStr">
        <is>
          <t>Sharjah</t>
        </is>
      </c>
      <c r="G493" s="56" t="inlineStr">
        <is>
          <t>Google Ads</t>
        </is>
      </c>
      <c r="H493" s="56" t="inlineStr">
        <is>
          <t>Launch Test</t>
        </is>
      </c>
      <c r="I493" s="56" t="inlineStr">
        <is>
          <t>P001</t>
        </is>
      </c>
      <c r="J493" s="56" t="inlineStr">
        <is>
          <t>Wireless Earbuds</t>
        </is>
      </c>
      <c r="K493" s="56" t="inlineStr">
        <is>
          <t>Electronics</t>
        </is>
      </c>
      <c r="L493" s="56" t="inlineStr">
        <is>
          <t>Shenzhen Audio Co.</t>
        </is>
      </c>
      <c r="M493" s="80" t="n">
        <v>41.55</v>
      </c>
      <c r="N493" s="80" t="n">
        <v>8.35</v>
      </c>
      <c r="O493" s="80" t="n">
        <v>3.9</v>
      </c>
      <c r="P493" s="80" t="n">
        <v>0.03</v>
      </c>
      <c r="Q493" s="80" t="n">
        <v>6.92</v>
      </c>
      <c r="R493" s="80" t="n">
        <v>2</v>
      </c>
      <c r="S493" s="80">
        <f>IF(AC493="Cancelled",0,M493*R493)</f>
        <v/>
      </c>
      <c r="T493" s="80">
        <f>IF(AC493="Cancelled",0,N493*R493)</f>
        <v/>
      </c>
      <c r="U493" s="80">
        <f>IF(AC493="Cancelled",0,O493*R493)</f>
        <v/>
      </c>
      <c r="V493" s="80">
        <f>IF(AC493="Cancelled",0,ROUND(P493*S493,2))</f>
        <v/>
      </c>
      <c r="W493" s="80" t="inlineStr">
        <is>
          <t>No</t>
        </is>
      </c>
      <c r="X493" s="80" t="n">
        <v>0</v>
      </c>
      <c r="Y493" s="80">
        <f>IF(AC493="Cancelled",0,T493+U493+V493+Q493+X493)</f>
        <v/>
      </c>
      <c r="Z493" s="80">
        <f>IF(AC493="Cancelled",-Q493,S493-Y493)</f>
        <v/>
      </c>
      <c r="AA493" s="81">
        <f>IF(OR(AC493="Cancelled",S493=0),0,Z493/S493)</f>
        <v/>
      </c>
      <c r="AB493" s="82">
        <f>IFERROR(S493/Q493,0)</f>
        <v/>
      </c>
      <c r="AC493" s="56" t="inlineStr">
        <is>
          <t>Delivered</t>
        </is>
      </c>
    </row>
    <row r="494" ht="14.25" customHeight="1" s="57">
      <c r="A494" s="56" t="inlineStr">
        <is>
          <t>ORD-00215</t>
        </is>
      </c>
      <c r="B494" s="79" t="n">
        <v>46138</v>
      </c>
      <c r="C494" s="56" t="n">
        <v>2026</v>
      </c>
      <c r="D494" s="56" t="n">
        <v>4</v>
      </c>
      <c r="E494" s="56" t="inlineStr">
        <is>
          <t>Qatar</t>
        </is>
      </c>
      <c r="F494" s="56" t="inlineStr">
        <is>
          <t>Doha</t>
        </is>
      </c>
      <c r="G494" s="56" t="inlineStr">
        <is>
          <t>Influencer</t>
        </is>
      </c>
      <c r="H494" s="56" t="inlineStr">
        <is>
          <t>Retargeting</t>
        </is>
      </c>
      <c r="I494" s="56" t="inlineStr">
        <is>
          <t>P003</t>
        </is>
      </c>
      <c r="J494" s="56" t="inlineStr">
        <is>
          <t>LED Strip Lights</t>
        </is>
      </c>
      <c r="K494" s="56" t="inlineStr">
        <is>
          <t>Home Decor</t>
        </is>
      </c>
      <c r="L494" s="56" t="inlineStr">
        <is>
          <t>Yiwu Lighting Factory</t>
        </is>
      </c>
      <c r="M494" s="80" t="n">
        <v>27</v>
      </c>
      <c r="N494" s="80" t="n">
        <v>5.89</v>
      </c>
      <c r="O494" s="80" t="n">
        <v>3.5</v>
      </c>
      <c r="P494" s="80" t="n">
        <v>0.03</v>
      </c>
      <c r="Q494" s="80" t="n">
        <v>30.12</v>
      </c>
      <c r="R494" s="80" t="n">
        <v>3</v>
      </c>
      <c r="S494" s="80">
        <f>IF(AC494="Cancelled",0,M494*R494)</f>
        <v/>
      </c>
      <c r="T494" s="80">
        <f>IF(AC494="Cancelled",0,N494*R494)</f>
        <v/>
      </c>
      <c r="U494" s="80">
        <f>IF(AC494="Cancelled",0,O494*R494)</f>
        <v/>
      </c>
      <c r="V494" s="80">
        <f>IF(AC494="Cancelled",0,ROUND(P494*S494,2))</f>
        <v/>
      </c>
      <c r="W494" s="80" t="inlineStr">
        <is>
          <t>No</t>
        </is>
      </c>
      <c r="X494" s="80" t="n">
        <v>0</v>
      </c>
      <c r="Y494" s="80">
        <f>IF(AC494="Cancelled",0,T494+U494+V494+Q494+X494)</f>
        <v/>
      </c>
      <c r="Z494" s="80">
        <f>IF(AC494="Cancelled",-Q494,S494-Y494)</f>
        <v/>
      </c>
      <c r="AA494" s="81">
        <f>IF(OR(AC494="Cancelled",S494=0),0,Z494/S494)</f>
        <v/>
      </c>
      <c r="AB494" s="82">
        <f>IFERROR(S494/Q494,0)</f>
        <v/>
      </c>
      <c r="AC494" s="56" t="inlineStr">
        <is>
          <t>Delivered</t>
        </is>
      </c>
    </row>
    <row r="495" ht="14.25" customHeight="1" s="57">
      <c r="A495" s="56" t="inlineStr">
        <is>
          <t>ORD-00068</t>
        </is>
      </c>
      <c r="B495" s="79" t="n">
        <v>46139</v>
      </c>
      <c r="C495" s="56" t="n">
        <v>2026</v>
      </c>
      <c r="D495" s="56" t="n">
        <v>4</v>
      </c>
      <c r="E495" s="56" t="inlineStr">
        <is>
          <t>Saudi Arabia</t>
        </is>
      </c>
      <c r="F495" s="56" t="inlineStr">
        <is>
          <t>Riyadh</t>
        </is>
      </c>
      <c r="G495" s="56" t="inlineStr">
        <is>
          <t>Meta Ads</t>
        </is>
      </c>
      <c r="H495" s="56" t="inlineStr">
        <is>
          <t>Launch Test</t>
        </is>
      </c>
      <c r="I495" s="56" t="inlineStr">
        <is>
          <t>P003</t>
        </is>
      </c>
      <c r="J495" s="56" t="inlineStr">
        <is>
          <t>LED Strip Lights</t>
        </is>
      </c>
      <c r="K495" s="56" t="inlineStr">
        <is>
          <t>Home Decor</t>
        </is>
      </c>
      <c r="L495" s="56" t="inlineStr">
        <is>
          <t>Yiwu Lighting Factory</t>
        </is>
      </c>
      <c r="M495" s="80" t="n">
        <v>23.08</v>
      </c>
      <c r="N495" s="80" t="n">
        <v>6.17</v>
      </c>
      <c r="O495" s="80" t="n">
        <v>3.79</v>
      </c>
      <c r="P495" s="80" t="n">
        <v>0.03</v>
      </c>
      <c r="Q495" s="80" t="n">
        <v>6.69</v>
      </c>
      <c r="R495" s="80" t="n">
        <v>2</v>
      </c>
      <c r="S495" s="80">
        <f>IF(AC495="Cancelled",0,M495*R495)</f>
        <v/>
      </c>
      <c r="T495" s="80">
        <f>IF(AC495="Cancelled",0,N495*R495)</f>
        <v/>
      </c>
      <c r="U495" s="80">
        <f>IF(AC495="Cancelled",0,O495*R495)</f>
        <v/>
      </c>
      <c r="V495" s="80">
        <f>IF(AC495="Cancelled",0,ROUND(P495*S495,2))</f>
        <v/>
      </c>
      <c r="W495" s="80" t="inlineStr">
        <is>
          <t>No</t>
        </is>
      </c>
      <c r="X495" s="80" t="n">
        <v>0</v>
      </c>
      <c r="Y495" s="80">
        <f>IF(AC495="Cancelled",0,T495+U495+V495+Q495+X495)</f>
        <v/>
      </c>
      <c r="Z495" s="80">
        <f>IF(AC495="Cancelled",-Q495,S495-Y495)</f>
        <v/>
      </c>
      <c r="AA495" s="81">
        <f>IF(OR(AC495="Cancelled",S495=0),0,Z495/S495)</f>
        <v/>
      </c>
      <c r="AB495" s="82">
        <f>IFERROR(S495/Q495,0)</f>
        <v/>
      </c>
      <c r="AC495" s="56" t="inlineStr">
        <is>
          <t>Delivered</t>
        </is>
      </c>
    </row>
    <row r="496" ht="14.25" customHeight="1" s="57">
      <c r="A496" s="56" t="inlineStr">
        <is>
          <t>ORD-00156</t>
        </is>
      </c>
      <c r="B496" s="79" t="n">
        <v>46140</v>
      </c>
      <c r="C496" s="56" t="n">
        <v>2026</v>
      </c>
      <c r="D496" s="56" t="n">
        <v>4</v>
      </c>
      <c r="E496" s="56" t="inlineStr">
        <is>
          <t>Qatar</t>
        </is>
      </c>
      <c r="F496" s="56" t="inlineStr">
        <is>
          <t>Doha</t>
        </is>
      </c>
      <c r="G496" s="56" t="inlineStr">
        <is>
          <t>Email</t>
        </is>
      </c>
      <c r="H496" s="56" t="inlineStr">
        <is>
          <t>New Creative A/B</t>
        </is>
      </c>
      <c r="I496" s="56" t="inlineStr">
        <is>
          <t>P010</t>
        </is>
      </c>
      <c r="J496" s="56" t="inlineStr">
        <is>
          <t>Smart Water Bottle</t>
        </is>
      </c>
      <c r="K496" s="56" t="inlineStr">
        <is>
          <t>Lifestyle</t>
        </is>
      </c>
      <c r="L496" s="56" t="inlineStr">
        <is>
          <t>Shenzhen Smart Home</t>
        </is>
      </c>
      <c r="M496" s="80" t="n">
        <v>33.25</v>
      </c>
      <c r="N496" s="80" t="n">
        <v>10.35</v>
      </c>
      <c r="O496" s="80" t="n">
        <v>4.34</v>
      </c>
      <c r="P496" s="80" t="n">
        <v>0.03</v>
      </c>
      <c r="Q496" s="80" t="n">
        <v>15.31</v>
      </c>
      <c r="R496" s="80" t="n">
        <v>2</v>
      </c>
      <c r="S496" s="80">
        <f>IF(AC496="Cancelled",0,M496*R496)</f>
        <v/>
      </c>
      <c r="T496" s="80">
        <f>IF(AC496="Cancelled",0,N496*R496)</f>
        <v/>
      </c>
      <c r="U496" s="80">
        <f>IF(AC496="Cancelled",0,O496*R496)</f>
        <v/>
      </c>
      <c r="V496" s="80">
        <f>IF(AC496="Cancelled",0,ROUND(P496*S496,2))</f>
        <v/>
      </c>
      <c r="W496" s="80" t="inlineStr">
        <is>
          <t>No</t>
        </is>
      </c>
      <c r="X496" s="80" t="n">
        <v>0</v>
      </c>
      <c r="Y496" s="80">
        <f>IF(AC496="Cancelled",0,T496+U496+V496+Q496+X496)</f>
        <v/>
      </c>
      <c r="Z496" s="80">
        <f>IF(AC496="Cancelled",-Q496,S496-Y496)</f>
        <v/>
      </c>
      <c r="AA496" s="81">
        <f>IF(OR(AC496="Cancelled",S496=0),0,Z496/S496)</f>
        <v/>
      </c>
      <c r="AB496" s="82">
        <f>IFERROR(S496/Q496,0)</f>
        <v/>
      </c>
      <c r="AC496" s="56" t="inlineStr">
        <is>
          <t>Delivered</t>
        </is>
      </c>
    </row>
    <row r="497" ht="14.25" customHeight="1" s="57">
      <c r="A497" s="56" t="inlineStr">
        <is>
          <t>ORD-00431</t>
        </is>
      </c>
      <c r="B497" s="79" t="n">
        <v>46140</v>
      </c>
      <c r="C497" s="56" t="n">
        <v>2026</v>
      </c>
      <c r="D497" s="56" t="n">
        <v>4</v>
      </c>
      <c r="E497" s="56" t="inlineStr">
        <is>
          <t>Oman</t>
        </is>
      </c>
      <c r="F497" s="56" t="inlineStr">
        <is>
          <t>Muscat</t>
        </is>
      </c>
      <c r="G497" s="56" t="inlineStr">
        <is>
          <t>Influencer</t>
        </is>
      </c>
      <c r="H497" s="56" t="inlineStr">
        <is>
          <t>Summer Sale</t>
        </is>
      </c>
      <c r="I497" s="56" t="inlineStr">
        <is>
          <t>P001</t>
        </is>
      </c>
      <c r="J497" s="56" t="inlineStr">
        <is>
          <t>Wireless Earbuds</t>
        </is>
      </c>
      <c r="K497" s="56" t="inlineStr">
        <is>
          <t>Electronics</t>
        </is>
      </c>
      <c r="L497" s="56" t="inlineStr">
        <is>
          <t>Shenzhen Audio Co.</t>
        </is>
      </c>
      <c r="M497" s="80" t="n">
        <v>41.49</v>
      </c>
      <c r="N497" s="80" t="n">
        <v>8.76</v>
      </c>
      <c r="O497" s="80" t="n">
        <v>4</v>
      </c>
      <c r="P497" s="80" t="n">
        <v>0.03</v>
      </c>
      <c r="Q497" s="80" t="n">
        <v>4.39</v>
      </c>
      <c r="R497" s="80" t="n">
        <v>1</v>
      </c>
      <c r="S497" s="80">
        <f>IF(AC497="Cancelled",0,M497*R497)</f>
        <v/>
      </c>
      <c r="T497" s="80">
        <f>IF(AC497="Cancelled",0,N497*R497)</f>
        <v/>
      </c>
      <c r="U497" s="80">
        <f>IF(AC497="Cancelled",0,O497*R497)</f>
        <v/>
      </c>
      <c r="V497" s="80">
        <f>IF(AC497="Cancelled",0,ROUND(P497*S497,2))</f>
        <v/>
      </c>
      <c r="W497" s="80" t="inlineStr">
        <is>
          <t>No</t>
        </is>
      </c>
      <c r="X497" s="80" t="n">
        <v>0</v>
      </c>
      <c r="Y497" s="80">
        <f>IF(AC497="Cancelled",0,T497+U497+V497+Q497+X497)</f>
        <v/>
      </c>
      <c r="Z497" s="80">
        <f>IF(AC497="Cancelled",-Q497,S497-Y497)</f>
        <v/>
      </c>
      <c r="AA497" s="81">
        <f>IF(OR(AC497="Cancelled",S497=0),0,Z497/S497)</f>
        <v/>
      </c>
      <c r="AB497" s="82">
        <f>IFERROR(S497/Q497,0)</f>
        <v/>
      </c>
      <c r="AC497" s="56" t="inlineStr">
        <is>
          <t>Cancelled</t>
        </is>
      </c>
    </row>
    <row r="498" ht="14.25" customHeight="1" s="57">
      <c r="A498" s="56" t="inlineStr">
        <is>
          <t>ORD-00465</t>
        </is>
      </c>
      <c r="B498" s="79" t="n">
        <v>46140</v>
      </c>
      <c r="C498" s="56" t="n">
        <v>2026</v>
      </c>
      <c r="D498" s="56" t="n">
        <v>4</v>
      </c>
      <c r="E498" s="56" t="inlineStr">
        <is>
          <t>UAE</t>
        </is>
      </c>
      <c r="F498" s="56" t="inlineStr">
        <is>
          <t>Abu Dhabi</t>
        </is>
      </c>
      <c r="G498" s="56" t="inlineStr">
        <is>
          <t>Influencer</t>
        </is>
      </c>
      <c r="H498" s="56" t="inlineStr">
        <is>
          <t>Retargeting</t>
        </is>
      </c>
      <c r="I498" s="56" t="inlineStr">
        <is>
          <t>P009</t>
        </is>
      </c>
      <c r="J498" s="56" t="inlineStr">
        <is>
          <t>Car Vacuum Cleaner</t>
        </is>
      </c>
      <c r="K498" s="56" t="inlineStr">
        <is>
          <t>Automotive</t>
        </is>
      </c>
      <c r="L498" s="56" t="inlineStr">
        <is>
          <t>Dongguan Auto Tools</t>
        </is>
      </c>
      <c r="M498" s="80" t="n">
        <v>41.25</v>
      </c>
      <c r="N498" s="80" t="n">
        <v>14.16</v>
      </c>
      <c r="O498" s="80" t="n">
        <v>6.13</v>
      </c>
      <c r="P498" s="80" t="n">
        <v>0.03</v>
      </c>
      <c r="Q498" s="80" t="n">
        <v>8.59</v>
      </c>
      <c r="R498" s="80" t="n">
        <v>1</v>
      </c>
      <c r="S498" s="80">
        <f>IF(AC498="Cancelled",0,M498*R498)</f>
        <v/>
      </c>
      <c r="T498" s="80">
        <f>IF(AC498="Cancelled",0,N498*R498)</f>
        <v/>
      </c>
      <c r="U498" s="80">
        <f>IF(AC498="Cancelled",0,O498*R498)</f>
        <v/>
      </c>
      <c r="V498" s="80">
        <f>IF(AC498="Cancelled",0,ROUND(P498*S498,2))</f>
        <v/>
      </c>
      <c r="W498" s="80" t="inlineStr">
        <is>
          <t>No</t>
        </is>
      </c>
      <c r="X498" s="80" t="n">
        <v>0</v>
      </c>
      <c r="Y498" s="80">
        <f>IF(AC498="Cancelled",0,T498+U498+V498+Q498+X498)</f>
        <v/>
      </c>
      <c r="Z498" s="80">
        <f>IF(AC498="Cancelled",-Q498,S498-Y498)</f>
        <v/>
      </c>
      <c r="AA498" s="81">
        <f>IF(OR(AC498="Cancelled",S498=0),0,Z498/S498)</f>
        <v/>
      </c>
      <c r="AB498" s="82">
        <f>IFERROR(S498/Q498,0)</f>
        <v/>
      </c>
      <c r="AC498" s="56" t="inlineStr">
        <is>
          <t>Delivered</t>
        </is>
      </c>
    </row>
    <row r="499" ht="14.25" customHeight="1" s="57">
      <c r="A499" s="56" t="inlineStr">
        <is>
          <t>ORD-00496</t>
        </is>
      </c>
      <c r="B499" s="79" t="n">
        <v>46140</v>
      </c>
      <c r="C499" s="56" t="n">
        <v>2026</v>
      </c>
      <c r="D499" s="56" t="n">
        <v>4</v>
      </c>
      <c r="E499" s="56" t="inlineStr">
        <is>
          <t>UAE</t>
        </is>
      </c>
      <c r="F499" s="56" t="inlineStr">
        <is>
          <t>Dubai</t>
        </is>
      </c>
      <c r="G499" s="56" t="inlineStr">
        <is>
          <t>TikTok Ads</t>
        </is>
      </c>
      <c r="H499" s="56" t="inlineStr">
        <is>
          <t>Bundle Promo</t>
        </is>
      </c>
      <c r="I499" s="56" t="inlineStr">
        <is>
          <t>P008</t>
        </is>
      </c>
      <c r="J499" s="56" t="inlineStr">
        <is>
          <t>Portable Blender</t>
        </is>
      </c>
      <c r="K499" s="56" t="inlineStr">
        <is>
          <t>Kitchen</t>
        </is>
      </c>
      <c r="L499" s="56" t="inlineStr">
        <is>
          <t>Foshan Appliances</t>
        </is>
      </c>
      <c r="M499" s="80" t="n">
        <v>45.67</v>
      </c>
      <c r="N499" s="80" t="n">
        <v>15.66</v>
      </c>
      <c r="O499" s="80" t="n">
        <v>6.41</v>
      </c>
      <c r="P499" s="80" t="n">
        <v>0.03</v>
      </c>
      <c r="Q499" s="80" t="n">
        <v>6.63</v>
      </c>
      <c r="R499" s="80" t="n">
        <v>2</v>
      </c>
      <c r="S499" s="80">
        <f>IF(AC499="Cancelled",0,M499*R499)</f>
        <v/>
      </c>
      <c r="T499" s="80">
        <f>IF(AC499="Cancelled",0,N499*R499)</f>
        <v/>
      </c>
      <c r="U499" s="80">
        <f>IF(AC499="Cancelled",0,O499*R499)</f>
        <v/>
      </c>
      <c r="V499" s="80">
        <f>IF(AC499="Cancelled",0,ROUND(P499*S499,2))</f>
        <v/>
      </c>
      <c r="W499" s="80" t="inlineStr">
        <is>
          <t>No</t>
        </is>
      </c>
      <c r="X499" s="80" t="n">
        <v>0</v>
      </c>
      <c r="Y499" s="80">
        <f>IF(AC499="Cancelled",0,T499+U499+V499+Q499+X499)</f>
        <v/>
      </c>
      <c r="Z499" s="80">
        <f>IF(AC499="Cancelled",-Q499,S499-Y499)</f>
        <v/>
      </c>
      <c r="AA499" s="81">
        <f>IF(OR(AC499="Cancelled",S499=0),0,Z499/S499)</f>
        <v/>
      </c>
      <c r="AB499" s="82">
        <f>IFERROR(S499/Q499,0)</f>
        <v/>
      </c>
      <c r="AC499" s="56" t="inlineStr">
        <is>
          <t>Delivered</t>
        </is>
      </c>
    </row>
    <row r="500" ht="14.25" customHeight="1" s="57">
      <c r="A500" s="56" t="inlineStr">
        <is>
          <t>ORD-00314</t>
        </is>
      </c>
      <c r="B500" s="79" t="n">
        <v>46141</v>
      </c>
      <c r="C500" s="56" t="n">
        <v>2026</v>
      </c>
      <c r="D500" s="56" t="n">
        <v>4</v>
      </c>
      <c r="E500" s="56" t="inlineStr">
        <is>
          <t>Saudi Arabia</t>
        </is>
      </c>
      <c r="F500" s="56" t="inlineStr">
        <is>
          <t>Riyadh</t>
        </is>
      </c>
      <c r="G500" s="56" t="inlineStr">
        <is>
          <t>Meta Ads</t>
        </is>
      </c>
      <c r="H500" s="56" t="inlineStr">
        <is>
          <t>Launch Test</t>
        </is>
      </c>
      <c r="I500" s="56" t="inlineStr">
        <is>
          <t>P003</t>
        </is>
      </c>
      <c r="J500" s="56" t="inlineStr">
        <is>
          <t>LED Strip Lights</t>
        </is>
      </c>
      <c r="K500" s="56" t="inlineStr">
        <is>
          <t>Home Decor</t>
        </is>
      </c>
      <c r="L500" s="56" t="inlineStr">
        <is>
          <t>Yiwu Lighting Factory</t>
        </is>
      </c>
      <c r="M500" s="80" t="n">
        <v>25.37</v>
      </c>
      <c r="N500" s="80" t="n">
        <v>6.41</v>
      </c>
      <c r="O500" s="80" t="n">
        <v>3.52</v>
      </c>
      <c r="P500" s="80" t="n">
        <v>0.03</v>
      </c>
      <c r="Q500" s="80" t="n">
        <v>10.63</v>
      </c>
      <c r="R500" s="80" t="n">
        <v>3</v>
      </c>
      <c r="S500" s="80">
        <f>IF(AC500="Cancelled",0,M500*R500)</f>
        <v/>
      </c>
      <c r="T500" s="80">
        <f>IF(AC500="Cancelled",0,N500*R500)</f>
        <v/>
      </c>
      <c r="U500" s="80">
        <f>IF(AC500="Cancelled",0,O500*R500)</f>
        <v/>
      </c>
      <c r="V500" s="80">
        <f>IF(AC500="Cancelled",0,ROUND(P500*S500,2))</f>
        <v/>
      </c>
      <c r="W500" s="80" t="inlineStr">
        <is>
          <t>No</t>
        </is>
      </c>
      <c r="X500" s="80" t="n">
        <v>0</v>
      </c>
      <c r="Y500" s="80">
        <f>IF(AC500="Cancelled",0,T500+U500+V500+Q500+X500)</f>
        <v/>
      </c>
      <c r="Z500" s="80">
        <f>IF(AC500="Cancelled",-Q500,S500-Y500)</f>
        <v/>
      </c>
      <c r="AA500" s="81">
        <f>IF(OR(AC500="Cancelled",S500=0),0,Z500/S500)</f>
        <v/>
      </c>
      <c r="AB500" s="82">
        <f>IFERROR(S500/Q500,0)</f>
        <v/>
      </c>
      <c r="AC500" s="56" t="inlineStr">
        <is>
          <t>Delivered</t>
        </is>
      </c>
    </row>
    <row r="501" ht="14.25" customHeight="1" s="57">
      <c r="A501" s="56" t="inlineStr">
        <is>
          <t>ORD-00448</t>
        </is>
      </c>
      <c r="B501" s="79" t="n">
        <v>46141</v>
      </c>
      <c r="C501" s="56" t="n">
        <v>2026</v>
      </c>
      <c r="D501" s="56" t="n">
        <v>4</v>
      </c>
      <c r="E501" s="56" t="inlineStr">
        <is>
          <t>Saudi Arabia</t>
        </is>
      </c>
      <c r="F501" s="56" t="inlineStr">
        <is>
          <t>Jeddah</t>
        </is>
      </c>
      <c r="G501" s="56" t="inlineStr">
        <is>
          <t>Google Ads</t>
        </is>
      </c>
      <c r="H501" s="56" t="inlineStr">
        <is>
          <t>Retargeting</t>
        </is>
      </c>
      <c r="I501" s="56" t="inlineStr">
        <is>
          <t>P004</t>
        </is>
      </c>
      <c r="J501" s="56" t="inlineStr">
        <is>
          <t>Beauty Tool</t>
        </is>
      </c>
      <c r="K501" s="56" t="inlineStr">
        <is>
          <t>Beauty</t>
        </is>
      </c>
      <c r="L501" s="56" t="inlineStr">
        <is>
          <t>Ningbo Beauty Supply</t>
        </is>
      </c>
      <c r="M501" s="80" t="n">
        <v>30.3</v>
      </c>
      <c r="N501" s="80" t="n">
        <v>6.84</v>
      </c>
      <c r="O501" s="80" t="n">
        <v>4.26</v>
      </c>
      <c r="P501" s="80" t="n">
        <v>0.03</v>
      </c>
      <c r="Q501" s="80" t="n">
        <v>7.6</v>
      </c>
      <c r="R501" s="80" t="n">
        <v>2</v>
      </c>
      <c r="S501" s="80">
        <f>IF(AC501="Cancelled",0,M501*R501)</f>
        <v/>
      </c>
      <c r="T501" s="80">
        <f>IF(AC501="Cancelled",0,N501*R501)</f>
        <v/>
      </c>
      <c r="U501" s="80">
        <f>IF(AC501="Cancelled",0,O501*R501)</f>
        <v/>
      </c>
      <c r="V501" s="80">
        <f>IF(AC501="Cancelled",0,ROUND(P501*S501,2))</f>
        <v/>
      </c>
      <c r="W501" s="80" t="inlineStr">
        <is>
          <t>No</t>
        </is>
      </c>
      <c r="X501" s="80" t="n">
        <v>0</v>
      </c>
      <c r="Y501" s="80">
        <f>IF(AC501="Cancelled",0,T501+U501+V501+Q501+X501)</f>
        <v/>
      </c>
      <c r="Z501" s="80">
        <f>IF(AC501="Cancelled",-Q501,S501-Y501)</f>
        <v/>
      </c>
      <c r="AA501" s="81">
        <f>IF(OR(AC501="Cancelled",S501=0),0,Z501/S501)</f>
        <v/>
      </c>
      <c r="AB501" s="82">
        <f>IFERROR(S501/Q501,0)</f>
        <v/>
      </c>
      <c r="AC501" s="56" t="inlineStr">
        <is>
          <t>Cancelled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C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9" activeCellId="0" sqref="I19"/>
    </sheetView>
  </sheetViews>
  <sheetFormatPr baseColWidth="8" defaultColWidth="8.6796875" defaultRowHeight="14.25" zeroHeight="0" outlineLevelRow="0"/>
  <cols>
    <col width="11.33" customWidth="1" style="56" min="1" max="1"/>
    <col width="16" customWidth="1" style="56" min="2" max="2"/>
    <col width="9.93" customWidth="1" style="56" min="3" max="3"/>
    <col width="18.14" customWidth="1" style="56" min="4" max="4"/>
    <col width="9.93" customWidth="1" style="56" min="5" max="5"/>
    <col width="9.67" customWidth="1" style="56" min="6" max="6"/>
    <col width="13.73" customWidth="1" style="56" min="7" max="7"/>
    <col width="7.4" customWidth="1" style="56" min="8" max="8"/>
    <col width="14.73" customWidth="1" style="56" min="9" max="9"/>
  </cols>
  <sheetData>
    <row r="1" ht="14.25" customHeight="1" s="57">
      <c r="A1" s="78" t="inlineStr">
        <is>
          <t>Product ID</t>
        </is>
      </c>
      <c r="B1" s="78" t="inlineStr">
        <is>
          <t>Product</t>
        </is>
      </c>
      <c r="C1" s="78" t="inlineStr">
        <is>
          <t>Category</t>
        </is>
      </c>
      <c r="D1" s="78" t="inlineStr">
        <is>
          <t>Supplier</t>
        </is>
      </c>
      <c r="E1" s="78" t="inlineStr">
        <is>
          <t>Sell Price</t>
        </is>
      </c>
      <c r="F1" s="78" t="inlineStr">
        <is>
          <t>Buy Cost</t>
        </is>
      </c>
      <c r="G1" s="78" t="inlineStr">
        <is>
          <t>Shipping Cost</t>
        </is>
      </c>
      <c r="H1" s="78" t="inlineStr">
        <is>
          <t>Fee %</t>
        </is>
      </c>
      <c r="I1" s="78" t="inlineStr">
        <is>
          <t>Profit per Unit</t>
        </is>
      </c>
      <c r="J1" s="78" t="inlineStr">
        <is>
          <t>Margin %</t>
        </is>
      </c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</row>
    <row r="2" ht="14.25" customHeight="1" s="57">
      <c r="A2" s="56" t="inlineStr">
        <is>
          <t>P001</t>
        </is>
      </c>
      <c r="B2" s="56" t="inlineStr">
        <is>
          <t>Wireless Earbuds</t>
        </is>
      </c>
      <c r="C2" s="56" t="inlineStr">
        <is>
          <t>Electronics</t>
        </is>
      </c>
      <c r="D2" s="56" t="inlineStr">
        <is>
          <t>Shenzhen Audio Co.</t>
        </is>
      </c>
      <c r="E2" s="56" t="n">
        <v>39.99</v>
      </c>
      <c r="F2" s="56" t="n">
        <v>8.5</v>
      </c>
      <c r="G2" s="56" t="n">
        <v>4</v>
      </c>
      <c r="H2" s="56" t="n">
        <v>0.03</v>
      </c>
      <c r="I2" s="82">
        <f>E2-F2-G2-(E2*H2)</f>
        <v/>
      </c>
      <c r="J2" s="82">
        <f>I2/E2</f>
        <v/>
      </c>
    </row>
    <row r="3" ht="14.25" customHeight="1" s="57">
      <c r="A3" s="56" t="inlineStr">
        <is>
          <t>P002</t>
        </is>
      </c>
      <c r="B3" s="56" t="inlineStr">
        <is>
          <t>Phone Case</t>
        </is>
      </c>
      <c r="C3" s="56" t="inlineStr">
        <is>
          <t>Accessories</t>
        </is>
      </c>
      <c r="D3" s="56" t="inlineStr">
        <is>
          <t>Guangzhou Cases Ltd.</t>
        </is>
      </c>
      <c r="E3" s="56" t="n">
        <v>14.99</v>
      </c>
      <c r="F3" s="56" t="n">
        <v>2</v>
      </c>
      <c r="G3" s="56" t="n">
        <v>2</v>
      </c>
      <c r="H3" s="56" t="n">
        <v>0.03</v>
      </c>
      <c r="I3" s="82">
        <f>E3-F3-G3-(E3*H3)</f>
        <v/>
      </c>
      <c r="J3" s="82">
        <f>I3/E3</f>
        <v/>
      </c>
    </row>
    <row r="4" ht="14.25" customHeight="1" s="57">
      <c r="A4" s="56" t="inlineStr">
        <is>
          <t>P003</t>
        </is>
      </c>
      <c r="B4" s="56" t="inlineStr">
        <is>
          <t>LED Strip Lights</t>
        </is>
      </c>
      <c r="C4" s="56" t="inlineStr">
        <is>
          <t>Home Decor</t>
        </is>
      </c>
      <c r="D4" s="56" t="inlineStr">
        <is>
          <t>Yiwu Lighting Factory</t>
        </is>
      </c>
      <c r="E4" s="56" t="n">
        <v>24.99</v>
      </c>
      <c r="F4" s="56" t="n">
        <v>6</v>
      </c>
      <c r="G4" s="56" t="n">
        <v>3.5</v>
      </c>
      <c r="H4" s="56" t="n">
        <v>0.03</v>
      </c>
      <c r="I4" s="82">
        <f>E4-F4-G4-(E4*H4)</f>
        <v/>
      </c>
      <c r="J4" s="82">
        <f>I4/E4</f>
        <v/>
      </c>
    </row>
    <row r="5" ht="14.25" customHeight="1" s="57">
      <c r="A5" s="56" t="inlineStr">
        <is>
          <t>P004</t>
        </is>
      </c>
      <c r="B5" s="56" t="inlineStr">
        <is>
          <t>Beauty Tool</t>
        </is>
      </c>
      <c r="C5" s="56" t="inlineStr">
        <is>
          <t>Beauty</t>
        </is>
      </c>
      <c r="D5" s="56" t="inlineStr">
        <is>
          <t>Ningbo Beauty Supply</t>
        </is>
      </c>
      <c r="E5" s="56" t="n">
        <v>29.99</v>
      </c>
      <c r="F5" s="56" t="n">
        <v>7</v>
      </c>
      <c r="G5" s="56" t="n">
        <v>4.5</v>
      </c>
      <c r="H5" s="56" t="n">
        <v>0.03</v>
      </c>
      <c r="I5" s="82">
        <f>E5-F5-G5-(E5*H5)</f>
        <v/>
      </c>
      <c r="J5" s="82">
        <f>I5/E5</f>
        <v/>
      </c>
    </row>
    <row r="6" ht="14.25" customHeight="1" s="57">
      <c r="A6" s="56" t="inlineStr">
        <is>
          <t>P005</t>
        </is>
      </c>
      <c r="B6" s="56" t="inlineStr">
        <is>
          <t>Mini Printer</t>
        </is>
      </c>
      <c r="C6" s="56" t="inlineStr">
        <is>
          <t>Electronics</t>
        </is>
      </c>
      <c r="D6" s="56" t="inlineStr">
        <is>
          <t>Shenzhen Print Tech</t>
        </is>
      </c>
      <c r="E6" s="56" t="n">
        <v>59.99</v>
      </c>
      <c r="F6" s="56" t="n">
        <v>22</v>
      </c>
      <c r="G6" s="56" t="n">
        <v>7</v>
      </c>
      <c r="H6" s="56" t="n">
        <v>0.03</v>
      </c>
      <c r="I6" s="82">
        <f>E6-F6-G6-(E6*H6)</f>
        <v/>
      </c>
      <c r="J6" s="82">
        <f>I6/E6</f>
        <v/>
      </c>
    </row>
    <row r="7" ht="14.25" customHeight="1" s="57">
      <c r="A7" s="56" t="inlineStr">
        <is>
          <t>P006</t>
        </is>
      </c>
      <c r="B7" s="56" t="inlineStr">
        <is>
          <t>Posture Corrector</t>
        </is>
      </c>
      <c r="C7" s="56" t="inlineStr">
        <is>
          <t>Fitness</t>
        </is>
      </c>
      <c r="D7" s="56" t="inlineStr">
        <is>
          <t>Hangzhou Health Gear</t>
        </is>
      </c>
      <c r="E7" s="56" t="n">
        <v>34.99</v>
      </c>
      <c r="F7" s="56" t="n">
        <v>9</v>
      </c>
      <c r="G7" s="56" t="n">
        <v>4</v>
      </c>
      <c r="H7" s="56" t="n">
        <v>0.03</v>
      </c>
      <c r="I7" s="82">
        <f>E7-F7-G7-(E7*H7)</f>
        <v/>
      </c>
      <c r="J7" s="82">
        <f>I7/E7</f>
        <v/>
      </c>
    </row>
    <row r="8" ht="14.25" customHeight="1" s="57">
      <c r="A8" s="56" t="inlineStr">
        <is>
          <t>P007</t>
        </is>
      </c>
      <c r="B8" s="56" t="inlineStr">
        <is>
          <t>Pet Grooming Glove</t>
        </is>
      </c>
      <c r="C8" s="56" t="inlineStr">
        <is>
          <t>Pets</t>
        </is>
      </c>
      <c r="D8" s="56" t="inlineStr">
        <is>
          <t>Yiwu Pet Products</t>
        </is>
      </c>
      <c r="E8" s="56" t="n">
        <v>19.99</v>
      </c>
      <c r="F8" s="56" t="n">
        <v>3.5</v>
      </c>
      <c r="G8" s="56" t="n">
        <v>2.5</v>
      </c>
      <c r="H8" s="56" t="n">
        <v>0.03</v>
      </c>
      <c r="I8" s="82">
        <f>E8-F8-G8-(E8*H8)</f>
        <v/>
      </c>
      <c r="J8" s="82">
        <f>I8/E8</f>
        <v/>
      </c>
    </row>
    <row r="9" ht="14.25" customHeight="1" s="57">
      <c r="A9" s="56" t="inlineStr">
        <is>
          <t>P008</t>
        </is>
      </c>
      <c r="B9" s="56" t="inlineStr">
        <is>
          <t>Portable Blender</t>
        </is>
      </c>
      <c r="C9" s="56" t="inlineStr">
        <is>
          <t>Kitchen</t>
        </is>
      </c>
      <c r="D9" s="56" t="inlineStr">
        <is>
          <t>Foshan Appliances</t>
        </is>
      </c>
      <c r="E9" s="56" t="n">
        <v>49.99</v>
      </c>
      <c r="F9" s="56" t="n">
        <v>16</v>
      </c>
      <c r="G9" s="56" t="n">
        <v>6</v>
      </c>
      <c r="H9" s="56" t="n">
        <v>0.03</v>
      </c>
      <c r="I9" s="82">
        <f>E9-F9-G9-(E9*H9)</f>
        <v/>
      </c>
      <c r="J9" s="82">
        <f>I9/E9</f>
        <v/>
      </c>
    </row>
    <row r="10" ht="14.25" customHeight="1" s="57">
      <c r="A10" s="56" t="inlineStr">
        <is>
          <t>P009</t>
        </is>
      </c>
      <c r="B10" s="56" t="inlineStr">
        <is>
          <t>Car Vacuum Cleaner</t>
        </is>
      </c>
      <c r="C10" s="56" t="inlineStr">
        <is>
          <t>Automotive</t>
        </is>
      </c>
      <c r="D10" s="56" t="inlineStr">
        <is>
          <t>Dongguan Auto Tools</t>
        </is>
      </c>
      <c r="E10" s="56" t="n">
        <v>44.99</v>
      </c>
      <c r="F10" s="56" t="n">
        <v>14</v>
      </c>
      <c r="G10" s="56" t="n">
        <v>6.5</v>
      </c>
      <c r="H10" s="56" t="n">
        <v>0.03</v>
      </c>
      <c r="I10" s="82">
        <f>E10-F10-G10-(E10*H10)</f>
        <v/>
      </c>
      <c r="J10" s="82">
        <f>I10/E10</f>
        <v/>
      </c>
    </row>
    <row r="11" ht="14.25" customHeight="1" s="57">
      <c r="A11" s="56" t="inlineStr">
        <is>
          <t>P010</t>
        </is>
      </c>
      <c r="B11" s="56" t="inlineStr">
        <is>
          <t>Smart Water Bottle</t>
        </is>
      </c>
      <c r="C11" s="56" t="inlineStr">
        <is>
          <t>Lifestyle</t>
        </is>
      </c>
      <c r="D11" s="56" t="inlineStr">
        <is>
          <t>Shenzhen Smart Home</t>
        </is>
      </c>
      <c r="E11" s="56" t="n">
        <v>32.99</v>
      </c>
      <c r="F11" s="56" t="n">
        <v>10</v>
      </c>
      <c r="G11" s="56" t="n">
        <v>4</v>
      </c>
      <c r="H11" s="56" t="n">
        <v>0.03</v>
      </c>
      <c r="I11" s="82">
        <f>E11-F11-G11-(E11*H11)</f>
        <v/>
      </c>
      <c r="J11" s="82">
        <f>I11/E11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H43"/>
  <sheetViews>
    <sheetView showFormulas="0" showGridLines="0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C7" activeCellId="0" sqref="C7"/>
    </sheetView>
  </sheetViews>
  <sheetFormatPr baseColWidth="8" defaultColWidth="8.66796875" defaultRowHeight="14.25" zeroHeight="0" outlineLevelRow="0"/>
  <cols>
    <col width="3" customWidth="1" style="56" min="1" max="1"/>
    <col width="48" customWidth="1" style="56" min="2" max="2"/>
    <col width="18" customWidth="1" style="56" min="3" max="5"/>
    <col width="4" customWidth="1" style="56" min="6" max="6"/>
    <col width="28" customWidth="1" style="56" min="7" max="7"/>
    <col width="26" customWidth="1" style="56" min="8" max="8"/>
  </cols>
  <sheetData>
    <row r="2" ht="14.25" customHeight="1" s="57">
      <c r="B2" s="73">
        <f>IF('Control Panel'!$C$10="SaaS","SaaS Profitability &amp; Marketing Analysis Model",IF('Control Panel'!$C$10="Retail","Retail Profitability &amp; Marketing Analysis Model","Dropshipping Profitability &amp; Marketing Analysis Model"))</f>
        <v/>
      </c>
    </row>
    <row r="3" ht="14.25" customHeight="1" s="57"/>
    <row r="4" ht="14.25" customHeight="1" s="57">
      <c r="B4" s="83" t="inlineStr">
        <is>
          <t>Blue cells = inputs | Black cells = formulas | Designed for beginners and product testing</t>
        </is>
      </c>
    </row>
    <row r="6" ht="15" customHeight="1" s="57">
      <c r="B6" s="84" t="inlineStr">
        <is>
          <t>Revenue Inputs</t>
        </is>
      </c>
      <c r="C6" s="85" t="n"/>
      <c r="D6" s="85" t="n"/>
      <c r="E6" s="85" t="n"/>
      <c r="G6" s="86" t="inlineStr">
        <is>
          <t>Decision Engine</t>
        </is>
      </c>
    </row>
    <row r="7" ht="14.25" customHeight="1" s="57">
      <c r="B7" s="87">
        <f>IF('Control Panel'!$C$10="SaaS","MRR per Customer ($)",IF('Control Panel'!$C$10="Retail","Retail Price per Unit ($)","Selling Price per Unit ($)"))</f>
        <v/>
      </c>
      <c r="C7" s="88" t="n">
        <v>49.99</v>
      </c>
      <c r="D7" s="75" t="inlineStr">
        <is>
          <t>Primary price customers pay</t>
        </is>
      </c>
      <c r="G7" s="87" t="inlineStr">
        <is>
          <t>Profitability Score</t>
        </is>
      </c>
      <c r="H7" s="89">
        <f>MIN(100,MAX(0,(C27/0.3)*100))</f>
        <v/>
      </c>
    </row>
    <row r="8" ht="14.25" customHeight="1" s="57">
      <c r="B8" s="87">
        <f>IF('Control Panel'!$C$10="SaaS","Customers (MRR)",IF('Control Panel'!$C$10="Retail","Units Sold per Month","Units Sold per Month"))</f>
        <v/>
      </c>
      <c r="C8" s="88" t="n">
        <v>100</v>
      </c>
      <c r="D8" s="75" t="inlineStr">
        <is>
          <t>Expected monthly unit sales</t>
        </is>
      </c>
      <c r="G8" s="87" t="inlineStr">
        <is>
          <t>ROAS Score</t>
        </is>
      </c>
      <c r="H8" s="89">
        <f>MIN(100,MAX(0,(C34/C40)*50))</f>
        <v/>
      </c>
    </row>
    <row r="9" ht="14.25" customHeight="1" s="57">
      <c r="B9" s="87" t="inlineStr">
        <is>
          <t>Organic Sales %</t>
        </is>
      </c>
      <c r="C9" s="90" t="n">
        <v>0.2</v>
      </c>
      <c r="D9" s="75" t="inlineStr">
        <is>
          <t>Share of units not from paid ads</t>
        </is>
      </c>
      <c r="G9" s="87" t="inlineStr">
        <is>
          <t>Margin Score</t>
        </is>
      </c>
      <c r="H9" s="91">
        <f>MIN(100,MAX(0,(C25/0.55)*100))</f>
        <v/>
      </c>
    </row>
    <row r="10" ht="14.25" customHeight="1" s="57">
      <c r="B10" s="87">
        <f>IF('Control Panel'!$C$10="SaaS","MRR ($)",IF('Control Panel'!$C$10="Retail","Gross Sales ($)","Total Revenue ($)"))</f>
        <v/>
      </c>
      <c r="C10" s="92">
        <f>C7*C8</f>
        <v/>
      </c>
      <c r="G10" s="87" t="inlineStr">
        <is>
          <t>Risk Score</t>
        </is>
      </c>
      <c r="H10" s="89">
        <f>MAX(0,100-(C19*300)-(IF(C36&lt;3,30,0)))</f>
        <v/>
      </c>
    </row>
    <row r="11" ht="14.25" customHeight="1" s="57">
      <c r="B11" s="87" t="inlineStr">
        <is>
          <t>Revenue from Paid Ads ($)</t>
        </is>
      </c>
      <c r="C11" s="92">
        <f>C10*(1-C9)</f>
        <v/>
      </c>
      <c r="G11" s="87" t="inlineStr">
        <is>
          <t>Winning Score /100</t>
        </is>
      </c>
      <c r="H11" s="93">
        <f>ROUND(AVERAGE(H7:H10),0)</f>
        <v/>
      </c>
    </row>
    <row r="12" ht="14.25" customHeight="1" s="57">
      <c r="B12" s="94" t="n"/>
      <c r="C12" s="94" t="n"/>
      <c r="G12" s="87" t="inlineStr">
        <is>
          <t>Product Verdict</t>
        </is>
      </c>
      <c r="H12" s="95">
        <f>IF(C26&lt;=0,"❌ Avoid Product",IF(H11&gt;=80,"✅ Test / Scale",IF(H11&gt;=60,"⚠️ Optimize First","❌ Avoid / Rework")))</f>
        <v/>
      </c>
    </row>
    <row r="13" ht="15" customHeight="1" s="57">
      <c r="B13" s="96" t="inlineStr">
        <is>
          <t>Costs &amp; Fees</t>
        </is>
      </c>
      <c r="C13" s="97" t="n"/>
      <c r="D13" s="97" t="n"/>
      <c r="E13" s="98" t="n"/>
      <c r="G13" s="87" t="inlineStr">
        <is>
          <t>Ad Safety Status</t>
        </is>
      </c>
      <c r="H13" s="95">
        <f>IF(C34&gt;=C40,"✅ Above break-even","⚠️ Below break-even")</f>
        <v/>
      </c>
    </row>
    <row r="14" ht="14.25" customHeight="1" s="57">
      <c r="B14" s="87">
        <f>IF('Control Panel'!$C$10="SaaS","Cost to Serve per Unit ($)",IF('Control Panel'!$C$10="Retail","COGS per Unit ($)","Product Cost per Unit ($)"))</f>
        <v/>
      </c>
      <c r="C14" s="99" t="n">
        <v>15</v>
      </c>
      <c r="G14" s="94" t="n"/>
      <c r="H14" s="94" t="n"/>
    </row>
    <row r="15" ht="14.25" customHeight="1" s="57">
      <c r="B15" s="87">
        <f>IF('Control Panel'!$C$10="SaaS","Infrastructure Cost per Unit ($)",IF('Control Panel'!$C$10="Retail","Fulfillment Cost per Unit ($)","Shipping Cost per Unit ($)"))</f>
        <v/>
      </c>
      <c r="C15" s="99" t="n">
        <v>5</v>
      </c>
      <c r="G15" s="100" t="inlineStr">
        <is>
          <t>Business note</t>
        </is>
      </c>
      <c r="H15" s="94" t="n"/>
    </row>
    <row r="16" ht="15" customHeight="1" s="57">
      <c r="B16" s="87" t="inlineStr">
        <is>
          <t>Platform / Payment Fee %</t>
        </is>
      </c>
      <c r="C16" s="90" t="n">
        <v>0.03</v>
      </c>
      <c r="G16" s="101" t="inlineStr">
        <is>
          <t>Break-even ROAS is based on contribution margin before ads, so it is more accurate than total revenue/ad spend.</t>
        </is>
      </c>
      <c r="H16" s="102" t="n"/>
    </row>
    <row r="17" ht="14.25" customHeight="1" s="57">
      <c r="B17" s="87">
        <f>IF('Control Panel'!$C$10="SaaS","Growth Spend ($)",IF('Control Panel'!$C$10="Retail","Marketing Spend ($)","Ad Spend ($)"))</f>
        <v/>
      </c>
      <c r="C17" s="99" t="n">
        <v>300</v>
      </c>
      <c r="G17" s="103" t="n"/>
      <c r="H17" s="104" t="n"/>
    </row>
    <row r="18" ht="14.25" customHeight="1" s="57">
      <c r="B18" s="87" t="inlineStr">
        <is>
          <t>Other Fixed Expenses ($)</t>
        </is>
      </c>
      <c r="C18" s="99" t="n">
        <v>50</v>
      </c>
      <c r="G18" s="105" t="n"/>
      <c r="H18" s="106" t="n"/>
    </row>
    <row r="19" ht="14.25" customHeight="1" s="57">
      <c r="B19" s="87">
        <f>IF('Control Panel'!$C$10="SaaS","Churn Rate %",IF('Control Panel'!$C$10="Retail","Return Rate %","Refund / Return Rate %"))</f>
        <v/>
      </c>
      <c r="C19" s="90" t="n">
        <v>0.02</v>
      </c>
      <c r="G19" s="94" t="n"/>
      <c r="H19" s="94" t="n"/>
    </row>
    <row r="20" ht="14.25" customHeight="1" s="57">
      <c r="B20" s="87">
        <f>IF('Control Panel'!$C$10="SaaS","Churn Revenue Loss ($)",IF('Control Panel'!$C$10="Retail","Return Handling Cost ($)","Refund Cost Estimate ($)"))</f>
        <v/>
      </c>
      <c r="C20" s="92">
        <f>C10*C19</f>
        <v/>
      </c>
      <c r="G20" s="94" t="n"/>
      <c r="H20" s="94" t="n"/>
    </row>
    <row r="21" ht="14.25" customHeight="1" s="57">
      <c r="B21" s="87" t="inlineStr">
        <is>
          <t>Total Costs ($)</t>
        </is>
      </c>
      <c r="C21" s="92">
        <f>((C14+C15)*C8)+(C16*C10)+C17+C18+C20</f>
        <v/>
      </c>
      <c r="G21" s="94" t="n"/>
      <c r="H21" s="94" t="n"/>
    </row>
    <row r="22" ht="14.25" customHeight="1" s="57">
      <c r="B22" s="94" t="n"/>
      <c r="C22" s="94" t="n"/>
      <c r="G22" s="94" t="n"/>
      <c r="H22" s="94" t="n"/>
    </row>
    <row r="23" ht="15" customHeight="1" s="57">
      <c r="B23" s="96" t="inlineStr">
        <is>
          <t>Unit Economics</t>
        </is>
      </c>
      <c r="C23" s="97" t="n"/>
      <c r="D23" s="97" t="n"/>
      <c r="E23" s="98" t="n"/>
      <c r="G23" s="94" t="n"/>
      <c r="H23" s="94" t="n"/>
    </row>
    <row r="24" ht="14.25" customHeight="1" s="57">
      <c r="B24" s="87">
        <f>IF('Control Panel'!$C$10="SaaS","Gross Margin Before Growth Spend ($)",IF('Control Panel'!$C$10="Retail","Gross Profit Before Ads ($)","Contribution Margin Before Ads ($)"))</f>
        <v/>
      </c>
      <c r="C24" s="107">
        <f>C7-C14-C15-(C16*C7)-(C19*C7)</f>
        <v/>
      </c>
      <c r="G24" s="94" t="n"/>
      <c r="H24" s="94" t="n"/>
    </row>
    <row r="25" ht="14.25" customHeight="1" s="57">
      <c r="B25" s="87" t="inlineStr">
        <is>
          <t>Contribution Margin %</t>
        </is>
      </c>
      <c r="C25" s="108">
        <f>IF(C7=0,0,C24/C7)</f>
        <v/>
      </c>
      <c r="G25" s="94" t="n"/>
      <c r="H25" s="94" t="n"/>
    </row>
    <row r="26" ht="14.25" customHeight="1" s="57">
      <c r="B26" s="87" t="inlineStr">
        <is>
          <t>Net Profit ($)</t>
        </is>
      </c>
      <c r="C26" s="107">
        <f>C10-C21</f>
        <v/>
      </c>
      <c r="G26" s="94" t="n"/>
      <c r="H26" s="94" t="n"/>
    </row>
    <row r="27" ht="14.25" customHeight="1" s="57">
      <c r="B27" s="87" t="inlineStr">
        <is>
          <t>Net Profit Margin</t>
        </is>
      </c>
      <c r="C27" s="108">
        <f>IF(C10=0,0,C26/C10)</f>
        <v/>
      </c>
      <c r="G27" s="94" t="n"/>
      <c r="H27" s="94" t="n"/>
    </row>
    <row r="28" ht="14.25" customHeight="1" s="57">
      <c r="B28" s="87" t="inlineStr">
        <is>
          <t>Profit per Unit ($)</t>
        </is>
      </c>
      <c r="C28" s="107">
        <f>IF(C8=0,0,C26/C8)</f>
        <v/>
      </c>
      <c r="G28" s="94" t="n"/>
      <c r="H28" s="94" t="n"/>
    </row>
    <row r="29" ht="14.25" customHeight="1" s="57">
      <c r="B29" s="94" t="n"/>
      <c r="C29" s="94" t="n"/>
      <c r="G29" s="94" t="n"/>
      <c r="H29" s="94" t="n"/>
    </row>
    <row r="30" ht="15" customHeight="1" s="57">
      <c r="B30" s="96" t="inlineStr">
        <is>
          <t>Marketing KPIs</t>
        </is>
      </c>
      <c r="C30" s="97" t="n"/>
      <c r="D30" s="97" t="n"/>
      <c r="E30" s="98" t="n"/>
      <c r="G30" s="94" t="n"/>
      <c r="H30" s="94" t="n"/>
    </row>
    <row r="31" ht="14.25" customHeight="1" s="57">
      <c r="B31" s="87" t="inlineStr">
        <is>
          <t>New Customers Acquired</t>
        </is>
      </c>
      <c r="C31" s="88" t="n">
        <v>40</v>
      </c>
      <c r="G31" s="94" t="n"/>
      <c r="H31" s="94" t="n"/>
    </row>
    <row r="32" ht="14.25" customHeight="1" s="57">
      <c r="B32" s="87" t="inlineStr">
        <is>
          <t>Average Order Value / AOV ($)</t>
        </is>
      </c>
      <c r="C32" s="89">
        <f>C7</f>
        <v/>
      </c>
      <c r="G32" s="94" t="n"/>
      <c r="H32" s="94" t="n"/>
    </row>
    <row r="33" ht="14.25" customHeight="1" s="57">
      <c r="B33" s="87">
        <f>IF('Control Panel'!$C$10="SaaS","LTV / MRR Ratio ($)",IF('Control Panel'!$C$10="Retail","Customer Lifetime Value / LTV ($)","Customer Lifetime Value / LTV ($)"))</f>
        <v/>
      </c>
      <c r="C33" s="89">
        <f>C7*3</f>
        <v/>
      </c>
      <c r="G33" s="94" t="n"/>
      <c r="H33" s="94" t="n"/>
    </row>
    <row r="34" ht="14.25" customHeight="1" s="57">
      <c r="B34" s="87">
        <f>IF('Control Panel'!$C$10="SaaS","CAC Payback Ratio",IF('Control Panel'!$C$10="Retail","ROAS from Paid Ads","ROAS from Paid Ads"))</f>
        <v/>
      </c>
      <c r="C34" s="109">
        <f>IF(C17=0,0,C11/C17)</f>
        <v/>
      </c>
      <c r="G34" s="94" t="n"/>
      <c r="H34" s="94" t="n"/>
    </row>
    <row r="35" ht="14.25" customHeight="1" s="57">
      <c r="B35" s="87" t="inlineStr">
        <is>
          <t>CAC ($)</t>
        </is>
      </c>
      <c r="C35" s="107">
        <f>IF(C31=0,0,C17/C31)</f>
        <v/>
      </c>
      <c r="G35" s="94" t="n"/>
      <c r="H35" s="94" t="n"/>
    </row>
    <row r="36" ht="14.25" customHeight="1" s="57">
      <c r="B36" s="87" t="inlineStr">
        <is>
          <t>LTV:CAC Ratio</t>
        </is>
      </c>
      <c r="C36" s="109">
        <f>IF(C35=0,0,C33/C35)</f>
        <v/>
      </c>
      <c r="G36" s="94" t="n"/>
      <c r="H36" s="94" t="n"/>
    </row>
    <row r="37" ht="14.25" customHeight="1" s="57">
      <c r="B37" s="94" t="n"/>
      <c r="C37" s="94" t="n"/>
      <c r="G37" s="94" t="n"/>
      <c r="H37" s="94" t="n"/>
    </row>
    <row r="38" ht="15" customHeight="1" s="57">
      <c r="B38" s="96" t="inlineStr">
        <is>
          <t>Break-even Logic</t>
        </is>
      </c>
      <c r="C38" s="97" t="n"/>
      <c r="D38" s="97" t="n"/>
      <c r="E38" s="98" t="n"/>
      <c r="G38" s="94" t="n"/>
      <c r="H38" s="94" t="n"/>
    </row>
    <row r="39" ht="14.25" customHeight="1" s="57">
      <c r="B39" s="87" t="inlineStr">
        <is>
          <t>Max Ad Cost per Unit at Break-even ($)</t>
        </is>
      </c>
      <c r="C39" s="110">
        <f>MAX(0,C24)</f>
        <v/>
      </c>
      <c r="G39" s="94" t="n"/>
      <c r="H39" s="94" t="n"/>
    </row>
    <row r="40" ht="14.25" customHeight="1" s="57">
      <c r="B40" s="87" t="inlineStr">
        <is>
          <t>Break-even ROAS (Paid Ads Only)</t>
        </is>
      </c>
      <c r="C40" s="111">
        <f>IF(C24&lt;=0,"N/A",C7/C24)</f>
        <v/>
      </c>
      <c r="G40" s="94" t="n"/>
      <c r="H40" s="94" t="n"/>
    </row>
    <row r="41" ht="14.25" customHeight="1" s="57">
      <c r="B41" s="87" t="inlineStr">
        <is>
          <t>Break-even CPA / CAC ($)</t>
        </is>
      </c>
      <c r="C41" s="110">
        <f>MAX(0,C24)</f>
        <v/>
      </c>
      <c r="G41" s="94" t="n"/>
      <c r="H41" s="94" t="n"/>
    </row>
    <row r="42" ht="14.25" customHeight="1" s="57">
      <c r="B42" s="87" t="inlineStr">
        <is>
          <t>Break-even Units</t>
        </is>
      </c>
      <c r="C42" s="112">
        <f>IF(C24&lt;=0,"N/A",CEILING((C17+C18)/C24,1))</f>
        <v/>
      </c>
      <c r="G42" s="94" t="n"/>
      <c r="H42" s="94" t="n"/>
    </row>
    <row r="43" ht="14.25" customHeight="1" s="57">
      <c r="B43" s="87" t="inlineStr">
        <is>
          <t>Break-even Revenue ($)</t>
        </is>
      </c>
      <c r="C43" s="110">
        <f>IF(ISNUMBER(C42),C42*C7,"N/A")</f>
        <v/>
      </c>
      <c r="G43" s="94" t="n"/>
      <c r="H43" s="94" t="n"/>
    </row>
  </sheetData>
  <mergeCells count="7">
    <mergeCell ref="G16:H18"/>
    <mergeCell ref="B23:E23"/>
    <mergeCell ref="B13:E13"/>
    <mergeCell ref="B6:E6"/>
    <mergeCell ref="B30:E30"/>
    <mergeCell ref="B38:E38"/>
    <mergeCell ref="B2:H3"/>
  </mergeCells>
  <conditionalFormatting sqref="H11">
    <cfRule type="dataBar" priority="2">
      <dataBar minLength="10" maxLength="90" showValue="1">
        <cfvo type="num" val="0"/>
        <cfvo type="num" val="100"/>
        <color rgb="FF00A6A6"/>
      </dataBar>
    </cfRule>
    <cfRule type="dataBar" priority="3">
      <dataBar minLength="10" maxLength="90" showValue="1">
        <cfvo type="num" val="0"/>
        <cfvo type="num" val="100"/>
        <color rgb="FF00A6A6"/>
      </dataBar>
    </cfRule>
  </conditionalFormatting>
  <conditionalFormatting sqref="C26">
    <cfRule type="cellIs" rank="0" priority="4" equalAverage="0" operator="lessThan" aboveAverage="0" dxfId="4" text="" percent="0" bottom="0">
      <formula>0</formula>
    </cfRule>
    <cfRule type="cellIs" rank="0" priority="5" equalAverage="0" operator="greaterThan" aboveAverage="0" dxfId="5" text="" percent="0" bottom="0">
      <formula>0</formula>
    </cfRule>
  </conditionalFormatting>
  <conditionalFormatting sqref="H12">
    <cfRule type="expression" rank="0" priority="6" equalAverage="0" aboveAverage="0" dxfId="5" text="" percent="0" bottom="0">
      <formula>ISNUMBER(SEARCH("Scale",H12))</formula>
    </cfRule>
    <cfRule type="expression" rank="0" priority="7" equalAverage="0" aboveAverage="0" dxfId="6" text="" percent="0" bottom="0">
      <formula>ISNUMBER(SEARCH("Optimize",H12))</formula>
    </cfRule>
    <cfRule type="expression" rank="0" priority="8" equalAverage="0" aboveAverage="0" dxfId="4" text="" percent="0" bottom="0">
      <formula>ISNUMBER(SEARCH("Avoid",H12))</formula>
    </cfRule>
  </conditionalFormatting>
  <dataValidations count="1">
    <dataValidation sqref="C9 C16 C19" showDropDown="0" showInputMessage="0" showErrorMessage="0" allowBlank="1" errorTitle="Invalid percentage" error="Enter a percentage between 0% and 100%.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G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2" activeCellId="0" sqref="F32"/>
    </sheetView>
  </sheetViews>
  <sheetFormatPr baseColWidth="8" defaultColWidth="8.66796875" defaultRowHeight="14.25" zeroHeight="0" outlineLevelRow="0"/>
  <cols>
    <col width="3" customWidth="1" style="56" min="1" max="1"/>
    <col width="34" customWidth="1" style="56" min="2" max="2"/>
    <col width="18" customWidth="1" style="56" min="3" max="7"/>
  </cols>
  <sheetData>
    <row r="2" ht="14.25" customHeight="1" s="57">
      <c r="B2" s="73" t="inlineStr">
        <is>
          <t>Business Scenario Analysis</t>
        </is>
      </c>
    </row>
    <row r="3" ht="14.25" customHeight="1" s="57"/>
    <row r="5" ht="14.25" customHeight="1" s="57">
      <c r="B5" s="113" t="inlineStr">
        <is>
          <t>Metric</t>
        </is>
      </c>
      <c r="C5" s="113" t="inlineStr">
        <is>
          <t>Base Case</t>
        </is>
      </c>
      <c r="D5" s="113" t="inlineStr">
        <is>
          <t>Scenario A</t>
        </is>
      </c>
      <c r="E5" s="113" t="inlineStr">
        <is>
          <t>Scenario B</t>
        </is>
      </c>
      <c r="F5" s="113" t="inlineStr">
        <is>
          <t>Scenario C</t>
        </is>
      </c>
    </row>
    <row r="6" ht="14.25" customHeight="1" s="57">
      <c r="B6" s="87" t="inlineStr">
        <is>
          <t>Selling Price ($)</t>
        </is>
      </c>
      <c r="C6" s="92">
        <f>'Profit Calculator'!C7</f>
        <v/>
      </c>
      <c r="D6" s="99" t="n">
        <v>49.99</v>
      </c>
      <c r="E6" s="99" t="n">
        <v>49.99</v>
      </c>
      <c r="F6" s="99" t="n">
        <v>49.99</v>
      </c>
    </row>
    <row r="7" ht="14.25" customHeight="1" s="57">
      <c r="B7" s="87" t="inlineStr">
        <is>
          <t>Product Cost ($)</t>
        </is>
      </c>
      <c r="C7" s="92">
        <f>'Profit Calculator'!C14</f>
        <v/>
      </c>
      <c r="D7" s="99" t="n">
        <v>15</v>
      </c>
      <c r="E7" s="99" t="n">
        <v>15</v>
      </c>
      <c r="F7" s="99" t="n">
        <v>16</v>
      </c>
    </row>
    <row r="8" ht="14.25" customHeight="1" s="57">
      <c r="B8" s="87" t="inlineStr">
        <is>
          <t>Shipping ($)</t>
        </is>
      </c>
      <c r="C8" s="92">
        <f>'Profit Calculator'!C15</f>
        <v/>
      </c>
      <c r="D8" s="99" t="n">
        <v>5</v>
      </c>
      <c r="E8" s="99" t="n">
        <v>6</v>
      </c>
      <c r="F8" s="99" t="n">
        <v>6</v>
      </c>
    </row>
    <row r="9" ht="14.25" customHeight="1" s="57">
      <c r="B9" s="87" t="inlineStr">
        <is>
          <t>Fee %</t>
        </is>
      </c>
      <c r="C9" s="114">
        <f>'Profit Calculator'!C16</f>
        <v/>
      </c>
      <c r="D9" s="90" t="n">
        <v>0.03</v>
      </c>
      <c r="E9" s="90" t="n">
        <v>0.03</v>
      </c>
      <c r="F9" s="90" t="n">
        <v>0.035</v>
      </c>
    </row>
    <row r="10" ht="14.25" customHeight="1" s="57">
      <c r="B10" s="87" t="inlineStr">
        <is>
          <t>Ad Spend ($)</t>
        </is>
      </c>
      <c r="C10" s="92">
        <f>'Profit Calculator'!C17</f>
        <v/>
      </c>
      <c r="D10" s="99" t="n">
        <v>300</v>
      </c>
      <c r="E10" s="99" t="n">
        <v>500</v>
      </c>
      <c r="F10" s="99" t="n">
        <v>800</v>
      </c>
    </row>
    <row r="11" ht="14.25" customHeight="1" s="57">
      <c r="B11" s="87" t="inlineStr">
        <is>
          <t>Units Sold</t>
        </is>
      </c>
      <c r="C11" s="89">
        <f>'Profit Calculator'!C8</f>
        <v/>
      </c>
      <c r="D11" s="88" t="n">
        <v>100</v>
      </c>
      <c r="E11" s="88" t="n">
        <v>150</v>
      </c>
      <c r="F11" s="88" t="n">
        <v>220</v>
      </c>
    </row>
    <row r="12" ht="14.25" customHeight="1" s="57">
      <c r="B12" s="87" t="inlineStr">
        <is>
          <t>Organic Sales %</t>
        </is>
      </c>
      <c r="C12" s="114">
        <f>'Profit Calculator'!C9</f>
        <v/>
      </c>
      <c r="D12" s="90" t="n">
        <v>0.2</v>
      </c>
      <c r="E12" s="90" t="n">
        <v>0.15</v>
      </c>
      <c r="F12" s="90" t="n">
        <v>0.1</v>
      </c>
    </row>
    <row r="13" ht="14.25" customHeight="1" s="57">
      <c r="B13" s="87" t="inlineStr">
        <is>
          <t>Revenue ($)</t>
        </is>
      </c>
      <c r="C13" s="107">
        <f>C6*C11</f>
        <v/>
      </c>
      <c r="D13" s="107">
        <f>D6*D11</f>
        <v/>
      </c>
      <c r="E13" s="107">
        <f>E6*E11</f>
        <v/>
      </c>
      <c r="F13" s="107">
        <f>F6*F11</f>
        <v/>
      </c>
    </row>
    <row r="14" ht="14.25" customHeight="1" s="57">
      <c r="B14" s="87" t="inlineStr">
        <is>
          <t>Paid Ads Revenue ($)</t>
        </is>
      </c>
      <c r="C14" s="107">
        <f>C13*(1-C12)</f>
        <v/>
      </c>
      <c r="D14" s="107">
        <f>D13*(1-D12)</f>
        <v/>
      </c>
      <c r="E14" s="107">
        <f>E13*(1-E12)</f>
        <v/>
      </c>
      <c r="F14" s="107">
        <f>F13*(1-F12)</f>
        <v/>
      </c>
    </row>
    <row r="15" ht="14.25" customHeight="1" s="57">
      <c r="B15" s="87" t="inlineStr">
        <is>
          <t>Contribution Margin ($)</t>
        </is>
      </c>
      <c r="C15" s="107">
        <f>C6-C7-C8-(C9*C6)</f>
        <v/>
      </c>
      <c r="D15" s="107">
        <f>D6-D7-D8-(D9*D6)</f>
        <v/>
      </c>
      <c r="E15" s="107">
        <f>E6-E7-E8-(E9*E6)</f>
        <v/>
      </c>
      <c r="F15" s="107">
        <f>F6-F7-F8-(F9*F6)</f>
        <v/>
      </c>
    </row>
    <row r="16" ht="14.25" customHeight="1" s="57">
      <c r="B16" s="87" t="inlineStr">
        <is>
          <t>Total Costs ($)</t>
        </is>
      </c>
      <c r="C16" s="107">
        <f>((C7+C8)*C11)+(C9*C13)+C10</f>
        <v/>
      </c>
      <c r="D16" s="107">
        <f>((D7+D8)*D11)+(D9*D13)+D10</f>
        <v/>
      </c>
      <c r="E16" s="107">
        <f>((E7+E8)*E11)+(E9*E13)+E10</f>
        <v/>
      </c>
      <c r="F16" s="107">
        <f>((F7+F8)*F11)+(F9*F13)+F10</f>
        <v/>
      </c>
    </row>
    <row r="17" ht="14.25" customHeight="1" s="57">
      <c r="B17" s="87" t="inlineStr">
        <is>
          <t>Net Profit ($)</t>
        </is>
      </c>
      <c r="C17" s="107">
        <f>C13-C16</f>
        <v/>
      </c>
      <c r="D17" s="107">
        <f>D13-D16</f>
        <v/>
      </c>
      <c r="E17" s="107">
        <f>E13-E16</f>
        <v/>
      </c>
      <c r="F17" s="107">
        <f>F13-F16</f>
        <v/>
      </c>
    </row>
    <row r="18" ht="14.25" customHeight="1" s="57">
      <c r="B18" s="87" t="inlineStr">
        <is>
          <t>Profit Margin</t>
        </is>
      </c>
      <c r="C18" s="108">
        <f>IF(C13=0,0,C17/C13)</f>
        <v/>
      </c>
      <c r="D18" s="108">
        <f>IF(D13=0,0,D17/D13)</f>
        <v/>
      </c>
      <c r="E18" s="108">
        <f>IF(E13=0,0,E17/E13)</f>
        <v/>
      </c>
      <c r="F18" s="108">
        <f>IF(F13=0,0,F17/F13)</f>
        <v/>
      </c>
    </row>
    <row r="19" ht="14.25" customHeight="1" s="57">
      <c r="B19" s="87" t="inlineStr">
        <is>
          <t>ROAS</t>
        </is>
      </c>
      <c r="C19" s="109">
        <f>IF(C10=0,0,C14/C10)</f>
        <v/>
      </c>
      <c r="D19" s="109">
        <f>IF(D10=0,0,D14/D10)</f>
        <v/>
      </c>
      <c r="E19" s="109">
        <f>IF(E10=0,0,E14/E10)</f>
        <v/>
      </c>
      <c r="F19" s="109">
        <f>IF(F10=0,0,F14/F10)</f>
        <v/>
      </c>
    </row>
    <row r="20" ht="14.25" customHeight="1" s="57">
      <c r="B20" s="87" t="inlineStr">
        <is>
          <t>Break-even ROAS</t>
        </is>
      </c>
      <c r="C20" s="109">
        <f>IF(C15&lt;=0,"N/A",C6/C15)</f>
        <v/>
      </c>
      <c r="D20" s="109">
        <f>IF(D15&lt;=0,"N/A",D6/D15)</f>
        <v/>
      </c>
      <c r="E20" s="109">
        <f>IF(E15&lt;=0,"N/A",E6/E15)</f>
        <v/>
      </c>
      <c r="F20" s="109">
        <f>IF(F15&lt;=0,"N/A",F6/F15)</f>
        <v/>
      </c>
    </row>
    <row r="21" ht="14.25" customHeight="1" s="57">
      <c r="B21" s="87" t="inlineStr">
        <is>
          <t>Decision</t>
        </is>
      </c>
      <c r="C21" s="115">
        <f>IF(C17&gt;0,IF(C19&gt;=C20,"Good","Risky")," Loss")</f>
        <v/>
      </c>
      <c r="D21" s="115">
        <f>IF(D17&gt;0,IF(D19&gt;=D20,"Good","Risky"),"Loss")</f>
        <v/>
      </c>
      <c r="E21" s="115">
        <f>IF(E17&gt;0,IF(E19&gt;=E20,"Good","Risky"),"Loss")</f>
        <v/>
      </c>
      <c r="F21" s="115">
        <f>IF(F17&gt;0,IF(F19&gt;=F20,"Good","Risky"),"Loss")</f>
        <v/>
      </c>
    </row>
  </sheetData>
  <mergeCells count="1">
    <mergeCell ref="B2:G3"/>
  </mergeCells>
  <conditionalFormatting sqref="C21:F21">
    <cfRule type="expression" rank="0" priority="2" equalAverage="0" aboveAverage="0" dxfId="5" text="" percent="0" bottom="0">
      <formula>ISNUMBER(SEARCH("Good",C21))</formula>
    </cfRule>
    <cfRule type="expression" rank="0" priority="3" equalAverage="0" aboveAverage="0" dxfId="6" text="" percent="0" bottom="0">
      <formula>ISNUMBER(SEARCH("Risky",C21))</formula>
    </cfRule>
    <cfRule type="expression" rank="0" priority="4" equalAverage="0" aboveAverage="0" dxfId="4" text="" percent="0" bottom="0">
      <formula>ISNUMBER(SEARCH("Loss",C21))</formula>
    </cfRule>
  </conditionalFormatting>
  <dataValidations count="1">
    <dataValidation sqref="D9:F9 D12:F12" showDropDown="0" showInputMessage="0" showErrorMessage="0" allowBlank="1" errorTitle="Invalid percentage" error="Enter a percentage between 0% and 100%.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E5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9.859999999999999" customWidth="1" style="56" min="1" max="1"/>
    <col width="11.93" customWidth="1" style="56" min="2" max="2"/>
    <col width="6.53" customWidth="1" style="56" min="3" max="3"/>
    <col width="8.470000000000001" customWidth="1" style="56" min="4" max="4"/>
    <col width="10.59" customWidth="1" style="56" min="5" max="5"/>
    <col width="9.67" customWidth="1" style="56" min="6" max="6"/>
    <col width="12.47" customWidth="1" style="56" min="7" max="7"/>
    <col width="14.73" customWidth="1" style="56" min="8" max="8"/>
    <col width="11.47" customWidth="1" style="56" min="9" max="9"/>
    <col width="16.58" customWidth="1" style="56" min="10" max="10"/>
    <col width="10.47" customWidth="1" style="56" min="11" max="11"/>
    <col width="18.6" customWidth="1" style="56" min="12" max="12"/>
    <col width="10.2" customWidth="1" style="56" min="13" max="13"/>
    <col width="10" customWidth="1" style="56" min="14" max="14"/>
    <col width="14" customWidth="1" style="56" min="15" max="15"/>
    <col width="7.67" customWidth="1" style="56" min="16" max="16"/>
    <col width="16.26" customWidth="1" style="56" min="17" max="17"/>
    <col width="7.2" customWidth="1" style="56" min="18" max="18"/>
    <col width="10.06" customWidth="1" style="56" min="19" max="19"/>
    <col width="13.26" customWidth="1" style="56" min="20" max="20"/>
    <col width="14.53" customWidth="1" style="56" min="21" max="21"/>
    <col width="10.59" customWidth="1" style="56" min="22" max="22"/>
    <col width="12.47" customWidth="1" style="56" min="23" max="23"/>
    <col width="12.79" customWidth="1" style="56" min="24" max="24"/>
    <col width="11" customWidth="1" style="56" min="25" max="25"/>
    <col width="10.79" customWidth="1" style="56" min="26" max="26"/>
    <col width="10.53" customWidth="1" style="56" min="27" max="27"/>
    <col width="7.47" customWidth="1" style="56" min="28" max="28"/>
    <col width="13.2" customWidth="1" style="56" min="29" max="29"/>
    <col width="12.2" customWidth="1" style="56" min="30" max="30"/>
    <col width="13.73" customWidth="1" style="56" min="31" max="31"/>
  </cols>
  <sheetData>
    <row r="1" ht="14.25" customHeight="1" s="57">
      <c r="A1" s="56" t="inlineStr">
        <is>
          <t>Order ID</t>
        </is>
      </c>
      <c r="B1" s="56" t="inlineStr">
        <is>
          <t>Order Date</t>
        </is>
      </c>
      <c r="C1" s="56" t="inlineStr">
        <is>
          <t>Year</t>
        </is>
      </c>
      <c r="D1" s="56" t="inlineStr">
        <is>
          <t>Month</t>
        </is>
      </c>
      <c r="E1" s="56" t="inlineStr">
        <is>
          <t>Country</t>
        </is>
      </c>
      <c r="F1" s="56" t="inlineStr">
        <is>
          <t>City</t>
        </is>
      </c>
      <c r="G1" s="56" t="inlineStr">
        <is>
          <t>Channel</t>
        </is>
      </c>
      <c r="H1" s="56" t="inlineStr">
        <is>
          <t>Campaign</t>
        </is>
      </c>
      <c r="I1" s="56" t="inlineStr">
        <is>
          <t>Product ID</t>
        </is>
      </c>
      <c r="J1" s="56" t="inlineStr">
        <is>
          <t>Product</t>
        </is>
      </c>
      <c r="K1" s="56" t="inlineStr">
        <is>
          <t>Category</t>
        </is>
      </c>
      <c r="L1" s="56" t="inlineStr">
        <is>
          <t>Supplier</t>
        </is>
      </c>
      <c r="M1" s="56" t="inlineStr">
        <is>
          <t>Sell Price</t>
        </is>
      </c>
      <c r="N1" s="56" t="inlineStr">
        <is>
          <t>Buy Cost</t>
        </is>
      </c>
      <c r="O1" s="56" t="inlineStr">
        <is>
          <t>Shipping Cost</t>
        </is>
      </c>
      <c r="P1" s="56" t="inlineStr">
        <is>
          <t>Fee %</t>
        </is>
      </c>
      <c r="Q1" s="56" t="inlineStr">
        <is>
          <t>Advertising Cost</t>
        </is>
      </c>
      <c r="R1" s="56" t="inlineStr">
        <is>
          <t>Units</t>
        </is>
      </c>
      <c r="S1" s="56" t="inlineStr">
        <is>
          <t>Revenue</t>
        </is>
      </c>
      <c r="T1" s="56" t="inlineStr">
        <is>
          <t>Product Cost</t>
        </is>
      </c>
      <c r="U1" s="56" t="inlineStr">
        <is>
          <t>Shipping Total</t>
        </is>
      </c>
      <c r="V1" s="56" t="inlineStr">
        <is>
          <t>Fees Cost</t>
        </is>
      </c>
      <c r="W1" s="56" t="inlineStr">
        <is>
          <t>Refund Flag</t>
        </is>
      </c>
      <c r="X1" s="56" t="inlineStr">
        <is>
          <t>Refund Cost</t>
        </is>
      </c>
      <c r="Y1" s="56" t="inlineStr">
        <is>
          <t>Total Cost</t>
        </is>
      </c>
      <c r="Z1" s="56" t="inlineStr">
        <is>
          <t>Net Profit</t>
        </is>
      </c>
      <c r="AA1" s="56" t="inlineStr">
        <is>
          <t>Margin %</t>
        </is>
      </c>
      <c r="AB1" s="56" t="inlineStr">
        <is>
          <t>ROAS</t>
        </is>
      </c>
      <c r="AC1" s="56" t="inlineStr">
        <is>
          <t>Order Status</t>
        </is>
      </c>
      <c r="AD1" s="56" t="inlineStr">
        <is>
          <t>Profit Tier</t>
        </is>
      </c>
      <c r="AE1" s="56" t="inlineStr">
        <is>
          <t>Month Name</t>
        </is>
      </c>
    </row>
    <row r="2" ht="14.25" customHeight="1" s="57">
      <c r="A2" s="56" t="inlineStr">
        <is>
          <t>ORD-00067</t>
        </is>
      </c>
      <c r="B2" s="116" t="n">
        <v>45659</v>
      </c>
      <c r="C2" s="56" t="n">
        <v>2025</v>
      </c>
      <c r="D2" s="56" t="n">
        <v>1</v>
      </c>
      <c r="E2" s="56" t="inlineStr">
        <is>
          <t>Saudi Arabia</t>
        </is>
      </c>
      <c r="F2" s="56" t="inlineStr">
        <is>
          <t>Riyadh</t>
        </is>
      </c>
      <c r="G2" s="56" t="inlineStr">
        <is>
          <t>Influencer</t>
        </is>
      </c>
      <c r="H2" s="56" t="inlineStr">
        <is>
          <t>New Creative A/B</t>
        </is>
      </c>
      <c r="I2" s="56" t="inlineStr">
        <is>
          <t>P010</t>
        </is>
      </c>
      <c r="J2" s="56" t="inlineStr">
        <is>
          <t>Smart Water Bottle</t>
        </is>
      </c>
      <c r="K2" s="56" t="inlineStr">
        <is>
          <t>Lifestyle</t>
        </is>
      </c>
      <c r="L2" s="56" t="inlineStr">
        <is>
          <t>Shenzhen Smart Home</t>
        </is>
      </c>
      <c r="M2" s="56" t="n">
        <v>36.23</v>
      </c>
      <c r="N2" s="56" t="n">
        <v>10.63</v>
      </c>
      <c r="O2" s="56" t="n">
        <v>3.93</v>
      </c>
      <c r="P2" s="56" t="n">
        <v>0.03</v>
      </c>
      <c r="Q2" s="56" t="n">
        <v>18.35</v>
      </c>
      <c r="R2" s="56" t="n">
        <v>2</v>
      </c>
      <c r="S2" s="56">
        <f>IF(AC2="Cancelled",0,M2*R2)</f>
        <v/>
      </c>
      <c r="T2" s="56">
        <f>IF(AC2="Cancelled",0,N2*R2)</f>
        <v/>
      </c>
      <c r="U2" s="56">
        <f>IF(AC2="Cancelled",0,O2*R2)</f>
        <v/>
      </c>
      <c r="V2" s="56">
        <f>IF(AC2="Cancelled",0,ROUND(P2*S2,2))</f>
        <v/>
      </c>
      <c r="W2" s="56" t="inlineStr">
        <is>
          <t>No</t>
        </is>
      </c>
      <c r="X2" s="56" t="n">
        <v>0</v>
      </c>
      <c r="Y2" s="56">
        <f>IF(AC2="Cancelled",0,T2+U2+V2+Q2+X2)</f>
        <v/>
      </c>
      <c r="Z2" s="56">
        <f>IF(AC2="Cancelled",-Q2,S2-Y2)</f>
        <v/>
      </c>
      <c r="AA2" s="56">
        <f>IF(OR(AC2="Cancelled",S2=0),0,Z2/S2)</f>
        <v/>
      </c>
      <c r="AB2" s="56">
        <f>IFERROR(IF(Q2=0,0,S2/Q2),0)</f>
        <v/>
      </c>
      <c r="AC2" s="56" t="inlineStr">
        <is>
          <t>Delivered</t>
        </is>
      </c>
      <c r="AD2" s="56">
        <f>IF(Z2&lt;=0,"Low Profit",IF(Z2&gt;=50,"HighProfit","Medium Profit"))</f>
        <v/>
      </c>
      <c r="AE2" s="56">
        <f>TEXT(B2,"mmmm")</f>
        <v/>
      </c>
    </row>
    <row r="3" ht="14.25" customHeight="1" s="57">
      <c r="A3" s="56" t="inlineStr">
        <is>
          <t>ORD-00475</t>
        </is>
      </c>
      <c r="B3" s="116" t="n">
        <v>45659</v>
      </c>
      <c r="C3" s="56" t="n">
        <v>2025</v>
      </c>
      <c r="D3" s="56" t="n">
        <v>1</v>
      </c>
      <c r="E3" s="56" t="inlineStr">
        <is>
          <t>Oman</t>
        </is>
      </c>
      <c r="F3" s="56" t="inlineStr">
        <is>
          <t>Muscat</t>
        </is>
      </c>
      <c r="G3" s="56" t="inlineStr">
        <is>
          <t>Organic Search</t>
        </is>
      </c>
      <c r="H3" s="56" t="inlineStr">
        <is>
          <t>New Creative A/B</t>
        </is>
      </c>
      <c r="I3" s="56" t="inlineStr">
        <is>
          <t>P009</t>
        </is>
      </c>
      <c r="J3" s="56" t="inlineStr">
        <is>
          <t>Car Vacuum Cleaner</t>
        </is>
      </c>
      <c r="K3" s="56" t="inlineStr">
        <is>
          <t>Automotive</t>
        </is>
      </c>
      <c r="L3" s="56" t="inlineStr">
        <is>
          <t>Dongguan Auto Tools</t>
        </is>
      </c>
      <c r="M3" s="56" t="n">
        <v>46.71</v>
      </c>
      <c r="N3" s="56" t="n">
        <v>13.78</v>
      </c>
      <c r="O3" s="56" t="n">
        <v>6</v>
      </c>
      <c r="P3" s="56" t="n">
        <v>0.03</v>
      </c>
      <c r="Q3" s="56" t="n">
        <v>0</v>
      </c>
      <c r="R3" s="56" t="n">
        <v>3</v>
      </c>
      <c r="S3" s="56">
        <f>IF(AC3="Cancelled",0,M3*R3)</f>
        <v/>
      </c>
      <c r="T3" s="56">
        <f>IF(AC3="Cancelled",0,N3*R3)</f>
        <v/>
      </c>
      <c r="U3" s="56">
        <f>IF(AC3="Cancelled",0,O3*R3)</f>
        <v/>
      </c>
      <c r="V3" s="56">
        <f>IF(AC3="Cancelled",0,ROUND(P3*S3,2))</f>
        <v/>
      </c>
      <c r="W3" s="56" t="inlineStr">
        <is>
          <t>No</t>
        </is>
      </c>
      <c r="X3" s="56" t="n">
        <v>0</v>
      </c>
      <c r="Y3" s="56">
        <f>IF(AC3="Cancelled",0,T3+U3+V3+Q3+X3)</f>
        <v/>
      </c>
      <c r="Z3" s="56">
        <f>IF(AC3="Cancelled",-Q3,S3-Y3)</f>
        <v/>
      </c>
      <c r="AA3" s="56">
        <f>IF(OR(AC3="Cancelled",S3=0),0,Z3/S3)</f>
        <v/>
      </c>
      <c r="AB3" s="56">
        <f>IFERROR(IF(Q3=0,0,S3/Q3),0)</f>
        <v/>
      </c>
      <c r="AC3" s="56" t="inlineStr">
        <is>
          <t>Delivered</t>
        </is>
      </c>
      <c r="AD3" s="56">
        <f>IF(Z3&lt;=0,"Low Profit",IF(Z3&gt;=50,"HighProfit","Medium Profit"))</f>
        <v/>
      </c>
      <c r="AE3" s="56">
        <f>TEXT(B3,"mmmm")</f>
        <v/>
      </c>
    </row>
    <row r="4" ht="14.25" customHeight="1" s="57">
      <c r="A4" s="56" t="inlineStr">
        <is>
          <t>ORD-00241</t>
        </is>
      </c>
      <c r="B4" s="116" t="n">
        <v>45660</v>
      </c>
      <c r="C4" s="56" t="n">
        <v>2025</v>
      </c>
      <c r="D4" s="56" t="n">
        <v>1</v>
      </c>
      <c r="E4" s="56" t="inlineStr">
        <is>
          <t>UAE</t>
        </is>
      </c>
      <c r="F4" s="56" t="inlineStr">
        <is>
          <t>Dubai</t>
        </is>
      </c>
      <c r="G4" s="56" t="inlineStr">
        <is>
          <t>Email</t>
        </is>
      </c>
      <c r="H4" s="56" t="inlineStr">
        <is>
          <t>Retargeting</t>
        </is>
      </c>
      <c r="I4" s="56" t="inlineStr">
        <is>
          <t>P003</t>
        </is>
      </c>
      <c r="J4" s="56" t="inlineStr">
        <is>
          <t>LED Strip Lights</t>
        </is>
      </c>
      <c r="K4" s="56" t="inlineStr">
        <is>
          <t>Home Decor</t>
        </is>
      </c>
      <c r="L4" s="56" t="inlineStr">
        <is>
          <t>Yiwu Lighting Factory</t>
        </is>
      </c>
      <c r="M4" s="56" t="n">
        <v>27.16</v>
      </c>
      <c r="N4" s="56" t="n">
        <v>5.99</v>
      </c>
      <c r="O4" s="56" t="n">
        <v>3.73</v>
      </c>
      <c r="P4" s="56" t="n">
        <v>0.03</v>
      </c>
      <c r="Q4" s="56" t="n">
        <v>22.04</v>
      </c>
      <c r="R4" s="56" t="n">
        <v>3</v>
      </c>
      <c r="S4" s="56">
        <f>IF(AC4="Cancelled",0,M4*R4)</f>
        <v/>
      </c>
      <c r="T4" s="56">
        <f>IF(AC4="Cancelled",0,N4*R4)</f>
        <v/>
      </c>
      <c r="U4" s="56">
        <f>IF(AC4="Cancelled",0,O4*R4)</f>
        <v/>
      </c>
      <c r="V4" s="56">
        <f>IF(AC4="Cancelled",0,ROUND(P4*S4,2))</f>
        <v/>
      </c>
      <c r="W4" s="56" t="inlineStr">
        <is>
          <t>No</t>
        </is>
      </c>
      <c r="X4" s="56" t="n">
        <v>0</v>
      </c>
      <c r="Y4" s="56">
        <f>IF(AC4="Cancelled",0,T4+U4+V4+Q4+X4)</f>
        <v/>
      </c>
      <c r="Z4" s="56">
        <f>IF(AC4="Cancelled",-Q4,S4-Y4)</f>
        <v/>
      </c>
      <c r="AA4" s="56">
        <f>IF(OR(AC4="Cancelled",S4=0),0,Z4/S4)</f>
        <v/>
      </c>
      <c r="AB4" s="56">
        <f>IFERROR(IF(Q4=0,0,S4/Q4),0)</f>
        <v/>
      </c>
      <c r="AC4" s="56" t="inlineStr">
        <is>
          <t>Delivered</t>
        </is>
      </c>
      <c r="AD4" s="56">
        <f>IF(Z4&lt;=0,"Low Profit",IF(Z4&gt;=50,"HighProfit","Medium Profit"))</f>
        <v/>
      </c>
      <c r="AE4" s="56">
        <f>TEXT(B4,"mmmm")</f>
        <v/>
      </c>
    </row>
    <row r="5" ht="14.25" customHeight="1" s="57">
      <c r="A5" s="56" t="inlineStr">
        <is>
          <t>ORD-00459</t>
        </is>
      </c>
      <c r="B5" s="116" t="n">
        <v>45660</v>
      </c>
      <c r="C5" s="56" t="n">
        <v>2025</v>
      </c>
      <c r="D5" s="56" t="n">
        <v>1</v>
      </c>
      <c r="E5" s="56" t="inlineStr">
        <is>
          <t>Oman</t>
        </is>
      </c>
      <c r="F5" s="56" t="inlineStr">
        <is>
          <t>Muscat</t>
        </is>
      </c>
      <c r="G5" s="56" t="inlineStr">
        <is>
          <t>Email</t>
        </is>
      </c>
      <c r="H5" s="56" t="inlineStr">
        <is>
          <t>Summer Sale</t>
        </is>
      </c>
      <c r="I5" s="56" t="inlineStr">
        <is>
          <t>P005</t>
        </is>
      </c>
      <c r="J5" s="56" t="inlineStr">
        <is>
          <t>Mini Printer</t>
        </is>
      </c>
      <c r="K5" s="56" t="inlineStr">
        <is>
          <t>Electronics</t>
        </is>
      </c>
      <c r="L5" s="56" t="inlineStr">
        <is>
          <t>Shenzhen Print Tech</t>
        </is>
      </c>
      <c r="M5" s="56" t="n">
        <v>65.77</v>
      </c>
      <c r="N5" s="56" t="n">
        <v>21.01</v>
      </c>
      <c r="O5" s="56" t="n">
        <v>7.19</v>
      </c>
      <c r="P5" s="56" t="n">
        <v>0.03</v>
      </c>
      <c r="Q5" s="56" t="n">
        <v>9.619999999999999</v>
      </c>
      <c r="R5" s="56" t="n">
        <v>1</v>
      </c>
      <c r="S5" s="56">
        <f>IF(AC5="Cancelled",0,M5*R5)</f>
        <v/>
      </c>
      <c r="T5" s="56">
        <f>IF(AC5="Cancelled",0,N5*R5)</f>
        <v/>
      </c>
      <c r="U5" s="56">
        <f>IF(AC5="Cancelled",0,O5*R5)</f>
        <v/>
      </c>
      <c r="V5" s="56">
        <f>IF(AC5="Cancelled",0,ROUND(P5*S5,2))</f>
        <v/>
      </c>
      <c r="W5" s="56" t="inlineStr">
        <is>
          <t>No</t>
        </is>
      </c>
      <c r="X5" s="56" t="n">
        <v>0</v>
      </c>
      <c r="Y5" s="56">
        <f>IF(AC5="Cancelled",0,T5+U5+V5+Q5+X5)</f>
        <v/>
      </c>
      <c r="Z5" s="56">
        <f>IF(AC5="Cancelled",-Q5,S5-Y5)</f>
        <v/>
      </c>
      <c r="AA5" s="56">
        <f>IF(OR(AC5="Cancelled",S5=0),0,Z5/S5)</f>
        <v/>
      </c>
      <c r="AB5" s="56">
        <f>IFERROR(IF(Q5=0,0,S5/Q5),0)</f>
        <v/>
      </c>
      <c r="AC5" s="56" t="inlineStr">
        <is>
          <t>Delivered</t>
        </is>
      </c>
      <c r="AD5" s="56">
        <f>IF(Z5&lt;=0,"Low Profit",IF(Z5&gt;=50,"HighProfit","Medium Profit"))</f>
        <v/>
      </c>
      <c r="AE5" s="56">
        <f>TEXT(B5,"mmmm")</f>
        <v/>
      </c>
    </row>
    <row r="6" ht="14.25" customHeight="1" s="57">
      <c r="A6" s="56" t="inlineStr">
        <is>
          <t>ORD-00054</t>
        </is>
      </c>
      <c r="B6" s="116" t="n">
        <v>45661</v>
      </c>
      <c r="C6" s="56" t="n">
        <v>2025</v>
      </c>
      <c r="D6" s="56" t="n">
        <v>1</v>
      </c>
      <c r="E6" s="56" t="inlineStr">
        <is>
          <t>Saudi Arabia</t>
        </is>
      </c>
      <c r="F6" s="56" t="inlineStr">
        <is>
          <t>Jeddah</t>
        </is>
      </c>
      <c r="G6" s="56" t="inlineStr">
        <is>
          <t>Google Ads</t>
        </is>
      </c>
      <c r="H6" s="56" t="inlineStr">
        <is>
          <t>Retargeting</t>
        </is>
      </c>
      <c r="I6" s="56" t="inlineStr">
        <is>
          <t>P009</t>
        </is>
      </c>
      <c r="J6" s="56" t="inlineStr">
        <is>
          <t>Car Vacuum Cleaner</t>
        </is>
      </c>
      <c r="K6" s="56" t="inlineStr">
        <is>
          <t>Automotive</t>
        </is>
      </c>
      <c r="L6" s="56" t="inlineStr">
        <is>
          <t>Dongguan Auto Tools</t>
        </is>
      </c>
      <c r="M6" s="56" t="n">
        <v>41.33</v>
      </c>
      <c r="N6" s="56" t="n">
        <v>15.02</v>
      </c>
      <c r="O6" s="56" t="n">
        <v>7.07</v>
      </c>
      <c r="P6" s="56" t="n">
        <v>0.03</v>
      </c>
      <c r="Q6" s="56" t="n">
        <v>27.25</v>
      </c>
      <c r="R6" s="56" t="n">
        <v>3</v>
      </c>
      <c r="S6" s="56">
        <f>IF(AC6="Cancelled",0,M6*R6)</f>
        <v/>
      </c>
      <c r="T6" s="56">
        <f>IF(AC6="Cancelled",0,N6*R6)</f>
        <v/>
      </c>
      <c r="U6" s="56">
        <f>IF(AC6="Cancelled",0,O6*R6)</f>
        <v/>
      </c>
      <c r="V6" s="56">
        <f>IF(AC6="Cancelled",0,ROUND(P6*S6,2))</f>
        <v/>
      </c>
      <c r="W6" s="56" t="inlineStr">
        <is>
          <t>No</t>
        </is>
      </c>
      <c r="X6" s="56" t="n">
        <v>0</v>
      </c>
      <c r="Y6" s="56">
        <f>IF(AC6="Cancelled",0,T6+U6+V6+Q6+X6)</f>
        <v/>
      </c>
      <c r="Z6" s="56">
        <f>IF(AC6="Cancelled",-Q6,S6-Y6)</f>
        <v/>
      </c>
      <c r="AA6" s="56">
        <f>IF(OR(AC6="Cancelled",S6=0),0,Z6/S6)</f>
        <v/>
      </c>
      <c r="AB6" s="56">
        <f>IFERROR(IF(Q6=0,0,S6/Q6),0)</f>
        <v/>
      </c>
      <c r="AC6" s="56" t="inlineStr">
        <is>
          <t>Delivered</t>
        </is>
      </c>
      <c r="AD6" s="56">
        <f>IF(Z6&lt;=0,"Low Profit",IF(Z6&gt;=50,"HighProfit","Medium Profit"))</f>
        <v/>
      </c>
      <c r="AE6" s="56">
        <f>TEXT(B6,"mmmm")</f>
        <v/>
      </c>
    </row>
    <row r="7" ht="14.25" customHeight="1" s="57">
      <c r="A7" s="56" t="inlineStr">
        <is>
          <t>ORD-00386</t>
        </is>
      </c>
      <c r="B7" s="116" t="n">
        <v>45661</v>
      </c>
      <c r="C7" s="56" t="n">
        <v>2025</v>
      </c>
      <c r="D7" s="56" t="n">
        <v>1</v>
      </c>
      <c r="E7" s="56" t="inlineStr">
        <is>
          <t>Qatar</t>
        </is>
      </c>
      <c r="F7" s="56" t="inlineStr">
        <is>
          <t>Doha</t>
        </is>
      </c>
      <c r="G7" s="56" t="inlineStr">
        <is>
          <t>Email</t>
        </is>
      </c>
      <c r="H7" s="56" t="inlineStr">
        <is>
          <t>Retargeting</t>
        </is>
      </c>
      <c r="I7" s="56" t="inlineStr">
        <is>
          <t>P006</t>
        </is>
      </c>
      <c r="J7" s="56" t="inlineStr">
        <is>
          <t>Posture Corrector</t>
        </is>
      </c>
      <c r="K7" s="56" t="inlineStr">
        <is>
          <t>Fitness</t>
        </is>
      </c>
      <c r="L7" s="56" t="inlineStr">
        <is>
          <t>Hangzhou Health Gear</t>
        </is>
      </c>
      <c r="M7" s="56" t="n">
        <v>36.04</v>
      </c>
      <c r="N7" s="56" t="n">
        <v>8.56</v>
      </c>
      <c r="O7" s="56" t="n">
        <v>3.75</v>
      </c>
      <c r="P7" s="56" t="n">
        <v>0.03</v>
      </c>
      <c r="Q7" s="56" t="n">
        <v>8.57</v>
      </c>
      <c r="R7" s="56" t="n">
        <v>1</v>
      </c>
      <c r="S7" s="56">
        <f>IF(AC7="Cancelled",0,M7*R7)</f>
        <v/>
      </c>
      <c r="T7" s="56">
        <f>IF(AC7="Cancelled",0,N7*R7)</f>
        <v/>
      </c>
      <c r="U7" s="56">
        <f>IF(AC7="Cancelled",0,O7*R7)</f>
        <v/>
      </c>
      <c r="V7" s="56">
        <f>IF(AC7="Cancelled",0,ROUND(P7*S7,2))</f>
        <v/>
      </c>
      <c r="W7" s="56" t="inlineStr">
        <is>
          <t>No</t>
        </is>
      </c>
      <c r="X7" s="56" t="n">
        <v>0</v>
      </c>
      <c r="Y7" s="56">
        <f>IF(AC7="Cancelled",0,T7+U7+V7+Q7+X7)</f>
        <v/>
      </c>
      <c r="Z7" s="56">
        <f>IF(AC7="Cancelled",-Q7,S7-Y7)</f>
        <v/>
      </c>
      <c r="AA7" s="56">
        <f>IF(OR(AC7="Cancelled",S7=0),0,Z7/S7)</f>
        <v/>
      </c>
      <c r="AB7" s="56">
        <f>IFERROR(IF(Q7=0,0,S7/Q7),0)</f>
        <v/>
      </c>
      <c r="AC7" s="56" t="inlineStr">
        <is>
          <t>Delivered</t>
        </is>
      </c>
      <c r="AD7" s="56">
        <f>IF(Z7&lt;=0,"Low Profit",IF(Z7&gt;=50,"HighProfit","Medium Profit"))</f>
        <v/>
      </c>
      <c r="AE7" s="56">
        <f>TEXT(B7,"mmmm")</f>
        <v/>
      </c>
    </row>
    <row r="8" ht="14.25" customHeight="1" s="57">
      <c r="A8" s="56" t="inlineStr">
        <is>
          <t>ORD-00040</t>
        </is>
      </c>
      <c r="B8" s="116" t="n">
        <v>45664</v>
      </c>
      <c r="C8" s="56" t="n">
        <v>2025</v>
      </c>
      <c r="D8" s="56" t="n">
        <v>1</v>
      </c>
      <c r="E8" s="56" t="inlineStr">
        <is>
          <t>UAE</t>
        </is>
      </c>
      <c r="F8" s="56" t="inlineStr">
        <is>
          <t>Abu Dhabi</t>
        </is>
      </c>
      <c r="G8" s="56" t="inlineStr">
        <is>
          <t>Email</t>
        </is>
      </c>
      <c r="H8" s="56" t="inlineStr">
        <is>
          <t>Summer Sale</t>
        </is>
      </c>
      <c r="I8" s="56" t="inlineStr">
        <is>
          <t>P003</t>
        </is>
      </c>
      <c r="J8" s="56" t="inlineStr">
        <is>
          <t>LED Strip Lights</t>
        </is>
      </c>
      <c r="K8" s="56" t="inlineStr">
        <is>
          <t>Home Decor</t>
        </is>
      </c>
      <c r="L8" s="56" t="inlineStr">
        <is>
          <t>Yiwu Lighting Factory</t>
        </is>
      </c>
      <c r="M8" s="56" t="n">
        <v>26.71</v>
      </c>
      <c r="N8" s="56" t="n">
        <v>6.12</v>
      </c>
      <c r="O8" s="56" t="n">
        <v>3.4</v>
      </c>
      <c r="P8" s="56" t="n">
        <v>0.03</v>
      </c>
      <c r="Q8" s="56" t="n">
        <v>6.87</v>
      </c>
      <c r="R8" s="56" t="n">
        <v>1</v>
      </c>
      <c r="S8" s="56">
        <f>IF(AC8="Cancelled",0,M8*R8)</f>
        <v/>
      </c>
      <c r="T8" s="56">
        <f>IF(AC8="Cancelled",0,N8*R8)</f>
        <v/>
      </c>
      <c r="U8" s="56">
        <f>IF(AC8="Cancelled",0,O8*R8)</f>
        <v/>
      </c>
      <c r="V8" s="56">
        <f>IF(AC8="Cancelled",0,ROUND(P8*S8,2))</f>
        <v/>
      </c>
      <c r="W8" s="56" t="inlineStr">
        <is>
          <t>No</t>
        </is>
      </c>
      <c r="X8" s="56" t="n">
        <v>0</v>
      </c>
      <c r="Y8" s="56">
        <f>IF(AC8="Cancelled",0,T8+U8+V8+Q8+X8)</f>
        <v/>
      </c>
      <c r="Z8" s="56">
        <f>IF(AC8="Cancelled",-Q8,S8-Y8)</f>
        <v/>
      </c>
      <c r="AA8" s="56">
        <f>IF(OR(AC8="Cancelled",S8=0),0,Z8/S8)</f>
        <v/>
      </c>
      <c r="AB8" s="56">
        <f>IFERROR(IF(Q8=0,0,S8/Q8),0)</f>
        <v/>
      </c>
      <c r="AC8" s="56" t="inlineStr">
        <is>
          <t>Delivered</t>
        </is>
      </c>
      <c r="AD8" s="56">
        <f>IF(Z8&lt;=0,"Low Profit",IF(Z8&gt;=50,"HighProfit","Medium Profit"))</f>
        <v/>
      </c>
      <c r="AE8" s="56">
        <f>TEXT(B8,"mmmm")</f>
        <v/>
      </c>
    </row>
    <row r="9" ht="14.25" customHeight="1" s="57">
      <c r="A9" s="56" t="inlineStr">
        <is>
          <t>ORD-00203</t>
        </is>
      </c>
      <c r="B9" s="116" t="n">
        <v>45664</v>
      </c>
      <c r="C9" s="56" t="n">
        <v>2025</v>
      </c>
      <c r="D9" s="56" t="n">
        <v>1</v>
      </c>
      <c r="E9" s="56" t="inlineStr">
        <is>
          <t>UAE</t>
        </is>
      </c>
      <c r="F9" s="56" t="inlineStr">
        <is>
          <t>Sharjah</t>
        </is>
      </c>
      <c r="G9" s="56" t="inlineStr">
        <is>
          <t>TikTok Ads</t>
        </is>
      </c>
      <c r="H9" s="56" t="inlineStr">
        <is>
          <t>Summer Sale</t>
        </is>
      </c>
      <c r="I9" s="56" t="inlineStr">
        <is>
          <t>P006</t>
        </is>
      </c>
      <c r="J9" s="56" t="inlineStr">
        <is>
          <t>Posture Corrector</t>
        </is>
      </c>
      <c r="K9" s="56" t="inlineStr">
        <is>
          <t>Fitness</t>
        </is>
      </c>
      <c r="L9" s="56" t="inlineStr">
        <is>
          <t>Hangzhou Health Gear</t>
        </is>
      </c>
      <c r="M9" s="56" t="n">
        <v>33.08</v>
      </c>
      <c r="N9" s="56" t="n">
        <v>9.710000000000001</v>
      </c>
      <c r="O9" s="56" t="n">
        <v>3.77</v>
      </c>
      <c r="P9" s="56" t="n">
        <v>0.03</v>
      </c>
      <c r="Q9" s="56" t="n">
        <v>3.96</v>
      </c>
      <c r="R9" s="56" t="n">
        <v>2</v>
      </c>
      <c r="S9" s="56">
        <f>IF(AC9="Cancelled",0,M9*R9)</f>
        <v/>
      </c>
      <c r="T9" s="56">
        <f>IF(AC9="Cancelled",0,N9*R9)</f>
        <v/>
      </c>
      <c r="U9" s="56">
        <f>IF(AC9="Cancelled",0,O9*R9)</f>
        <v/>
      </c>
      <c r="V9" s="56">
        <f>IF(AC9="Cancelled",0,ROUND(P9*S9,2))</f>
        <v/>
      </c>
      <c r="W9" s="56" t="inlineStr">
        <is>
          <t>No</t>
        </is>
      </c>
      <c r="X9" s="56" t="n">
        <v>0</v>
      </c>
      <c r="Y9" s="56">
        <f>IF(AC9="Cancelled",0,T9+U9+V9+Q9+X9)</f>
        <v/>
      </c>
      <c r="Z9" s="56">
        <f>IF(AC9="Cancelled",-Q9,S9-Y9)</f>
        <v/>
      </c>
      <c r="AA9" s="56">
        <f>IF(OR(AC9="Cancelled",S9=0),0,Z9/S9)</f>
        <v/>
      </c>
      <c r="AB9" s="56">
        <f>IFERROR(IF(Q9=0,0,S9/Q9),0)</f>
        <v/>
      </c>
      <c r="AC9" s="56" t="inlineStr">
        <is>
          <t>Delivered</t>
        </is>
      </c>
      <c r="AD9" s="56">
        <f>IF(Z9&lt;=0,"Low Profit",IF(Z9&gt;=50,"HighProfit","Medium Profit"))</f>
        <v/>
      </c>
      <c r="AE9" s="56">
        <f>TEXT(B9,"mmmm")</f>
        <v/>
      </c>
    </row>
    <row r="10" ht="14.25" customHeight="1" s="57">
      <c r="A10" s="56" t="inlineStr">
        <is>
          <t>ORD-00038</t>
        </is>
      </c>
      <c r="B10" s="116" t="n">
        <v>45665</v>
      </c>
      <c r="C10" s="56" t="n">
        <v>2025</v>
      </c>
      <c r="D10" s="56" t="n">
        <v>1</v>
      </c>
      <c r="E10" s="56" t="inlineStr">
        <is>
          <t>UAE</t>
        </is>
      </c>
      <c r="F10" s="56" t="inlineStr">
        <is>
          <t>Sharjah</t>
        </is>
      </c>
      <c r="G10" s="56" t="inlineStr">
        <is>
          <t>Google Ads</t>
        </is>
      </c>
      <c r="H10" s="56" t="inlineStr">
        <is>
          <t>Summer Sale</t>
        </is>
      </c>
      <c r="I10" s="56" t="inlineStr">
        <is>
          <t>P007</t>
        </is>
      </c>
      <c r="J10" s="56" t="inlineStr">
        <is>
          <t>Pet Grooming Glove</t>
        </is>
      </c>
      <c r="K10" s="56" t="inlineStr">
        <is>
          <t>Pets</t>
        </is>
      </c>
      <c r="L10" s="56" t="inlineStr">
        <is>
          <t>Yiwu Pet Products</t>
        </is>
      </c>
      <c r="M10" s="56" t="n">
        <v>20.42</v>
      </c>
      <c r="N10" s="56" t="n">
        <v>3.35</v>
      </c>
      <c r="O10" s="56" t="n">
        <v>2.49</v>
      </c>
      <c r="P10" s="56" t="n">
        <v>0.03</v>
      </c>
      <c r="Q10" s="56" t="n">
        <v>16.08</v>
      </c>
      <c r="R10" s="56" t="n">
        <v>3</v>
      </c>
      <c r="S10" s="56">
        <f>IF(AC10="Cancelled",0,M10*R10)</f>
        <v/>
      </c>
      <c r="T10" s="56">
        <f>IF(AC10="Cancelled",0,N10*R10)</f>
        <v/>
      </c>
      <c r="U10" s="56">
        <f>IF(AC10="Cancelled",0,O10*R10)</f>
        <v/>
      </c>
      <c r="V10" s="56">
        <f>IF(AC10="Cancelled",0,ROUND(P10*S10,2))</f>
        <v/>
      </c>
      <c r="W10" s="56" t="inlineStr">
        <is>
          <t>No</t>
        </is>
      </c>
      <c r="X10" s="56" t="n">
        <v>0</v>
      </c>
      <c r="Y10" s="56">
        <f>IF(AC10="Cancelled",0,T10+U10+V10+Q10+X10)</f>
        <v/>
      </c>
      <c r="Z10" s="56">
        <f>IF(AC10="Cancelled",-Q10,S10-Y10)</f>
        <v/>
      </c>
      <c r="AA10" s="56">
        <f>IF(OR(AC10="Cancelled",S10=0),0,Z10/S10)</f>
        <v/>
      </c>
      <c r="AB10" s="56">
        <f>IFERROR(IF(Q10=0,0,S10/Q10),0)</f>
        <v/>
      </c>
      <c r="AC10" s="56" t="inlineStr">
        <is>
          <t>Delivered</t>
        </is>
      </c>
      <c r="AD10" s="56">
        <f>IF(Z10&lt;=0,"Low Profit",IF(Z10&gt;=50,"HighProfit","Medium Profit"))</f>
        <v/>
      </c>
      <c r="AE10" s="56">
        <f>TEXT(B10,"mmmm")</f>
        <v/>
      </c>
    </row>
    <row r="11" ht="14.25" customHeight="1" s="57">
      <c r="A11" s="56" t="inlineStr">
        <is>
          <t>ORD-00401</t>
        </is>
      </c>
      <c r="B11" s="116" t="n">
        <v>45666</v>
      </c>
      <c r="C11" s="56" t="n">
        <v>2025</v>
      </c>
      <c r="D11" s="56" t="n">
        <v>1</v>
      </c>
      <c r="E11" s="56" t="inlineStr">
        <is>
          <t>UAE</t>
        </is>
      </c>
      <c r="F11" s="56" t="inlineStr">
        <is>
          <t>Dubai</t>
        </is>
      </c>
      <c r="G11" s="56" t="inlineStr">
        <is>
          <t>Google Ads</t>
        </is>
      </c>
      <c r="H11" s="56" t="inlineStr">
        <is>
          <t>Launch Test</t>
        </is>
      </c>
      <c r="I11" s="56" t="inlineStr">
        <is>
          <t>P008</t>
        </is>
      </c>
      <c r="J11" s="56" t="inlineStr">
        <is>
          <t>Portable Blender</t>
        </is>
      </c>
      <c r="K11" s="56" t="inlineStr">
        <is>
          <t>Kitchen</t>
        </is>
      </c>
      <c r="L11" s="56" t="inlineStr">
        <is>
          <t>Foshan Appliances</t>
        </is>
      </c>
      <c r="M11" s="56" t="n">
        <v>53.18</v>
      </c>
      <c r="N11" s="56" t="n">
        <v>16.82</v>
      </c>
      <c r="O11" s="56" t="n">
        <v>5.87</v>
      </c>
      <c r="P11" s="56" t="n">
        <v>0.03</v>
      </c>
      <c r="Q11" s="56" t="n">
        <v>5.9</v>
      </c>
      <c r="R11" s="56" t="n">
        <v>1</v>
      </c>
      <c r="S11" s="56">
        <f>IF(AC11="Cancelled",0,M11*R11)</f>
        <v/>
      </c>
      <c r="T11" s="56">
        <f>IF(AC11="Cancelled",0,N11*R11)</f>
        <v/>
      </c>
      <c r="U11" s="56">
        <f>IF(AC11="Cancelled",0,O11*R11)</f>
        <v/>
      </c>
      <c r="V11" s="56">
        <f>IF(AC11="Cancelled",0,ROUND(P11*S11,2))</f>
        <v/>
      </c>
      <c r="W11" s="56" t="inlineStr">
        <is>
          <t>No</t>
        </is>
      </c>
      <c r="X11" s="56" t="n">
        <v>0</v>
      </c>
      <c r="Y11" s="56">
        <f>IF(AC11="Cancelled",0,T11+U11+V11+Q11+X11)</f>
        <v/>
      </c>
      <c r="Z11" s="56">
        <f>IF(AC11="Cancelled",-Q11,S11-Y11)</f>
        <v/>
      </c>
      <c r="AA11" s="56">
        <f>IF(OR(AC11="Cancelled",S11=0),0,Z11/S11)</f>
        <v/>
      </c>
      <c r="AB11" s="56">
        <f>IFERROR(IF(Q11=0,0,S11/Q11),0)</f>
        <v/>
      </c>
      <c r="AC11" s="56" t="inlineStr">
        <is>
          <t>Delivered</t>
        </is>
      </c>
      <c r="AD11" s="56">
        <f>IF(Z11&lt;=0,"Low Profit",IF(Z11&gt;=50,"HighProfit","Medium Profit"))</f>
        <v/>
      </c>
      <c r="AE11" s="56">
        <f>TEXT(B11,"mmmm")</f>
        <v/>
      </c>
    </row>
    <row r="12" ht="14.25" customHeight="1" s="57">
      <c r="A12" s="56" t="inlineStr">
        <is>
          <t>ORD-00451</t>
        </is>
      </c>
      <c r="B12" s="116" t="n">
        <v>45667</v>
      </c>
      <c r="C12" s="56" t="n">
        <v>2025</v>
      </c>
      <c r="D12" s="56" t="n">
        <v>1</v>
      </c>
      <c r="E12" s="56" t="inlineStr">
        <is>
          <t>UAE</t>
        </is>
      </c>
      <c r="F12" s="56" t="inlineStr">
        <is>
          <t>Dubai</t>
        </is>
      </c>
      <c r="G12" s="56" t="inlineStr">
        <is>
          <t>TikTok Ads</t>
        </is>
      </c>
      <c r="H12" s="56" t="inlineStr">
        <is>
          <t>Launch Test</t>
        </is>
      </c>
      <c r="I12" s="56" t="inlineStr">
        <is>
          <t>P003</t>
        </is>
      </c>
      <c r="J12" s="56" t="inlineStr">
        <is>
          <t>LED Strip Lights</t>
        </is>
      </c>
      <c r="K12" s="56" t="inlineStr">
        <is>
          <t>Home Decor</t>
        </is>
      </c>
      <c r="L12" s="56" t="inlineStr">
        <is>
          <t>Yiwu Lighting Factory</t>
        </is>
      </c>
      <c r="M12" s="56" t="n">
        <v>24.36</v>
      </c>
      <c r="N12" s="56" t="n">
        <v>6.05</v>
      </c>
      <c r="O12" s="56" t="n">
        <v>3.32</v>
      </c>
      <c r="P12" s="56" t="n">
        <v>0.03</v>
      </c>
      <c r="Q12" s="56" t="n">
        <v>3.24</v>
      </c>
      <c r="R12" s="56" t="n">
        <v>1</v>
      </c>
      <c r="S12" s="56">
        <f>IF(AC12="Cancelled",0,M12*R12)</f>
        <v/>
      </c>
      <c r="T12" s="56">
        <f>IF(AC12="Cancelled",0,N12*R12)</f>
        <v/>
      </c>
      <c r="U12" s="56">
        <f>IF(AC12="Cancelled",0,O12*R12)</f>
        <v/>
      </c>
      <c r="V12" s="56">
        <f>IF(AC12="Cancelled",0,ROUND(P12*S12,2))</f>
        <v/>
      </c>
      <c r="W12" s="56" t="inlineStr">
        <is>
          <t>No</t>
        </is>
      </c>
      <c r="X12" s="56" t="n">
        <v>0</v>
      </c>
      <c r="Y12" s="56">
        <f>IF(AC12="Cancelled",0,T12+U12+V12+Q12+X12)</f>
        <v/>
      </c>
      <c r="Z12" s="56">
        <f>IF(AC12="Cancelled",-Q12,S12-Y12)</f>
        <v/>
      </c>
      <c r="AA12" s="56">
        <f>IF(OR(AC12="Cancelled",S12=0),0,Z12/S12)</f>
        <v/>
      </c>
      <c r="AB12" s="56">
        <f>IFERROR(IF(Q12=0,0,S12/Q12),0)</f>
        <v/>
      </c>
      <c r="AC12" s="56" t="inlineStr">
        <is>
          <t>Delivered</t>
        </is>
      </c>
      <c r="AD12" s="56">
        <f>IF(Z12&lt;=0,"Low Profit",IF(Z12&gt;=50,"HighProfit","Medium Profit"))</f>
        <v/>
      </c>
      <c r="AE12" s="56">
        <f>TEXT(B12,"mmmm")</f>
        <v/>
      </c>
    </row>
    <row r="13" ht="14.25" customHeight="1" s="57">
      <c r="A13" s="56" t="inlineStr">
        <is>
          <t>ORD-00309</t>
        </is>
      </c>
      <c r="B13" s="116" t="n">
        <v>45668</v>
      </c>
      <c r="C13" s="56" t="n">
        <v>2025</v>
      </c>
      <c r="D13" s="56" t="n">
        <v>1</v>
      </c>
      <c r="E13" s="56" t="inlineStr">
        <is>
          <t>Oman</t>
        </is>
      </c>
      <c r="F13" s="56" t="inlineStr">
        <is>
          <t>Muscat</t>
        </is>
      </c>
      <c r="G13" s="56" t="inlineStr">
        <is>
          <t>TikTok Ads</t>
        </is>
      </c>
      <c r="H13" s="56" t="inlineStr">
        <is>
          <t>Launch Test</t>
        </is>
      </c>
      <c r="I13" s="56" t="inlineStr">
        <is>
          <t>P009</t>
        </is>
      </c>
      <c r="J13" s="56" t="inlineStr">
        <is>
          <t>Car Vacuum Cleaner</t>
        </is>
      </c>
      <c r="K13" s="56" t="inlineStr">
        <is>
          <t>Automotive</t>
        </is>
      </c>
      <c r="L13" s="56" t="inlineStr">
        <is>
          <t>Dongguan Auto Tools</t>
        </is>
      </c>
      <c r="M13" s="56" t="n">
        <v>45.62</v>
      </c>
      <c r="N13" s="56" t="n">
        <v>13.94</v>
      </c>
      <c r="O13" s="56" t="n">
        <v>7.25</v>
      </c>
      <c r="P13" s="56" t="n">
        <v>0.03</v>
      </c>
      <c r="Q13" s="56" t="n">
        <v>4.62</v>
      </c>
      <c r="R13" s="56" t="n">
        <v>2</v>
      </c>
      <c r="S13" s="56">
        <f>IF(AC13="Cancelled",0,M13*R13)</f>
        <v/>
      </c>
      <c r="T13" s="56">
        <f>IF(AC13="Cancelled",0,N13*R13)</f>
        <v/>
      </c>
      <c r="U13" s="56">
        <f>IF(AC13="Cancelled",0,O13*R13)</f>
        <v/>
      </c>
      <c r="V13" s="56">
        <f>IF(AC13="Cancelled",0,ROUND(P13*S13,2))</f>
        <v/>
      </c>
      <c r="W13" s="56" t="inlineStr">
        <is>
          <t>No</t>
        </is>
      </c>
      <c r="X13" s="56" t="n">
        <v>0</v>
      </c>
      <c r="Y13" s="56">
        <f>IF(AC13="Cancelled",0,T13+U13+V13+Q13+X13)</f>
        <v/>
      </c>
      <c r="Z13" s="56">
        <f>IF(AC13="Cancelled",-Q13,S13-Y13)</f>
        <v/>
      </c>
      <c r="AA13" s="56">
        <f>IF(OR(AC13="Cancelled",S13=0),0,Z13/S13)</f>
        <v/>
      </c>
      <c r="AB13" s="56">
        <f>IFERROR(IF(Q13=0,0,S13/Q13),0)</f>
        <v/>
      </c>
      <c r="AC13" s="56" t="inlineStr">
        <is>
          <t>Delivered</t>
        </is>
      </c>
      <c r="AD13" s="56">
        <f>IF(Z13&lt;=0,"Low Profit",IF(Z13&gt;=50,"HighProfit","Medium Profit"))</f>
        <v/>
      </c>
      <c r="AE13" s="56">
        <f>TEXT(B13,"mmmm")</f>
        <v/>
      </c>
    </row>
    <row r="14" ht="14.25" customHeight="1" s="57">
      <c r="A14" s="56" t="inlineStr">
        <is>
          <t>ORD-00109</t>
        </is>
      </c>
      <c r="B14" s="116" t="n">
        <v>45669</v>
      </c>
      <c r="C14" s="56" t="n">
        <v>2025</v>
      </c>
      <c r="D14" s="56" t="n">
        <v>1</v>
      </c>
      <c r="E14" s="56" t="inlineStr">
        <is>
          <t>UAE</t>
        </is>
      </c>
      <c r="F14" s="56" t="inlineStr">
        <is>
          <t>Sharjah</t>
        </is>
      </c>
      <c r="G14" s="56" t="inlineStr">
        <is>
          <t>Organic Search</t>
        </is>
      </c>
      <c r="H14" s="56" t="inlineStr">
        <is>
          <t>Launch Test</t>
        </is>
      </c>
      <c r="I14" s="56" t="inlineStr">
        <is>
          <t>P008</t>
        </is>
      </c>
      <c r="J14" s="56" t="inlineStr">
        <is>
          <t>Portable Blender</t>
        </is>
      </c>
      <c r="K14" s="56" t="inlineStr">
        <is>
          <t>Kitchen</t>
        </is>
      </c>
      <c r="L14" s="56" t="inlineStr">
        <is>
          <t>Foshan Appliances</t>
        </is>
      </c>
      <c r="M14" s="56" t="n">
        <v>53.29</v>
      </c>
      <c r="N14" s="56" t="n">
        <v>15.27</v>
      </c>
      <c r="O14" s="56" t="n">
        <v>6.29</v>
      </c>
      <c r="P14" s="56" t="n">
        <v>0.03</v>
      </c>
      <c r="Q14" s="56" t="n">
        <v>0</v>
      </c>
      <c r="R14" s="56" t="n">
        <v>2</v>
      </c>
      <c r="S14" s="56">
        <f>IF(AC14="Cancelled",0,M14*R14)</f>
        <v/>
      </c>
      <c r="T14" s="56">
        <f>IF(AC14="Cancelled",0,N14*R14)</f>
        <v/>
      </c>
      <c r="U14" s="56">
        <f>IF(AC14="Cancelled",0,O14*R14)</f>
        <v/>
      </c>
      <c r="V14" s="56">
        <f>IF(AC14="Cancelled",0,ROUND(P14*S14,2))</f>
        <v/>
      </c>
      <c r="W14" s="56" t="inlineStr">
        <is>
          <t>No</t>
        </is>
      </c>
      <c r="X14" s="56" t="n">
        <v>0</v>
      </c>
      <c r="Y14" s="56">
        <f>IF(AC14="Cancelled",0,T14+U14+V14+Q14+X14)</f>
        <v/>
      </c>
      <c r="Z14" s="56">
        <f>IF(AC14="Cancelled",-Q14,S14-Y14)</f>
        <v/>
      </c>
      <c r="AA14" s="56">
        <f>IF(OR(AC14="Cancelled",S14=0),0,Z14/S14)</f>
        <v/>
      </c>
      <c r="AB14" s="56">
        <f>IFERROR(IF(Q14=0,0,S14/Q14),0)</f>
        <v/>
      </c>
      <c r="AC14" s="56" t="inlineStr">
        <is>
          <t>Delivered</t>
        </is>
      </c>
      <c r="AD14" s="56">
        <f>IF(Z14&lt;=0,"Low Profit",IF(Z14&gt;=50,"HighProfit","Medium Profit"))</f>
        <v/>
      </c>
      <c r="AE14" s="56">
        <f>TEXT(B14,"mmmm")</f>
        <v/>
      </c>
    </row>
    <row r="15" ht="14.25" customHeight="1" s="57">
      <c r="A15" s="56" t="inlineStr">
        <is>
          <t>ORD-00145</t>
        </is>
      </c>
      <c r="B15" s="116" t="n">
        <v>45670</v>
      </c>
      <c r="C15" s="56" t="n">
        <v>2025</v>
      </c>
      <c r="D15" s="56" t="n">
        <v>1</v>
      </c>
      <c r="E15" s="56" t="inlineStr">
        <is>
          <t>UAE</t>
        </is>
      </c>
      <c r="F15" s="56" t="inlineStr">
        <is>
          <t>Abu Dhabi</t>
        </is>
      </c>
      <c r="G15" s="56" t="inlineStr">
        <is>
          <t>TikTok Ads</t>
        </is>
      </c>
      <c r="H15" s="56" t="inlineStr">
        <is>
          <t>Summer Sale</t>
        </is>
      </c>
      <c r="I15" s="56" t="inlineStr">
        <is>
          <t>P007</t>
        </is>
      </c>
      <c r="J15" s="56" t="inlineStr">
        <is>
          <t>Pet Grooming Glove</t>
        </is>
      </c>
      <c r="K15" s="56" t="inlineStr">
        <is>
          <t>Pets</t>
        </is>
      </c>
      <c r="L15" s="56" t="inlineStr">
        <is>
          <t>Yiwu Pet Products</t>
        </is>
      </c>
      <c r="M15" s="56" t="n">
        <v>19.67</v>
      </c>
      <c r="N15" s="56" t="n">
        <v>3.4</v>
      </c>
      <c r="O15" s="56" t="n">
        <v>2.82</v>
      </c>
      <c r="P15" s="56" t="n">
        <v>0.03</v>
      </c>
      <c r="Q15" s="56" t="n">
        <v>4.76</v>
      </c>
      <c r="R15" s="56" t="n">
        <v>2</v>
      </c>
      <c r="S15" s="56">
        <f>IF(AC15="Cancelled",0,M15*R15)</f>
        <v/>
      </c>
      <c r="T15" s="56">
        <f>IF(AC15="Cancelled",0,N15*R15)</f>
        <v/>
      </c>
      <c r="U15" s="56">
        <f>IF(AC15="Cancelled",0,O15*R15)</f>
        <v/>
      </c>
      <c r="V15" s="56">
        <f>IF(AC15="Cancelled",0,ROUND(P15*S15,2))</f>
        <v/>
      </c>
      <c r="W15" s="56" t="inlineStr">
        <is>
          <t>No</t>
        </is>
      </c>
      <c r="X15" s="56" t="n">
        <v>0</v>
      </c>
      <c r="Y15" s="56">
        <f>IF(AC15="Cancelled",0,T15+U15+V15+Q15+X15)</f>
        <v/>
      </c>
      <c r="Z15" s="56">
        <f>IF(AC15="Cancelled",-Q15,S15-Y15)</f>
        <v/>
      </c>
      <c r="AA15" s="56">
        <f>IF(OR(AC15="Cancelled",S15=0),0,Z15/S15)</f>
        <v/>
      </c>
      <c r="AB15" s="56">
        <f>IFERROR(IF(Q15=0,0,S15/Q15),0)</f>
        <v/>
      </c>
      <c r="AC15" s="56" t="inlineStr">
        <is>
          <t>Delivered</t>
        </is>
      </c>
      <c r="AD15" s="56">
        <f>IF(Z15&lt;=0,"Low Profit",IF(Z15&gt;=50,"HighProfit","Medium Profit"))</f>
        <v/>
      </c>
      <c r="AE15" s="56">
        <f>TEXT(B15,"mmmm")</f>
        <v/>
      </c>
    </row>
    <row r="16" ht="14.25" customHeight="1" s="57">
      <c r="A16" s="56" t="inlineStr">
        <is>
          <t>ORD-00189</t>
        </is>
      </c>
      <c r="B16" s="116" t="n">
        <v>45670</v>
      </c>
      <c r="C16" s="56" t="n">
        <v>2025</v>
      </c>
      <c r="D16" s="56" t="n">
        <v>1</v>
      </c>
      <c r="E16" s="56" t="inlineStr">
        <is>
          <t>Kuwait</t>
        </is>
      </c>
      <c r="F16" s="56" t="inlineStr">
        <is>
          <t>Kuwait City</t>
        </is>
      </c>
      <c r="G16" s="56" t="inlineStr">
        <is>
          <t>Email</t>
        </is>
      </c>
      <c r="H16" s="56" t="inlineStr">
        <is>
          <t>Retargeting</t>
        </is>
      </c>
      <c r="I16" s="56" t="inlineStr">
        <is>
          <t>P003</t>
        </is>
      </c>
      <c r="J16" s="56" t="inlineStr">
        <is>
          <t>LED Strip Lights</t>
        </is>
      </c>
      <c r="K16" s="56" t="inlineStr">
        <is>
          <t>Home Decor</t>
        </is>
      </c>
      <c r="L16" s="56" t="inlineStr">
        <is>
          <t>Yiwu Lighting Factory</t>
        </is>
      </c>
      <c r="M16" s="56" t="n">
        <v>23.74</v>
      </c>
      <c r="N16" s="56" t="n">
        <v>6.17</v>
      </c>
      <c r="O16" s="56" t="n">
        <v>3.56</v>
      </c>
      <c r="P16" s="56" t="n">
        <v>0.03</v>
      </c>
      <c r="Q16" s="56" t="n">
        <v>16.49</v>
      </c>
      <c r="R16" s="56" t="n">
        <v>2</v>
      </c>
      <c r="S16" s="56">
        <f>IF(AC16="Cancelled",0,M16*R16)</f>
        <v/>
      </c>
      <c r="T16" s="56">
        <f>IF(AC16="Cancelled",0,N16*R16)</f>
        <v/>
      </c>
      <c r="U16" s="56">
        <f>IF(AC16="Cancelled",0,O16*R16)</f>
        <v/>
      </c>
      <c r="V16" s="56">
        <f>IF(AC16="Cancelled",0,ROUND(P16*S16,2))</f>
        <v/>
      </c>
      <c r="W16" s="56" t="inlineStr">
        <is>
          <t>No</t>
        </is>
      </c>
      <c r="X16" s="56" t="n">
        <v>0</v>
      </c>
      <c r="Y16" s="56">
        <f>IF(AC16="Cancelled",0,T16+U16+V16+Q16+X16)</f>
        <v/>
      </c>
      <c r="Z16" s="56">
        <f>IF(AC16="Cancelled",-Q16,S16-Y16)</f>
        <v/>
      </c>
      <c r="AA16" s="56">
        <f>IF(OR(AC16="Cancelled",S16=0),0,Z16/S16)</f>
        <v/>
      </c>
      <c r="AB16" s="56">
        <f>IFERROR(IF(Q16=0,0,S16/Q16),0)</f>
        <v/>
      </c>
      <c r="AC16" s="56" t="inlineStr">
        <is>
          <t>Delivered</t>
        </is>
      </c>
      <c r="AD16" s="56">
        <f>IF(Z16&lt;=0,"Low Profit",IF(Z16&gt;=50,"HighProfit","Medium Profit"))</f>
        <v/>
      </c>
      <c r="AE16" s="56">
        <f>TEXT(B16,"mmmm")</f>
        <v/>
      </c>
    </row>
    <row r="17" ht="14.25" customHeight="1" s="57">
      <c r="A17" s="56" t="inlineStr">
        <is>
          <t>ORD-00256</t>
        </is>
      </c>
      <c r="B17" s="116" t="n">
        <v>45671</v>
      </c>
      <c r="C17" s="56" t="n">
        <v>2025</v>
      </c>
      <c r="D17" s="56" t="n">
        <v>1</v>
      </c>
      <c r="E17" s="56" t="inlineStr">
        <is>
          <t>Saudi Arabia</t>
        </is>
      </c>
      <c r="F17" s="56" t="inlineStr">
        <is>
          <t>Riyadh</t>
        </is>
      </c>
      <c r="G17" s="56" t="inlineStr">
        <is>
          <t>Organic Search</t>
        </is>
      </c>
      <c r="H17" s="56" t="inlineStr">
        <is>
          <t>Retargeting</t>
        </is>
      </c>
      <c r="I17" s="56" t="inlineStr">
        <is>
          <t>P008</t>
        </is>
      </c>
      <c r="J17" s="56" t="inlineStr">
        <is>
          <t>Portable Blender</t>
        </is>
      </c>
      <c r="K17" s="56" t="inlineStr">
        <is>
          <t>Kitchen</t>
        </is>
      </c>
      <c r="L17" s="56" t="inlineStr">
        <is>
          <t>Foshan Appliances</t>
        </is>
      </c>
      <c r="M17" s="56" t="n">
        <v>48.78</v>
      </c>
      <c r="N17" s="56" t="n">
        <v>17.16</v>
      </c>
      <c r="O17" s="56" t="n">
        <v>5.65</v>
      </c>
      <c r="P17" s="56" t="n">
        <v>0.03</v>
      </c>
      <c r="Q17" s="56" t="n">
        <v>0</v>
      </c>
      <c r="R17" s="56" t="n">
        <v>3</v>
      </c>
      <c r="S17" s="56">
        <f>IF(AC17="Cancelled",0,M17*R17)</f>
        <v/>
      </c>
      <c r="T17" s="56">
        <f>IF(AC17="Cancelled",0,N17*R17)</f>
        <v/>
      </c>
      <c r="U17" s="56">
        <f>IF(AC17="Cancelled",0,O17*R17)</f>
        <v/>
      </c>
      <c r="V17" s="56">
        <f>IF(AC17="Cancelled",0,ROUND(P17*S17,2))</f>
        <v/>
      </c>
      <c r="W17" s="56" t="inlineStr">
        <is>
          <t>No</t>
        </is>
      </c>
      <c r="X17" s="56" t="n">
        <v>0</v>
      </c>
      <c r="Y17" s="56">
        <f>IF(AC17="Cancelled",0,T17+U17+V17+Q17+X17)</f>
        <v/>
      </c>
      <c r="Z17" s="56">
        <f>IF(AC17="Cancelled",-Q17,S17-Y17)</f>
        <v/>
      </c>
      <c r="AA17" s="56">
        <f>IF(OR(AC17="Cancelled",S17=0),0,Z17/S17)</f>
        <v/>
      </c>
      <c r="AB17" s="56">
        <f>IFERROR(IF(Q17=0,0,S17/Q17),0)</f>
        <v/>
      </c>
      <c r="AC17" s="56" t="inlineStr">
        <is>
          <t>Delivered</t>
        </is>
      </c>
      <c r="AD17" s="56">
        <f>IF(Z17&lt;=0,"Low Profit",IF(Z17&gt;=50,"HighProfit","Medium Profit"))</f>
        <v/>
      </c>
      <c r="AE17" s="56">
        <f>TEXT(B17,"mmmm")</f>
        <v/>
      </c>
    </row>
    <row r="18" ht="14.25" customHeight="1" s="57">
      <c r="A18" s="56" t="inlineStr">
        <is>
          <t>ORD-00088</t>
        </is>
      </c>
      <c r="B18" s="116" t="n">
        <v>45672</v>
      </c>
      <c r="C18" s="56" t="n">
        <v>2025</v>
      </c>
      <c r="D18" s="56" t="n">
        <v>1</v>
      </c>
      <c r="E18" s="56" t="inlineStr">
        <is>
          <t>Oman</t>
        </is>
      </c>
      <c r="F18" s="56" t="inlineStr">
        <is>
          <t>Muscat</t>
        </is>
      </c>
      <c r="G18" s="56" t="inlineStr">
        <is>
          <t>Meta Ads</t>
        </is>
      </c>
      <c r="H18" s="56" t="inlineStr">
        <is>
          <t>Bundle Promo</t>
        </is>
      </c>
      <c r="I18" s="56" t="inlineStr">
        <is>
          <t>P005</t>
        </is>
      </c>
      <c r="J18" s="56" t="inlineStr">
        <is>
          <t>Mini Printer</t>
        </is>
      </c>
      <c r="K18" s="56" t="inlineStr">
        <is>
          <t>Electronics</t>
        </is>
      </c>
      <c r="L18" s="56" t="inlineStr">
        <is>
          <t>Shenzhen Print Tech</t>
        </is>
      </c>
      <c r="M18" s="56" t="n">
        <v>60.22</v>
      </c>
      <c r="N18" s="56" t="n">
        <v>21.76</v>
      </c>
      <c r="O18" s="56" t="n">
        <v>7.97</v>
      </c>
      <c r="P18" s="56" t="n">
        <v>0.03</v>
      </c>
      <c r="Q18" s="56" t="n">
        <v>5.71</v>
      </c>
      <c r="R18" s="56" t="n">
        <v>1</v>
      </c>
      <c r="S18" s="56">
        <f>IF(AC18="Cancelled",0,M18*R18)</f>
        <v/>
      </c>
      <c r="T18" s="56">
        <f>IF(AC18="Cancelled",0,N18*R18)</f>
        <v/>
      </c>
      <c r="U18" s="56">
        <f>IF(AC18="Cancelled",0,O18*R18)</f>
        <v/>
      </c>
      <c r="V18" s="56">
        <f>IF(AC18="Cancelled",0,ROUND(P18*S18,2))</f>
        <v/>
      </c>
      <c r="W18" s="56" t="inlineStr">
        <is>
          <t>No</t>
        </is>
      </c>
      <c r="X18" s="56" t="n">
        <v>0</v>
      </c>
      <c r="Y18" s="56">
        <f>IF(AC18="Cancelled",0,T18+U18+V18+Q18+X18)</f>
        <v/>
      </c>
      <c r="Z18" s="56">
        <f>IF(AC18="Cancelled",-Q18,S18-Y18)</f>
        <v/>
      </c>
      <c r="AA18" s="56">
        <f>IF(OR(AC18="Cancelled",S18=0),0,Z18/S18)</f>
        <v/>
      </c>
      <c r="AB18" s="56">
        <f>IFERROR(IF(Q18=0,0,S18/Q18),0)</f>
        <v/>
      </c>
      <c r="AC18" s="56" t="inlineStr">
        <is>
          <t>Delivered</t>
        </is>
      </c>
      <c r="AD18" s="56">
        <f>IF(Z18&lt;=0,"Low Profit",IF(Z18&gt;=50,"HighProfit","Medium Profit"))</f>
        <v/>
      </c>
      <c r="AE18" s="56">
        <f>TEXT(B18,"mmmm")</f>
        <v/>
      </c>
    </row>
    <row r="19" ht="14.25" customHeight="1" s="57">
      <c r="A19" s="56" t="inlineStr">
        <is>
          <t>ORD-00085</t>
        </is>
      </c>
      <c r="B19" s="116" t="n">
        <v>45673</v>
      </c>
      <c r="C19" s="56" t="n">
        <v>2025</v>
      </c>
      <c r="D19" s="56" t="n">
        <v>1</v>
      </c>
      <c r="E19" s="56" t="inlineStr">
        <is>
          <t>Saudi Arabia</t>
        </is>
      </c>
      <c r="F19" s="56" t="inlineStr">
        <is>
          <t>Jeddah</t>
        </is>
      </c>
      <c r="G19" s="56" t="inlineStr">
        <is>
          <t>Meta Ads</t>
        </is>
      </c>
      <c r="H19" s="56" t="inlineStr">
        <is>
          <t>Summer Sale</t>
        </is>
      </c>
      <c r="I19" s="56" t="inlineStr">
        <is>
          <t>P010</t>
        </is>
      </c>
      <c r="J19" s="56" t="inlineStr">
        <is>
          <t>Smart Water Bottle</t>
        </is>
      </c>
      <c r="K19" s="56" t="inlineStr">
        <is>
          <t>Lifestyle</t>
        </is>
      </c>
      <c r="L19" s="56" t="inlineStr">
        <is>
          <t>Shenzhen Smart Home</t>
        </is>
      </c>
      <c r="M19" s="56" t="n">
        <v>34.03</v>
      </c>
      <c r="N19" s="56" t="n">
        <v>10.13</v>
      </c>
      <c r="O19" s="56" t="n">
        <v>3.84</v>
      </c>
      <c r="P19" s="56" t="n">
        <v>0.03</v>
      </c>
      <c r="Q19" s="56" t="n">
        <v>6.13</v>
      </c>
      <c r="R19" s="56" t="n">
        <v>1</v>
      </c>
      <c r="S19" s="56">
        <f>IF(AC19="Cancelled",0,M19*R19)</f>
        <v/>
      </c>
      <c r="T19" s="56">
        <f>IF(AC19="Cancelled",0,N19*R19)</f>
        <v/>
      </c>
      <c r="U19" s="56">
        <f>IF(AC19="Cancelled",0,O19*R19)</f>
        <v/>
      </c>
      <c r="V19" s="56">
        <f>IF(AC19="Cancelled",0,ROUND(P19*S19,2))</f>
        <v/>
      </c>
      <c r="W19" s="56" t="inlineStr">
        <is>
          <t>No</t>
        </is>
      </c>
      <c r="X19" s="56" t="n">
        <v>0</v>
      </c>
      <c r="Y19" s="56">
        <f>IF(AC19="Cancelled",0,T19+U19+V19+Q19+X19)</f>
        <v/>
      </c>
      <c r="Z19" s="56">
        <f>IF(AC19="Cancelled",-Q19,S19-Y19)</f>
        <v/>
      </c>
      <c r="AA19" s="56">
        <f>IF(OR(AC19="Cancelled",S19=0),0,Z19/S19)</f>
        <v/>
      </c>
      <c r="AB19" s="56">
        <f>IFERROR(IF(Q19=0,0,S19/Q19),0)</f>
        <v/>
      </c>
      <c r="AC19" s="56" t="inlineStr">
        <is>
          <t>Delivered</t>
        </is>
      </c>
      <c r="AD19" s="56">
        <f>IF(Z19&lt;=0,"Low Profit",IF(Z19&gt;=50,"HighProfit","Medium Profit"))</f>
        <v/>
      </c>
      <c r="AE19" s="56">
        <f>TEXT(B19,"mmmm")</f>
        <v/>
      </c>
    </row>
    <row r="20" ht="14.25" customHeight="1" s="57">
      <c r="A20" s="56" t="inlineStr">
        <is>
          <t>ORD-00432</t>
        </is>
      </c>
      <c r="B20" s="116" t="n">
        <v>45673</v>
      </c>
      <c r="C20" s="56" t="n">
        <v>2025</v>
      </c>
      <c r="D20" s="56" t="n">
        <v>1</v>
      </c>
      <c r="E20" s="56" t="inlineStr">
        <is>
          <t>UAE</t>
        </is>
      </c>
      <c r="F20" s="56" t="inlineStr">
        <is>
          <t>Dubai</t>
        </is>
      </c>
      <c r="G20" s="56" t="inlineStr">
        <is>
          <t>Email</t>
        </is>
      </c>
      <c r="H20" s="56" t="inlineStr">
        <is>
          <t>Bundle Promo</t>
        </is>
      </c>
      <c r="I20" s="56" t="inlineStr">
        <is>
          <t>P009</t>
        </is>
      </c>
      <c r="J20" s="56" t="inlineStr">
        <is>
          <t>Car Vacuum Cleaner</t>
        </is>
      </c>
      <c r="K20" s="56" t="inlineStr">
        <is>
          <t>Automotive</t>
        </is>
      </c>
      <c r="L20" s="56" t="inlineStr">
        <is>
          <t>Dongguan Auto Tools</t>
        </is>
      </c>
      <c r="M20" s="56" t="n">
        <v>49.68</v>
      </c>
      <c r="N20" s="56" t="n">
        <v>13.59</v>
      </c>
      <c r="O20" s="56" t="n">
        <v>6.24</v>
      </c>
      <c r="P20" s="56" t="n">
        <v>0.03</v>
      </c>
      <c r="Q20" s="56" t="n">
        <v>1.98</v>
      </c>
      <c r="R20" s="56" t="n">
        <v>1</v>
      </c>
      <c r="S20" s="56">
        <f>IF(AC20="Cancelled",0,M20*R20)</f>
        <v/>
      </c>
      <c r="T20" s="56">
        <f>IF(AC20="Cancelled",0,N20*R20)</f>
        <v/>
      </c>
      <c r="U20" s="56">
        <f>IF(AC20="Cancelled",0,O20*R20)</f>
        <v/>
      </c>
      <c r="V20" s="56">
        <f>IF(AC20="Cancelled",0,ROUND(P20*S20,2))</f>
        <v/>
      </c>
      <c r="W20" s="56" t="inlineStr">
        <is>
          <t>No</t>
        </is>
      </c>
      <c r="X20" s="56" t="n">
        <v>0</v>
      </c>
      <c r="Y20" s="56">
        <f>IF(AC20="Cancelled",0,T20+U20+V20+Q20+X20)</f>
        <v/>
      </c>
      <c r="Z20" s="56">
        <f>IF(AC20="Cancelled",-Q20,S20-Y20)</f>
        <v/>
      </c>
      <c r="AA20" s="56">
        <f>IF(OR(AC20="Cancelled",S20=0),0,Z20/S20)</f>
        <v/>
      </c>
      <c r="AB20" s="56">
        <f>IFERROR(IF(Q20=0,0,S20/Q20),0)</f>
        <v/>
      </c>
      <c r="AC20" s="56" t="inlineStr">
        <is>
          <t>Delivered</t>
        </is>
      </c>
      <c r="AD20" s="56">
        <f>IF(Z20&lt;=0,"Low Profit",IF(Z20&gt;=50,"HighProfit","Medium Profit"))</f>
        <v/>
      </c>
      <c r="AE20" s="56">
        <f>TEXT(B20,"mmmm")</f>
        <v/>
      </c>
    </row>
    <row r="21" ht="14.25" customHeight="1" s="57">
      <c r="A21" s="56" t="inlineStr">
        <is>
          <t>ORD-00165</t>
        </is>
      </c>
      <c r="B21" s="116" t="n">
        <v>45675</v>
      </c>
      <c r="C21" s="56" t="n">
        <v>2025</v>
      </c>
      <c r="D21" s="56" t="n">
        <v>1</v>
      </c>
      <c r="E21" s="56" t="inlineStr">
        <is>
          <t>Oman</t>
        </is>
      </c>
      <c r="F21" s="56" t="inlineStr">
        <is>
          <t>Muscat</t>
        </is>
      </c>
      <c r="G21" s="56" t="inlineStr">
        <is>
          <t>Google Ads</t>
        </is>
      </c>
      <c r="H21" s="56" t="inlineStr">
        <is>
          <t>Summer Sale</t>
        </is>
      </c>
      <c r="I21" s="56" t="inlineStr">
        <is>
          <t>P007</t>
        </is>
      </c>
      <c r="J21" s="56" t="inlineStr">
        <is>
          <t>Pet Grooming Glove</t>
        </is>
      </c>
      <c r="K21" s="56" t="inlineStr">
        <is>
          <t>Pets</t>
        </is>
      </c>
      <c r="L21" s="56" t="inlineStr">
        <is>
          <t>Yiwu Pet Products</t>
        </is>
      </c>
      <c r="M21" s="56" t="n">
        <v>18.7</v>
      </c>
      <c r="N21" s="56" t="n">
        <v>3.67</v>
      </c>
      <c r="O21" s="56" t="n">
        <v>2.54</v>
      </c>
      <c r="P21" s="56" t="n">
        <v>0.03</v>
      </c>
      <c r="Q21" s="56" t="n">
        <v>19.91</v>
      </c>
      <c r="R21" s="56" t="n">
        <v>3</v>
      </c>
      <c r="S21" s="56">
        <f>IF(AC21="Cancelled",0,M21*R21)</f>
        <v/>
      </c>
      <c r="T21" s="56">
        <f>IF(AC21="Cancelled",0,N21*R21)</f>
        <v/>
      </c>
      <c r="U21" s="56">
        <f>IF(AC21="Cancelled",0,O21*R21)</f>
        <v/>
      </c>
      <c r="V21" s="56">
        <f>IF(AC21="Cancelled",0,ROUND(P21*S21,2))</f>
        <v/>
      </c>
      <c r="W21" s="56" t="inlineStr">
        <is>
          <t>No</t>
        </is>
      </c>
      <c r="X21" s="56" t="n">
        <v>0</v>
      </c>
      <c r="Y21" s="56">
        <f>IF(AC21="Cancelled",0,T21+U21+V21+Q21+X21)</f>
        <v/>
      </c>
      <c r="Z21" s="56">
        <f>IF(AC21="Cancelled",-Q21,S21-Y21)</f>
        <v/>
      </c>
      <c r="AA21" s="56">
        <f>IF(OR(AC21="Cancelled",S21=0),0,Z21/S21)</f>
        <v/>
      </c>
      <c r="AB21" s="56">
        <f>IFERROR(IF(Q21=0,0,S21/Q21),0)</f>
        <v/>
      </c>
      <c r="AC21" s="56" t="inlineStr">
        <is>
          <t>Delivered</t>
        </is>
      </c>
      <c r="AD21" s="56">
        <f>IF(Z21&lt;=0,"Low Profit",IF(Z21&gt;=50,"HighProfit","Medium Profit"))</f>
        <v/>
      </c>
      <c r="AE21" s="56">
        <f>TEXT(B21,"mmmm")</f>
        <v/>
      </c>
    </row>
    <row r="22" ht="14.25" customHeight="1" s="57">
      <c r="A22" s="56" t="inlineStr">
        <is>
          <t>ORD-00399</t>
        </is>
      </c>
      <c r="B22" s="116" t="n">
        <v>45678</v>
      </c>
      <c r="C22" s="56" t="n">
        <v>2025</v>
      </c>
      <c r="D22" s="56" t="n">
        <v>1</v>
      </c>
      <c r="E22" s="56" t="inlineStr">
        <is>
          <t>Qatar</t>
        </is>
      </c>
      <c r="F22" s="56" t="inlineStr">
        <is>
          <t>Doha</t>
        </is>
      </c>
      <c r="G22" s="56" t="inlineStr">
        <is>
          <t>Google Ads</t>
        </is>
      </c>
      <c r="H22" s="56" t="inlineStr">
        <is>
          <t>Bundle Promo</t>
        </is>
      </c>
      <c r="I22" s="56" t="inlineStr">
        <is>
          <t>P003</t>
        </is>
      </c>
      <c r="J22" s="56" t="inlineStr">
        <is>
          <t>LED Strip Lights</t>
        </is>
      </c>
      <c r="K22" s="56" t="inlineStr">
        <is>
          <t>Home Decor</t>
        </is>
      </c>
      <c r="L22" s="56" t="inlineStr">
        <is>
          <t>Yiwu Lighting Factory</t>
        </is>
      </c>
      <c r="M22" s="56" t="n">
        <v>23.6</v>
      </c>
      <c r="N22" s="56" t="n">
        <v>6.07</v>
      </c>
      <c r="O22" s="56" t="n">
        <v>3.61</v>
      </c>
      <c r="P22" s="56" t="n">
        <v>0.03</v>
      </c>
      <c r="Q22" s="56" t="n">
        <v>2.25</v>
      </c>
      <c r="R22" s="56" t="n">
        <v>2</v>
      </c>
      <c r="S22" s="56">
        <f>IF(AC22="Cancelled",0,M22*R22)</f>
        <v/>
      </c>
      <c r="T22" s="56">
        <f>IF(AC22="Cancelled",0,N22*R22)</f>
        <v/>
      </c>
      <c r="U22" s="56">
        <f>IF(AC22="Cancelled",0,O22*R22)</f>
        <v/>
      </c>
      <c r="V22" s="56">
        <f>IF(AC22="Cancelled",0,ROUND(P22*S22,2))</f>
        <v/>
      </c>
      <c r="W22" s="56" t="inlineStr">
        <is>
          <t>No</t>
        </is>
      </c>
      <c r="X22" s="56" t="n">
        <v>0</v>
      </c>
      <c r="Y22" s="56">
        <f>IF(AC22="Cancelled",0,T22+U22+V22+Q22+X22)</f>
        <v/>
      </c>
      <c r="Z22" s="56">
        <f>IF(AC22="Cancelled",-Q22,S22-Y22)</f>
        <v/>
      </c>
      <c r="AA22" s="56">
        <f>IF(OR(AC22="Cancelled",S22=0),0,Z22/S22)</f>
        <v/>
      </c>
      <c r="AB22" s="56">
        <f>IFERROR(IF(Q22=0,0,S22/Q22),0)</f>
        <v/>
      </c>
      <c r="AC22" s="56" t="inlineStr">
        <is>
          <t>Delivered</t>
        </is>
      </c>
      <c r="AD22" s="56">
        <f>IF(Z22&lt;=0,"Low Profit",IF(Z22&gt;=50,"HighProfit","Medium Profit"))</f>
        <v/>
      </c>
      <c r="AE22" s="56">
        <f>TEXT(B22,"mmmm")</f>
        <v/>
      </c>
    </row>
    <row r="23" ht="14.25" customHeight="1" s="57">
      <c r="A23" s="56" t="inlineStr">
        <is>
          <t>ORD-00332</t>
        </is>
      </c>
      <c r="B23" s="116" t="n">
        <v>45680</v>
      </c>
      <c r="C23" s="56" t="n">
        <v>2025</v>
      </c>
      <c r="D23" s="56" t="n">
        <v>1</v>
      </c>
      <c r="E23" s="56" t="inlineStr">
        <is>
          <t>Kuwait</t>
        </is>
      </c>
      <c r="F23" s="56" t="inlineStr">
        <is>
          <t>Kuwait City</t>
        </is>
      </c>
      <c r="G23" s="56" t="inlineStr">
        <is>
          <t>TikTok Ads</t>
        </is>
      </c>
      <c r="H23" s="56" t="inlineStr">
        <is>
          <t>Launch Test</t>
        </is>
      </c>
      <c r="I23" s="56" t="inlineStr">
        <is>
          <t>P002</t>
        </is>
      </c>
      <c r="J23" s="56" t="inlineStr">
        <is>
          <t>Phone Case</t>
        </is>
      </c>
      <c r="K23" s="56" t="inlineStr">
        <is>
          <t>Accessories</t>
        </is>
      </c>
      <c r="L23" s="56" t="inlineStr">
        <is>
          <t>Guangzhou Cases Ltd.</t>
        </is>
      </c>
      <c r="M23" s="56" t="n">
        <v>16.17</v>
      </c>
      <c r="N23" s="56" t="n">
        <v>1.98</v>
      </c>
      <c r="O23" s="56" t="n">
        <v>1.97</v>
      </c>
      <c r="P23" s="56" t="n">
        <v>0.03</v>
      </c>
      <c r="Q23" s="56" t="n">
        <v>5.8</v>
      </c>
      <c r="R23" s="56" t="n">
        <v>1</v>
      </c>
      <c r="S23" s="56">
        <f>IF(AC23="Cancelled",0,M23*R23)</f>
        <v/>
      </c>
      <c r="T23" s="56">
        <f>IF(AC23="Cancelled",0,N23*R23)</f>
        <v/>
      </c>
      <c r="U23" s="56">
        <f>IF(AC23="Cancelled",0,O23*R23)</f>
        <v/>
      </c>
      <c r="V23" s="56">
        <f>IF(AC23="Cancelled",0,ROUND(P23*S23,2))</f>
        <v/>
      </c>
      <c r="W23" s="56" t="inlineStr">
        <is>
          <t>No</t>
        </is>
      </c>
      <c r="X23" s="56" t="n">
        <v>0</v>
      </c>
      <c r="Y23" s="56">
        <f>IF(AC23="Cancelled",0,T23+U23+V23+Q23+X23)</f>
        <v/>
      </c>
      <c r="Z23" s="56">
        <f>IF(AC23="Cancelled",-Q23,S23-Y23)</f>
        <v/>
      </c>
      <c r="AA23" s="56">
        <f>IF(OR(AC23="Cancelled",S23=0),0,Z23/S23)</f>
        <v/>
      </c>
      <c r="AB23" s="56">
        <f>IFERROR(IF(Q23=0,0,S23/Q23),0)</f>
        <v/>
      </c>
      <c r="AC23" s="56" t="inlineStr">
        <is>
          <t>Delivered</t>
        </is>
      </c>
      <c r="AD23" s="56">
        <f>IF(Z23&lt;=0,"Low Profit",IF(Z23&gt;=50,"HighProfit","Medium Profit"))</f>
        <v/>
      </c>
      <c r="AE23" s="56">
        <f>TEXT(B23,"mmmm")</f>
        <v/>
      </c>
    </row>
    <row r="24" ht="14.25" customHeight="1" s="57">
      <c r="A24" s="56" t="inlineStr">
        <is>
          <t>ORD-00187</t>
        </is>
      </c>
      <c r="B24" s="116" t="n">
        <v>45681</v>
      </c>
      <c r="C24" s="56" t="n">
        <v>2025</v>
      </c>
      <c r="D24" s="56" t="n">
        <v>1</v>
      </c>
      <c r="E24" s="56" t="inlineStr">
        <is>
          <t>UAE</t>
        </is>
      </c>
      <c r="F24" s="56" t="inlineStr">
        <is>
          <t>Dubai</t>
        </is>
      </c>
      <c r="G24" s="56" t="inlineStr">
        <is>
          <t>Influencer</t>
        </is>
      </c>
      <c r="H24" s="56" t="inlineStr">
        <is>
          <t>Launch Test</t>
        </is>
      </c>
      <c r="I24" s="56" t="inlineStr">
        <is>
          <t>P001</t>
        </is>
      </c>
      <c r="J24" s="56" t="inlineStr">
        <is>
          <t>Wireless Earbuds</t>
        </is>
      </c>
      <c r="K24" s="56" t="inlineStr">
        <is>
          <t>Electronics</t>
        </is>
      </c>
      <c r="L24" s="56" t="inlineStr">
        <is>
          <t>Shenzhen Audio Co.</t>
        </is>
      </c>
      <c r="M24" s="56" t="n">
        <v>43.81</v>
      </c>
      <c r="N24" s="56" t="n">
        <v>8.609999999999999</v>
      </c>
      <c r="O24" s="56" t="n">
        <v>4.21</v>
      </c>
      <c r="P24" s="56" t="n">
        <v>0.03</v>
      </c>
      <c r="Q24" s="56" t="n">
        <v>2.85</v>
      </c>
      <c r="R24" s="56" t="n">
        <v>1</v>
      </c>
      <c r="S24" s="56">
        <f>IF(AC24="Cancelled",0,M24*R24)</f>
        <v/>
      </c>
      <c r="T24" s="56">
        <f>IF(AC24="Cancelled",0,N24*R24)</f>
        <v/>
      </c>
      <c r="U24" s="56">
        <f>IF(AC24="Cancelled",0,O24*R24)</f>
        <v/>
      </c>
      <c r="V24" s="56">
        <f>IF(AC24="Cancelled",0,ROUND(P24*S24,2))</f>
        <v/>
      </c>
      <c r="W24" s="56" t="inlineStr">
        <is>
          <t>No</t>
        </is>
      </c>
      <c r="X24" s="56" t="n">
        <v>0</v>
      </c>
      <c r="Y24" s="56">
        <f>IF(AC24="Cancelled",0,T24+U24+V24+Q24+X24)</f>
        <v/>
      </c>
      <c r="Z24" s="56">
        <f>IF(AC24="Cancelled",-Q24,S24-Y24)</f>
        <v/>
      </c>
      <c r="AA24" s="56">
        <f>IF(OR(AC24="Cancelled",S24=0),0,Z24/S24)</f>
        <v/>
      </c>
      <c r="AB24" s="56">
        <f>IFERROR(IF(Q24=0,0,S24/Q24),0)</f>
        <v/>
      </c>
      <c r="AC24" s="56" t="inlineStr">
        <is>
          <t>Delivered</t>
        </is>
      </c>
      <c r="AD24" s="56">
        <f>IF(Z24&lt;=0,"Low Profit",IF(Z24&gt;=50,"HighProfit","Medium Profit"))</f>
        <v/>
      </c>
      <c r="AE24" s="56">
        <f>TEXT(B24,"mmmm")</f>
        <v/>
      </c>
    </row>
    <row r="25" ht="14.25" customHeight="1" s="57">
      <c r="A25" s="56" t="inlineStr">
        <is>
          <t>ORD-00078</t>
        </is>
      </c>
      <c r="B25" s="116" t="n">
        <v>45683</v>
      </c>
      <c r="C25" s="56" t="n">
        <v>2025</v>
      </c>
      <c r="D25" s="56" t="n">
        <v>1</v>
      </c>
      <c r="E25" s="56" t="inlineStr">
        <is>
          <t>Qatar</t>
        </is>
      </c>
      <c r="F25" s="56" t="inlineStr">
        <is>
          <t>Doha</t>
        </is>
      </c>
      <c r="G25" s="56" t="inlineStr">
        <is>
          <t>Meta Ads</t>
        </is>
      </c>
      <c r="H25" s="56" t="inlineStr">
        <is>
          <t>Bundle Promo</t>
        </is>
      </c>
      <c r="I25" s="56" t="inlineStr">
        <is>
          <t>P009</t>
        </is>
      </c>
      <c r="J25" s="56" t="inlineStr">
        <is>
          <t>Car Vacuum Cleaner</t>
        </is>
      </c>
      <c r="K25" s="56" t="inlineStr">
        <is>
          <t>Automotive</t>
        </is>
      </c>
      <c r="L25" s="56" t="inlineStr">
        <is>
          <t>Dongguan Auto Tools</t>
        </is>
      </c>
      <c r="M25" s="56" t="n">
        <v>44.19</v>
      </c>
      <c r="N25" s="56" t="n">
        <v>14.17</v>
      </c>
      <c r="O25" s="56" t="n">
        <v>6.31</v>
      </c>
      <c r="P25" s="56" t="n">
        <v>0.03</v>
      </c>
      <c r="Q25" s="56" t="n">
        <v>20.54</v>
      </c>
      <c r="R25" s="56" t="n">
        <v>2</v>
      </c>
      <c r="S25" s="56">
        <f>IF(AC25="Cancelled",0,M25*R25)</f>
        <v/>
      </c>
      <c r="T25" s="56">
        <f>IF(AC25="Cancelled",0,N25*R25)</f>
        <v/>
      </c>
      <c r="U25" s="56">
        <f>IF(AC25="Cancelled",0,O25*R25)</f>
        <v/>
      </c>
      <c r="V25" s="56">
        <f>IF(AC25="Cancelled",0,ROUND(P25*S25,2))</f>
        <v/>
      </c>
      <c r="W25" s="56" t="inlineStr">
        <is>
          <t>No</t>
        </is>
      </c>
      <c r="X25" s="56" t="n">
        <v>0</v>
      </c>
      <c r="Y25" s="56">
        <f>IF(AC25="Cancelled",0,T25+U25+V25+Q25+X25)</f>
        <v/>
      </c>
      <c r="Z25" s="56">
        <f>IF(AC25="Cancelled",-Q25,S25-Y25)</f>
        <v/>
      </c>
      <c r="AA25" s="56">
        <f>IF(OR(AC25="Cancelled",S25=0),0,Z25/S25)</f>
        <v/>
      </c>
      <c r="AB25" s="56">
        <f>IFERROR(IF(Q25=0,0,S25/Q25),0)</f>
        <v/>
      </c>
      <c r="AC25" s="56" t="inlineStr">
        <is>
          <t>Delivered</t>
        </is>
      </c>
      <c r="AD25" s="56">
        <f>IF(Z25&lt;=0,"Low Profit",IF(Z25&gt;=50,"HighProfit","Medium Profit"))</f>
        <v/>
      </c>
      <c r="AE25" s="56">
        <f>TEXT(B25,"mmmm")</f>
        <v/>
      </c>
    </row>
    <row r="26" ht="14.25" customHeight="1" s="57">
      <c r="A26" s="56" t="inlineStr">
        <is>
          <t>ORD-00186</t>
        </is>
      </c>
      <c r="B26" s="116" t="n">
        <v>45684</v>
      </c>
      <c r="C26" s="56" t="n">
        <v>2025</v>
      </c>
      <c r="D26" s="56" t="n">
        <v>1</v>
      </c>
      <c r="E26" s="56" t="inlineStr">
        <is>
          <t>Qatar</t>
        </is>
      </c>
      <c r="F26" s="56" t="inlineStr">
        <is>
          <t>Doha</t>
        </is>
      </c>
      <c r="G26" s="56" t="inlineStr">
        <is>
          <t>Meta Ads</t>
        </is>
      </c>
      <c r="H26" s="56" t="inlineStr">
        <is>
          <t>Summer Sale</t>
        </is>
      </c>
      <c r="I26" s="56" t="inlineStr">
        <is>
          <t>P002</t>
        </is>
      </c>
      <c r="J26" s="56" t="inlineStr">
        <is>
          <t>Phone Case</t>
        </is>
      </c>
      <c r="K26" s="56" t="inlineStr">
        <is>
          <t>Accessories</t>
        </is>
      </c>
      <c r="L26" s="56" t="inlineStr">
        <is>
          <t>Guangzhou Cases Ltd.</t>
        </is>
      </c>
      <c r="M26" s="56" t="n">
        <v>16.73</v>
      </c>
      <c r="N26" s="56" t="n">
        <v>2.02</v>
      </c>
      <c r="O26" s="56" t="n">
        <v>2.18</v>
      </c>
      <c r="P26" s="56" t="n">
        <v>0.03</v>
      </c>
      <c r="Q26" s="56" t="n">
        <v>3.74</v>
      </c>
      <c r="R26" s="56" t="n">
        <v>2</v>
      </c>
      <c r="S26" s="56">
        <f>IF(AC26="Cancelled",0,M26*R26)</f>
        <v/>
      </c>
      <c r="T26" s="56">
        <f>IF(AC26="Cancelled",0,N26*R26)</f>
        <v/>
      </c>
      <c r="U26" s="56">
        <f>IF(AC26="Cancelled",0,O26*R26)</f>
        <v/>
      </c>
      <c r="V26" s="56">
        <f>IF(AC26="Cancelled",0,ROUND(P26*S26,2))</f>
        <v/>
      </c>
      <c r="W26" s="56" t="inlineStr">
        <is>
          <t>No</t>
        </is>
      </c>
      <c r="X26" s="56" t="n">
        <v>0</v>
      </c>
      <c r="Y26" s="56">
        <f>IF(AC26="Cancelled",0,T26+U26+V26+Q26+X26)</f>
        <v/>
      </c>
      <c r="Z26" s="56">
        <f>IF(AC26="Cancelled",-Q26,S26-Y26)</f>
        <v/>
      </c>
      <c r="AA26" s="56">
        <f>IF(OR(AC26="Cancelled",S26=0),0,Z26/S26)</f>
        <v/>
      </c>
      <c r="AB26" s="56">
        <f>IFERROR(IF(Q26=0,0,S26/Q26),0)</f>
        <v/>
      </c>
      <c r="AC26" s="56" t="inlineStr">
        <is>
          <t>Delivered</t>
        </is>
      </c>
      <c r="AD26" s="56">
        <f>IF(Z26&lt;=0,"Low Profit",IF(Z26&gt;=50,"HighProfit","Medium Profit"))</f>
        <v/>
      </c>
      <c r="AE26" s="56">
        <f>TEXT(B26,"mmmm")</f>
        <v/>
      </c>
    </row>
    <row r="27" ht="14.25" customHeight="1" s="57">
      <c r="A27" s="56" t="inlineStr">
        <is>
          <t>ORD-00363</t>
        </is>
      </c>
      <c r="B27" s="116" t="n">
        <v>45685</v>
      </c>
      <c r="C27" s="56" t="n">
        <v>2025</v>
      </c>
      <c r="D27" s="56" t="n">
        <v>1</v>
      </c>
      <c r="E27" s="56" t="inlineStr">
        <is>
          <t>Saudi Arabia</t>
        </is>
      </c>
      <c r="F27" s="56" t="inlineStr">
        <is>
          <t>Jeddah</t>
        </is>
      </c>
      <c r="G27" s="56" t="inlineStr">
        <is>
          <t>TikTok Ads</t>
        </is>
      </c>
      <c r="H27" s="56" t="inlineStr">
        <is>
          <t>Bundle Promo</t>
        </is>
      </c>
      <c r="I27" s="56" t="inlineStr">
        <is>
          <t>P001</t>
        </is>
      </c>
      <c r="J27" s="56" t="inlineStr">
        <is>
          <t>Wireless Earbuds</t>
        </is>
      </c>
      <c r="K27" s="56" t="inlineStr">
        <is>
          <t>Electronics</t>
        </is>
      </c>
      <c r="L27" s="56" t="inlineStr">
        <is>
          <t>Shenzhen Audio Co.</t>
        </is>
      </c>
      <c r="M27" s="56" t="n">
        <v>43.14</v>
      </c>
      <c r="N27" s="56" t="n">
        <v>8.83</v>
      </c>
      <c r="O27" s="56" t="n">
        <v>4.57</v>
      </c>
      <c r="P27" s="56" t="n">
        <v>0.03</v>
      </c>
      <c r="Q27" s="56" t="n">
        <v>9.57</v>
      </c>
      <c r="R27" s="56" t="n">
        <v>1</v>
      </c>
      <c r="S27" s="56">
        <f>IF(AC27="Cancelled",0,M27*R27)</f>
        <v/>
      </c>
      <c r="T27" s="56">
        <f>IF(AC27="Cancelled",0,N27*R27)</f>
        <v/>
      </c>
      <c r="U27" s="56">
        <f>IF(AC27="Cancelled",0,O27*R27)</f>
        <v/>
      </c>
      <c r="V27" s="56">
        <f>IF(AC27="Cancelled",0,ROUND(P27*S27,2))</f>
        <v/>
      </c>
      <c r="W27" s="56" t="inlineStr">
        <is>
          <t>No</t>
        </is>
      </c>
      <c r="X27" s="56" t="n">
        <v>0</v>
      </c>
      <c r="Y27" s="56">
        <f>IF(AC27="Cancelled",0,T27+U27+V27+Q27+X27)</f>
        <v/>
      </c>
      <c r="Z27" s="56">
        <f>IF(AC27="Cancelled",-Q27,S27-Y27)</f>
        <v/>
      </c>
      <c r="AA27" s="56">
        <f>IF(OR(AC27="Cancelled",S27=0),0,Z27/S27)</f>
        <v/>
      </c>
      <c r="AB27" s="56">
        <f>IFERROR(IF(Q27=0,0,S27/Q27),0)</f>
        <v/>
      </c>
      <c r="AC27" s="56" t="inlineStr">
        <is>
          <t>Delivered</t>
        </is>
      </c>
      <c r="AD27" s="56">
        <f>IF(Z27&lt;=0,"Low Profit",IF(Z27&gt;=50,"HighProfit","Medium Profit"))</f>
        <v/>
      </c>
      <c r="AE27" s="56">
        <f>TEXT(B27,"mmmm")</f>
        <v/>
      </c>
    </row>
    <row r="28" ht="14.25" customHeight="1" s="57">
      <c r="A28" s="56" t="inlineStr">
        <is>
          <t>ORD-00221</t>
        </is>
      </c>
      <c r="B28" s="116" t="n">
        <v>45686</v>
      </c>
      <c r="C28" s="56" t="n">
        <v>2025</v>
      </c>
      <c r="D28" s="56" t="n">
        <v>1</v>
      </c>
      <c r="E28" s="56" t="inlineStr">
        <is>
          <t>UAE</t>
        </is>
      </c>
      <c r="F28" s="56" t="inlineStr">
        <is>
          <t>Dubai</t>
        </is>
      </c>
      <c r="G28" s="56" t="inlineStr">
        <is>
          <t>Organic Search</t>
        </is>
      </c>
      <c r="H28" s="56" t="inlineStr">
        <is>
          <t>Summer Sale</t>
        </is>
      </c>
      <c r="I28" s="56" t="inlineStr">
        <is>
          <t>P001</t>
        </is>
      </c>
      <c r="J28" s="56" t="inlineStr">
        <is>
          <t>Wireless Earbuds</t>
        </is>
      </c>
      <c r="K28" s="56" t="inlineStr">
        <is>
          <t>Electronics</t>
        </is>
      </c>
      <c r="L28" s="56" t="inlineStr">
        <is>
          <t>Shenzhen Audio Co.</t>
        </is>
      </c>
      <c r="M28" s="56" t="n">
        <v>42.78</v>
      </c>
      <c r="N28" s="56" t="n">
        <v>8.43</v>
      </c>
      <c r="O28" s="56" t="n">
        <v>4.06</v>
      </c>
      <c r="P28" s="56" t="n">
        <v>0.03</v>
      </c>
      <c r="Q28" s="56" t="n">
        <v>0</v>
      </c>
      <c r="R28" s="56" t="n">
        <v>1</v>
      </c>
      <c r="S28" s="56">
        <f>IF(AC28="Cancelled",0,M28*R28)</f>
        <v/>
      </c>
      <c r="T28" s="56">
        <f>IF(AC28="Cancelled",0,N28*R28)</f>
        <v/>
      </c>
      <c r="U28" s="56">
        <f>IF(AC28="Cancelled",0,O28*R28)</f>
        <v/>
      </c>
      <c r="V28" s="56">
        <f>IF(AC28="Cancelled",0,ROUND(P28*S28,2))</f>
        <v/>
      </c>
      <c r="W28" s="56" t="inlineStr">
        <is>
          <t>No</t>
        </is>
      </c>
      <c r="X28" s="56" t="n">
        <v>0</v>
      </c>
      <c r="Y28" s="56">
        <f>IF(AC28="Cancelled",0,T28+U28+V28+Q28+X28)</f>
        <v/>
      </c>
      <c r="Z28" s="56">
        <f>IF(AC28="Cancelled",-Q28,S28-Y28)</f>
        <v/>
      </c>
      <c r="AA28" s="56">
        <f>IF(OR(AC28="Cancelled",S28=0),0,Z28/S28)</f>
        <v/>
      </c>
      <c r="AB28" s="56">
        <f>IFERROR(IF(Q28=0,0,S28/Q28),0)</f>
        <v/>
      </c>
      <c r="AC28" s="56" t="inlineStr">
        <is>
          <t>Delivered</t>
        </is>
      </c>
      <c r="AD28" s="56">
        <f>IF(Z28&lt;=0,"Low Profit",IF(Z28&gt;=50,"HighProfit","Medium Profit"))</f>
        <v/>
      </c>
      <c r="AE28" s="56">
        <f>TEXT(B28,"mmmm")</f>
        <v/>
      </c>
    </row>
    <row r="29" ht="14.25" customHeight="1" s="57">
      <c r="A29" s="56" t="inlineStr">
        <is>
          <t>ORD-00058</t>
        </is>
      </c>
      <c r="B29" s="116" t="n">
        <v>45687</v>
      </c>
      <c r="C29" s="56" t="n">
        <v>2025</v>
      </c>
      <c r="D29" s="56" t="n">
        <v>1</v>
      </c>
      <c r="E29" s="56" t="inlineStr">
        <is>
          <t>Saudi Arabia</t>
        </is>
      </c>
      <c r="F29" s="56" t="inlineStr">
        <is>
          <t>Jeddah</t>
        </is>
      </c>
      <c r="G29" s="56" t="inlineStr">
        <is>
          <t>TikTok Ads</t>
        </is>
      </c>
      <c r="H29" s="56" t="inlineStr">
        <is>
          <t>Retargeting</t>
        </is>
      </c>
      <c r="I29" s="56" t="inlineStr">
        <is>
          <t>P003</t>
        </is>
      </c>
      <c r="J29" s="56" t="inlineStr">
        <is>
          <t>LED Strip Lights</t>
        </is>
      </c>
      <c r="K29" s="56" t="inlineStr">
        <is>
          <t>Home Decor</t>
        </is>
      </c>
      <c r="L29" s="56" t="inlineStr">
        <is>
          <t>Yiwu Lighting Factory</t>
        </is>
      </c>
      <c r="M29" s="56" t="n">
        <v>23.41</v>
      </c>
      <c r="N29" s="56" t="n">
        <v>5.95</v>
      </c>
      <c r="O29" s="56" t="n">
        <v>3.59</v>
      </c>
      <c r="P29" s="56" t="n">
        <v>0.03</v>
      </c>
      <c r="Q29" s="56" t="n">
        <v>2.68</v>
      </c>
      <c r="R29" s="56" t="n">
        <v>2</v>
      </c>
      <c r="S29" s="56">
        <f>IF(AC29="Cancelled",0,M29*R29)</f>
        <v/>
      </c>
      <c r="T29" s="56">
        <f>IF(AC29="Cancelled",0,N29*R29)</f>
        <v/>
      </c>
      <c r="U29" s="56">
        <f>IF(AC29="Cancelled",0,O29*R29)</f>
        <v/>
      </c>
      <c r="V29" s="56">
        <f>IF(AC29="Cancelled",0,ROUND(P29*S29,2))</f>
        <v/>
      </c>
      <c r="W29" s="56" t="inlineStr">
        <is>
          <t>No</t>
        </is>
      </c>
      <c r="X29" s="56" t="n">
        <v>0</v>
      </c>
      <c r="Y29" s="56">
        <f>IF(AC29="Cancelled",0,T29+U29+V29+Q29+X29)</f>
        <v/>
      </c>
      <c r="Z29" s="56">
        <f>IF(AC29="Cancelled",-Q29,S29-Y29)</f>
        <v/>
      </c>
      <c r="AA29" s="56">
        <f>IF(OR(AC29="Cancelled",S29=0),0,Z29/S29)</f>
        <v/>
      </c>
      <c r="AB29" s="56">
        <f>IFERROR(IF(Q29=0,0,S29/Q29),0)</f>
        <v/>
      </c>
      <c r="AC29" s="56" t="inlineStr">
        <is>
          <t>Delivered</t>
        </is>
      </c>
      <c r="AD29" s="56">
        <f>IF(Z29&lt;=0,"Low Profit",IF(Z29&gt;=50,"HighProfit","Medium Profit"))</f>
        <v/>
      </c>
      <c r="AE29" s="56">
        <f>TEXT(B29,"mmmm")</f>
        <v/>
      </c>
    </row>
    <row r="30" ht="14.25" customHeight="1" s="57">
      <c r="A30" s="56" t="inlineStr">
        <is>
          <t>ORD-00042</t>
        </is>
      </c>
      <c r="B30" s="116" t="n">
        <v>45688</v>
      </c>
      <c r="C30" s="56" t="n">
        <v>2025</v>
      </c>
      <c r="D30" s="56" t="n">
        <v>1</v>
      </c>
      <c r="E30" s="56" t="inlineStr">
        <is>
          <t>UAE</t>
        </is>
      </c>
      <c r="F30" s="56" t="inlineStr">
        <is>
          <t>Dubai</t>
        </is>
      </c>
      <c r="G30" s="56" t="inlineStr">
        <is>
          <t>TikTok Ads</t>
        </is>
      </c>
      <c r="H30" s="56" t="inlineStr">
        <is>
          <t>Launch Test</t>
        </is>
      </c>
      <c r="I30" s="56" t="inlineStr">
        <is>
          <t>P004</t>
        </is>
      </c>
      <c r="J30" s="56" t="inlineStr">
        <is>
          <t>Beauty Tool</t>
        </is>
      </c>
      <c r="K30" s="56" t="inlineStr">
        <is>
          <t>Beauty</t>
        </is>
      </c>
      <c r="L30" s="56" t="inlineStr">
        <is>
          <t>Ningbo Beauty Supply</t>
        </is>
      </c>
      <c r="M30" s="56" t="n">
        <v>31.55</v>
      </c>
      <c r="N30" s="56" t="n">
        <v>7.03</v>
      </c>
      <c r="O30" s="56" t="n">
        <v>5.02</v>
      </c>
      <c r="P30" s="56" t="n">
        <v>0.03</v>
      </c>
      <c r="Q30" s="56" t="n">
        <v>9.109999999999999</v>
      </c>
      <c r="R30" s="56" t="n">
        <v>2</v>
      </c>
      <c r="S30" s="56">
        <f>IF(AC30="Cancelled",0,M30*R30)</f>
        <v/>
      </c>
      <c r="T30" s="56">
        <f>IF(AC30="Cancelled",0,N30*R30)</f>
        <v/>
      </c>
      <c r="U30" s="56">
        <f>IF(AC30="Cancelled",0,O30*R30)</f>
        <v/>
      </c>
      <c r="V30" s="56">
        <f>IF(AC30="Cancelled",0,ROUND(P30*S30,2))</f>
        <v/>
      </c>
      <c r="W30" s="56" t="inlineStr">
        <is>
          <t>No</t>
        </is>
      </c>
      <c r="X30" s="56" t="n">
        <v>0</v>
      </c>
      <c r="Y30" s="56">
        <f>IF(AC30="Cancelled",0,T30+U30+V30+Q30+X30)</f>
        <v/>
      </c>
      <c r="Z30" s="56">
        <f>IF(AC30="Cancelled",-Q30,S30-Y30)</f>
        <v/>
      </c>
      <c r="AA30" s="56">
        <f>IF(OR(AC30="Cancelled",S30=0),0,Z30/S30)</f>
        <v/>
      </c>
      <c r="AB30" s="56">
        <f>IFERROR(IF(Q30=0,0,S30/Q30),0)</f>
        <v/>
      </c>
      <c r="AC30" s="56" t="inlineStr">
        <is>
          <t>Delivered</t>
        </is>
      </c>
      <c r="AD30" s="56">
        <f>IF(Z30&lt;=0,"Low Profit",IF(Z30&gt;=50,"HighProfit","Medium Profit"))</f>
        <v/>
      </c>
      <c r="AE30" s="56">
        <f>TEXT(B30,"mmmm")</f>
        <v/>
      </c>
    </row>
    <row r="31" ht="14.25" customHeight="1" s="57">
      <c r="A31" s="56" t="inlineStr">
        <is>
          <t>ORD-00317</t>
        </is>
      </c>
      <c r="B31" s="116" t="n">
        <v>45688</v>
      </c>
      <c r="C31" s="56" t="n">
        <v>2025</v>
      </c>
      <c r="D31" s="56" t="n">
        <v>1</v>
      </c>
      <c r="E31" s="56" t="inlineStr">
        <is>
          <t>Kuwait</t>
        </is>
      </c>
      <c r="F31" s="56" t="inlineStr">
        <is>
          <t>Kuwait City</t>
        </is>
      </c>
      <c r="G31" s="56" t="inlineStr">
        <is>
          <t>Google Ads</t>
        </is>
      </c>
      <c r="H31" s="56" t="inlineStr">
        <is>
          <t>Retargeting</t>
        </is>
      </c>
      <c r="I31" s="56" t="inlineStr">
        <is>
          <t>P002</t>
        </is>
      </c>
      <c r="J31" s="56" t="inlineStr">
        <is>
          <t>Phone Case</t>
        </is>
      </c>
      <c r="K31" s="56" t="inlineStr">
        <is>
          <t>Accessories</t>
        </is>
      </c>
      <c r="L31" s="56" t="inlineStr">
        <is>
          <t>Guangzhou Cases Ltd.</t>
        </is>
      </c>
      <c r="M31" s="56" t="n">
        <v>15.35</v>
      </c>
      <c r="N31" s="56" t="n">
        <v>2.02</v>
      </c>
      <c r="O31" s="56" t="n">
        <v>2.02</v>
      </c>
      <c r="P31" s="56" t="n">
        <v>0.03</v>
      </c>
      <c r="Q31" s="56" t="n">
        <v>12.66</v>
      </c>
      <c r="R31" s="56" t="n">
        <v>3</v>
      </c>
      <c r="S31" s="56">
        <f>IF(AC31="Cancelled",0,M31*R31)</f>
        <v/>
      </c>
      <c r="T31" s="56">
        <f>IF(AC31="Cancelled",0,N31*R31)</f>
        <v/>
      </c>
      <c r="U31" s="56">
        <f>IF(AC31="Cancelled",0,O31*R31)</f>
        <v/>
      </c>
      <c r="V31" s="56">
        <f>IF(AC31="Cancelled",0,ROUND(P31*S31,2))</f>
        <v/>
      </c>
      <c r="W31" s="56" t="inlineStr">
        <is>
          <t>No</t>
        </is>
      </c>
      <c r="X31" s="56" t="n">
        <v>0</v>
      </c>
      <c r="Y31" s="56">
        <f>IF(AC31="Cancelled",0,T31+U31+V31+Q31+X31)</f>
        <v/>
      </c>
      <c r="Z31" s="56">
        <f>IF(AC31="Cancelled",-Q31,S31-Y31)</f>
        <v/>
      </c>
      <c r="AA31" s="56">
        <f>IF(OR(AC31="Cancelled",S31=0),0,Z31/S31)</f>
        <v/>
      </c>
      <c r="AB31" s="56">
        <f>IFERROR(IF(Q31=0,0,S31/Q31),0)</f>
        <v/>
      </c>
      <c r="AC31" s="56" t="inlineStr">
        <is>
          <t>Delivered</t>
        </is>
      </c>
      <c r="AD31" s="56">
        <f>IF(Z31&lt;=0,"Low Profit",IF(Z31&gt;=50,"HighProfit","Medium Profit"))</f>
        <v/>
      </c>
      <c r="AE31" s="56">
        <f>TEXT(B31,"mmmm")</f>
        <v/>
      </c>
    </row>
    <row r="32" ht="14.25" customHeight="1" s="57">
      <c r="A32" s="56" t="inlineStr">
        <is>
          <t>ORD-00396</t>
        </is>
      </c>
      <c r="B32" s="116" t="n">
        <v>45688</v>
      </c>
      <c r="C32" s="56" t="n">
        <v>2025</v>
      </c>
      <c r="D32" s="56" t="n">
        <v>1</v>
      </c>
      <c r="E32" s="56" t="inlineStr">
        <is>
          <t>Qatar</t>
        </is>
      </c>
      <c r="F32" s="56" t="inlineStr">
        <is>
          <t>Doha</t>
        </is>
      </c>
      <c r="G32" s="56" t="inlineStr">
        <is>
          <t>Google Ads</t>
        </is>
      </c>
      <c r="H32" s="56" t="inlineStr">
        <is>
          <t>Summer Sale</t>
        </is>
      </c>
      <c r="I32" s="56" t="inlineStr">
        <is>
          <t>P010</t>
        </is>
      </c>
      <c r="J32" s="56" t="inlineStr">
        <is>
          <t>Smart Water Bottle</t>
        </is>
      </c>
      <c r="K32" s="56" t="inlineStr">
        <is>
          <t>Lifestyle</t>
        </is>
      </c>
      <c r="L32" s="56" t="inlineStr">
        <is>
          <t>Shenzhen Smart Home</t>
        </is>
      </c>
      <c r="M32" s="56" t="n">
        <v>31.41</v>
      </c>
      <c r="N32" s="56" t="n">
        <v>9.76</v>
      </c>
      <c r="O32" s="56" t="n">
        <v>3.84</v>
      </c>
      <c r="P32" s="56" t="n">
        <v>0.03</v>
      </c>
      <c r="Q32" s="56" t="n">
        <v>16.43</v>
      </c>
      <c r="R32" s="56" t="n">
        <v>2</v>
      </c>
      <c r="S32" s="56">
        <f>IF(AC32="Cancelled",0,M32*R32)</f>
        <v/>
      </c>
      <c r="T32" s="56">
        <f>IF(AC32="Cancelled",0,N32*R32)</f>
        <v/>
      </c>
      <c r="U32" s="56">
        <f>IF(AC32="Cancelled",0,O32*R32)</f>
        <v/>
      </c>
      <c r="V32" s="56">
        <f>IF(AC32="Cancelled",0,ROUND(P32*S32,2))</f>
        <v/>
      </c>
      <c r="W32" s="56" t="inlineStr">
        <is>
          <t>No</t>
        </is>
      </c>
      <c r="X32" s="56" t="n">
        <v>0</v>
      </c>
      <c r="Y32" s="56">
        <f>IF(AC32="Cancelled",0,T32+U32+V32+Q32+X32)</f>
        <v/>
      </c>
      <c r="Z32" s="56">
        <f>IF(AC32="Cancelled",-Q32,S32-Y32)</f>
        <v/>
      </c>
      <c r="AA32" s="56">
        <f>IF(OR(AC32="Cancelled",S32=0),0,Z32/S32)</f>
        <v/>
      </c>
      <c r="AB32" s="56">
        <f>IFERROR(IF(Q32=0,0,S32/Q32),0)</f>
        <v/>
      </c>
      <c r="AC32" s="56" t="inlineStr">
        <is>
          <t>Delivered</t>
        </is>
      </c>
      <c r="AD32" s="56">
        <f>IF(Z32&lt;=0,"Low Profit",IF(Z32&gt;=50,"HighProfit","Medium Profit"))</f>
        <v/>
      </c>
      <c r="AE32" s="56">
        <f>TEXT(B32,"mmmm")</f>
        <v/>
      </c>
    </row>
    <row r="33" ht="14.25" customHeight="1" s="57">
      <c r="A33" s="56" t="inlineStr">
        <is>
          <t>ORD-00233</t>
        </is>
      </c>
      <c r="B33" s="116" t="n">
        <v>45689</v>
      </c>
      <c r="C33" s="56" t="n">
        <v>2025</v>
      </c>
      <c r="D33" s="56" t="n">
        <v>2</v>
      </c>
      <c r="E33" s="56" t="inlineStr">
        <is>
          <t>UAE</t>
        </is>
      </c>
      <c r="F33" s="56" t="inlineStr">
        <is>
          <t>Sharjah</t>
        </is>
      </c>
      <c r="G33" s="56" t="inlineStr">
        <is>
          <t>Meta Ads</t>
        </is>
      </c>
      <c r="H33" s="56" t="inlineStr">
        <is>
          <t>Retargeting</t>
        </is>
      </c>
      <c r="I33" s="56" t="inlineStr">
        <is>
          <t>P002</t>
        </is>
      </c>
      <c r="J33" s="56" t="inlineStr">
        <is>
          <t>Phone Case</t>
        </is>
      </c>
      <c r="K33" s="56" t="inlineStr">
        <is>
          <t>Accessories</t>
        </is>
      </c>
      <c r="L33" s="56" t="inlineStr">
        <is>
          <t>Guangzhou Cases Ltd.</t>
        </is>
      </c>
      <c r="M33" s="56" t="n">
        <v>15.14</v>
      </c>
      <c r="N33" s="56" t="n">
        <v>2.1</v>
      </c>
      <c r="O33" s="56" t="n">
        <v>1.87</v>
      </c>
      <c r="P33" s="56" t="n">
        <v>0.03</v>
      </c>
      <c r="Q33" s="56" t="n">
        <v>9.65</v>
      </c>
      <c r="R33" s="56" t="n">
        <v>1</v>
      </c>
      <c r="S33" s="56">
        <f>IF(AC33="Cancelled",0,M33*R33)</f>
        <v/>
      </c>
      <c r="T33" s="56">
        <f>IF(AC33="Cancelled",0,N33*R33)</f>
        <v/>
      </c>
      <c r="U33" s="56">
        <f>IF(AC33="Cancelled",0,O33*R33)</f>
        <v/>
      </c>
      <c r="V33" s="56">
        <f>IF(AC33="Cancelled",0,ROUND(P33*S33,2))</f>
        <v/>
      </c>
      <c r="W33" s="56" t="inlineStr">
        <is>
          <t>Yes</t>
        </is>
      </c>
      <c r="X33" s="56" t="n">
        <v>7.2</v>
      </c>
      <c r="Y33" s="56">
        <f>IF(AC33="Cancelled",0,T33+U33+V33+Q33+X33)</f>
        <v/>
      </c>
      <c r="Z33" s="56">
        <f>IF(AC33="Cancelled",-Q33,S33-Y33)</f>
        <v/>
      </c>
      <c r="AA33" s="56">
        <f>IF(OR(AC33="Cancelled",S33=0),0,Z33/S33)</f>
        <v/>
      </c>
      <c r="AB33" s="56">
        <f>IFERROR(IF(Q33=0,0,S33/Q33),0)</f>
        <v/>
      </c>
      <c r="AC33" s="56" t="inlineStr">
        <is>
          <t>Refunded</t>
        </is>
      </c>
      <c r="AD33" s="56">
        <f>IF(Z33&lt;=0,"Low Profit",IF(Z33&gt;=50,"HighProfit","Medium Profit"))</f>
        <v/>
      </c>
      <c r="AE33" s="56">
        <f>TEXT(B33,"mmmm")</f>
        <v/>
      </c>
    </row>
    <row r="34" ht="14.25" customHeight="1" s="57">
      <c r="A34" s="56" t="inlineStr">
        <is>
          <t>ORD-00022</t>
        </is>
      </c>
      <c r="B34" s="116" t="n">
        <v>45691</v>
      </c>
      <c r="C34" s="56" t="n">
        <v>2025</v>
      </c>
      <c r="D34" s="56" t="n">
        <v>2</v>
      </c>
      <c r="E34" s="56" t="inlineStr">
        <is>
          <t>Saudi Arabia</t>
        </is>
      </c>
      <c r="F34" s="56" t="inlineStr">
        <is>
          <t>Jeddah</t>
        </is>
      </c>
      <c r="G34" s="56" t="inlineStr">
        <is>
          <t>TikTok Ads</t>
        </is>
      </c>
      <c r="H34" s="56" t="inlineStr">
        <is>
          <t>Retargeting</t>
        </is>
      </c>
      <c r="I34" s="56" t="inlineStr">
        <is>
          <t>P010</t>
        </is>
      </c>
      <c r="J34" s="56" t="inlineStr">
        <is>
          <t>Smart Water Bottle</t>
        </is>
      </c>
      <c r="K34" s="56" t="inlineStr">
        <is>
          <t>Lifestyle</t>
        </is>
      </c>
      <c r="L34" s="56" t="inlineStr">
        <is>
          <t>Shenzhen Smart Home</t>
        </is>
      </c>
      <c r="M34" s="56" t="n">
        <v>32.03</v>
      </c>
      <c r="N34" s="56" t="n">
        <v>10.46</v>
      </c>
      <c r="O34" s="56" t="n">
        <v>4.21</v>
      </c>
      <c r="P34" s="56" t="n">
        <v>0.03</v>
      </c>
      <c r="Q34" s="56" t="n">
        <v>11.05</v>
      </c>
      <c r="R34" s="56" t="n">
        <v>3</v>
      </c>
      <c r="S34" s="56">
        <f>IF(AC34="Cancelled",0,M34*R34)</f>
        <v/>
      </c>
      <c r="T34" s="56">
        <f>IF(AC34="Cancelled",0,N34*R34)</f>
        <v/>
      </c>
      <c r="U34" s="56">
        <f>IF(AC34="Cancelled",0,O34*R34)</f>
        <v/>
      </c>
      <c r="V34" s="56">
        <f>IF(AC34="Cancelled",0,ROUND(P34*S34,2))</f>
        <v/>
      </c>
      <c r="W34" s="56" t="inlineStr">
        <is>
          <t>No</t>
        </is>
      </c>
      <c r="X34" s="56" t="n">
        <v>0</v>
      </c>
      <c r="Y34" s="56">
        <f>IF(AC34="Cancelled",0,T34+U34+V34+Q34+X34)</f>
        <v/>
      </c>
      <c r="Z34" s="56">
        <f>IF(AC34="Cancelled",-Q34,S34-Y34)</f>
        <v/>
      </c>
      <c r="AA34" s="56">
        <f>IF(OR(AC34="Cancelled",S34=0),0,Z34/S34)</f>
        <v/>
      </c>
      <c r="AB34" s="56">
        <f>IFERROR(IF(Q34=0,0,S34/Q34),0)</f>
        <v/>
      </c>
      <c r="AC34" s="56" t="inlineStr">
        <is>
          <t>Delivered</t>
        </is>
      </c>
      <c r="AD34" s="56">
        <f>IF(Z34&lt;=0,"Low Profit",IF(Z34&gt;=50,"HighProfit","Medium Profit"))</f>
        <v/>
      </c>
      <c r="AE34" s="56">
        <f>TEXT(B34,"mmmm")</f>
        <v/>
      </c>
    </row>
    <row r="35" ht="14.25" customHeight="1" s="57">
      <c r="A35" s="56" t="inlineStr">
        <is>
          <t>ORD-00050</t>
        </is>
      </c>
      <c r="B35" s="116" t="n">
        <v>45692</v>
      </c>
      <c r="C35" s="56" t="n">
        <v>2025</v>
      </c>
      <c r="D35" s="56" t="n">
        <v>2</v>
      </c>
      <c r="E35" s="56" t="inlineStr">
        <is>
          <t>UAE</t>
        </is>
      </c>
      <c r="F35" s="56" t="inlineStr">
        <is>
          <t>Sharjah</t>
        </is>
      </c>
      <c r="G35" s="56" t="inlineStr">
        <is>
          <t>Organic Search</t>
        </is>
      </c>
      <c r="H35" s="56" t="inlineStr">
        <is>
          <t>Retargeting</t>
        </is>
      </c>
      <c r="I35" s="56" t="inlineStr">
        <is>
          <t>P009</t>
        </is>
      </c>
      <c r="J35" s="56" t="inlineStr">
        <is>
          <t>Car Vacuum Cleaner</t>
        </is>
      </c>
      <c r="K35" s="56" t="inlineStr">
        <is>
          <t>Automotive</t>
        </is>
      </c>
      <c r="L35" s="56" t="inlineStr">
        <is>
          <t>Dongguan Auto Tools</t>
        </is>
      </c>
      <c r="M35" s="56" t="n">
        <v>41.78</v>
      </c>
      <c r="N35" s="56" t="n">
        <v>14.5</v>
      </c>
      <c r="O35" s="56" t="n">
        <v>6.59</v>
      </c>
      <c r="P35" s="56" t="n">
        <v>0.03</v>
      </c>
      <c r="Q35" s="56" t="n">
        <v>0</v>
      </c>
      <c r="R35" s="56" t="n">
        <v>3</v>
      </c>
      <c r="S35" s="56">
        <f>IF(AC35="Cancelled",0,M35*R35)</f>
        <v/>
      </c>
      <c r="T35" s="56">
        <f>IF(AC35="Cancelled",0,N35*R35)</f>
        <v/>
      </c>
      <c r="U35" s="56">
        <f>IF(AC35="Cancelled",0,O35*R35)</f>
        <v/>
      </c>
      <c r="V35" s="56">
        <f>IF(AC35="Cancelled",0,ROUND(P35*S35,2))</f>
        <v/>
      </c>
      <c r="W35" s="56" t="inlineStr">
        <is>
          <t>No</t>
        </is>
      </c>
      <c r="X35" s="56" t="n">
        <v>0</v>
      </c>
      <c r="Y35" s="56">
        <f>IF(AC35="Cancelled",0,T35+U35+V35+Q35+X35)</f>
        <v/>
      </c>
      <c r="Z35" s="56">
        <f>IF(AC35="Cancelled",-Q35,S35-Y35)</f>
        <v/>
      </c>
      <c r="AA35" s="56">
        <f>IF(OR(AC35="Cancelled",S35=0),0,Z35/S35)</f>
        <v/>
      </c>
      <c r="AB35" s="56">
        <f>IFERROR(IF(Q35=0,0,S35/Q35),0)</f>
        <v/>
      </c>
      <c r="AC35" s="56" t="inlineStr">
        <is>
          <t>Delivered</t>
        </is>
      </c>
      <c r="AD35" s="56">
        <f>IF(Z35&lt;=0,"Low Profit",IF(Z35&gt;=50,"HighProfit","Medium Profit"))</f>
        <v/>
      </c>
      <c r="AE35" s="56">
        <f>TEXT(B35,"mmmm")</f>
        <v/>
      </c>
    </row>
    <row r="36" ht="14.25" customHeight="1" s="57">
      <c r="A36" s="56" t="inlineStr">
        <is>
          <t>ORD-00440</t>
        </is>
      </c>
      <c r="B36" s="116" t="n">
        <v>45692</v>
      </c>
      <c r="C36" s="56" t="n">
        <v>2025</v>
      </c>
      <c r="D36" s="56" t="n">
        <v>2</v>
      </c>
      <c r="E36" s="56" t="inlineStr">
        <is>
          <t>UAE</t>
        </is>
      </c>
      <c r="F36" s="56" t="inlineStr">
        <is>
          <t>Sharjah</t>
        </is>
      </c>
      <c r="G36" s="56" t="inlineStr">
        <is>
          <t>Email</t>
        </is>
      </c>
      <c r="H36" s="56" t="inlineStr">
        <is>
          <t>Launch Test</t>
        </is>
      </c>
      <c r="I36" s="56" t="inlineStr">
        <is>
          <t>P010</t>
        </is>
      </c>
      <c r="J36" s="56" t="inlineStr">
        <is>
          <t>Smart Water Bottle</t>
        </is>
      </c>
      <c r="K36" s="56" t="inlineStr">
        <is>
          <t>Lifestyle</t>
        </is>
      </c>
      <c r="L36" s="56" t="inlineStr">
        <is>
          <t>Shenzhen Smart Home</t>
        </is>
      </c>
      <c r="M36" s="56" t="n">
        <v>32.19</v>
      </c>
      <c r="N36" s="56" t="n">
        <v>9.83</v>
      </c>
      <c r="O36" s="56" t="n">
        <v>4.1</v>
      </c>
      <c r="P36" s="56" t="n">
        <v>0.03</v>
      </c>
      <c r="Q36" s="56" t="n">
        <v>10.31</v>
      </c>
      <c r="R36" s="56" t="n">
        <v>1</v>
      </c>
      <c r="S36" s="56">
        <f>IF(AC36="Cancelled",0,M36*R36)</f>
        <v/>
      </c>
      <c r="T36" s="56">
        <f>IF(AC36="Cancelled",0,N36*R36)</f>
        <v/>
      </c>
      <c r="U36" s="56">
        <f>IF(AC36="Cancelled",0,O36*R36)</f>
        <v/>
      </c>
      <c r="V36" s="56">
        <f>IF(AC36="Cancelled",0,ROUND(P36*S36,2))</f>
        <v/>
      </c>
      <c r="W36" s="56" t="inlineStr">
        <is>
          <t>No</t>
        </is>
      </c>
      <c r="X36" s="56" t="n">
        <v>0</v>
      </c>
      <c r="Y36" s="56">
        <f>IF(AC36="Cancelled",0,T36+U36+V36+Q36+X36)</f>
        <v/>
      </c>
      <c r="Z36" s="56">
        <f>IF(AC36="Cancelled",-Q36,S36-Y36)</f>
        <v/>
      </c>
      <c r="AA36" s="56">
        <f>IF(OR(AC36="Cancelled",S36=0),0,Z36/S36)</f>
        <v/>
      </c>
      <c r="AB36" s="56">
        <f>IFERROR(IF(Q36=0,0,S36/Q36),0)</f>
        <v/>
      </c>
      <c r="AC36" s="56" t="inlineStr">
        <is>
          <t>Delivered</t>
        </is>
      </c>
      <c r="AD36" s="56">
        <f>IF(Z36&lt;=0,"Low Profit",IF(Z36&gt;=50,"HighProfit","Medium Profit"))</f>
        <v/>
      </c>
      <c r="AE36" s="56">
        <f>TEXT(B36,"mmmm")</f>
        <v/>
      </c>
    </row>
    <row r="37" ht="14.25" customHeight="1" s="57">
      <c r="A37" s="56" t="inlineStr">
        <is>
          <t>ORD-00296</t>
        </is>
      </c>
      <c r="B37" s="116" t="n">
        <v>45694</v>
      </c>
      <c r="C37" s="56" t="n">
        <v>2025</v>
      </c>
      <c r="D37" s="56" t="n">
        <v>2</v>
      </c>
      <c r="E37" s="56" t="inlineStr">
        <is>
          <t>Saudi Arabia</t>
        </is>
      </c>
      <c r="F37" s="56" t="inlineStr">
        <is>
          <t>Riyadh</t>
        </is>
      </c>
      <c r="G37" s="56" t="inlineStr">
        <is>
          <t>Google Ads</t>
        </is>
      </c>
      <c r="H37" s="56" t="inlineStr">
        <is>
          <t>Retargeting</t>
        </is>
      </c>
      <c r="I37" s="56" t="inlineStr">
        <is>
          <t>P003</t>
        </is>
      </c>
      <c r="J37" s="56" t="inlineStr">
        <is>
          <t>LED Strip Lights</t>
        </is>
      </c>
      <c r="K37" s="56" t="inlineStr">
        <is>
          <t>Home Decor</t>
        </is>
      </c>
      <c r="L37" s="56" t="inlineStr">
        <is>
          <t>Yiwu Lighting Factory</t>
        </is>
      </c>
      <c r="M37" s="56" t="n">
        <v>25.43</v>
      </c>
      <c r="N37" s="56" t="n">
        <v>6.39</v>
      </c>
      <c r="O37" s="56" t="n">
        <v>3.55</v>
      </c>
      <c r="P37" s="56" t="n">
        <v>0.03</v>
      </c>
      <c r="Q37" s="56" t="n">
        <v>6.71</v>
      </c>
      <c r="R37" s="56" t="n">
        <v>1</v>
      </c>
      <c r="S37" s="56">
        <f>IF(AC37="Cancelled",0,M37*R37)</f>
        <v/>
      </c>
      <c r="T37" s="56">
        <f>IF(AC37="Cancelled",0,N37*R37)</f>
        <v/>
      </c>
      <c r="U37" s="56">
        <f>IF(AC37="Cancelled",0,O37*R37)</f>
        <v/>
      </c>
      <c r="V37" s="56">
        <f>IF(AC37="Cancelled",0,ROUND(P37*S37,2))</f>
        <v/>
      </c>
      <c r="W37" s="56" t="inlineStr">
        <is>
          <t>No</t>
        </is>
      </c>
      <c r="X37" s="56" t="n">
        <v>0</v>
      </c>
      <c r="Y37" s="56">
        <f>IF(AC37="Cancelled",0,T37+U37+V37+Q37+X37)</f>
        <v/>
      </c>
      <c r="Z37" s="56">
        <f>IF(AC37="Cancelled",-Q37,S37-Y37)</f>
        <v/>
      </c>
      <c r="AA37" s="56">
        <f>IF(OR(AC37="Cancelled",S37=0),0,Z37/S37)</f>
        <v/>
      </c>
      <c r="AB37" s="56">
        <f>IFERROR(IF(Q37=0,0,S37/Q37),0)</f>
        <v/>
      </c>
      <c r="AC37" s="56" t="inlineStr">
        <is>
          <t>Delivered</t>
        </is>
      </c>
      <c r="AD37" s="56">
        <f>IF(Z37&lt;=0,"Low Profit",IF(Z37&gt;=50,"HighProfit","Medium Profit"))</f>
        <v/>
      </c>
      <c r="AE37" s="56">
        <f>TEXT(B37,"mmmm")</f>
        <v/>
      </c>
    </row>
    <row r="38" ht="14.25" customHeight="1" s="57">
      <c r="A38" s="56" t="inlineStr">
        <is>
          <t>ORD-00469</t>
        </is>
      </c>
      <c r="B38" s="116" t="n">
        <v>45694</v>
      </c>
      <c r="C38" s="56" t="n">
        <v>2025</v>
      </c>
      <c r="D38" s="56" t="n">
        <v>2</v>
      </c>
      <c r="E38" s="56" t="inlineStr">
        <is>
          <t>Saudi Arabia</t>
        </is>
      </c>
      <c r="F38" s="56" t="inlineStr">
        <is>
          <t>Jeddah</t>
        </is>
      </c>
      <c r="G38" s="56" t="inlineStr">
        <is>
          <t>Influencer</t>
        </is>
      </c>
      <c r="H38" s="56" t="inlineStr">
        <is>
          <t>Retargeting</t>
        </is>
      </c>
      <c r="I38" s="56" t="inlineStr">
        <is>
          <t>P006</t>
        </is>
      </c>
      <c r="J38" s="56" t="inlineStr">
        <is>
          <t>Posture Corrector</t>
        </is>
      </c>
      <c r="K38" s="56" t="inlineStr">
        <is>
          <t>Fitness</t>
        </is>
      </c>
      <c r="L38" s="56" t="inlineStr">
        <is>
          <t>Hangzhou Health Gear</t>
        </is>
      </c>
      <c r="M38" s="56" t="n">
        <v>31.5</v>
      </c>
      <c r="N38" s="56" t="n">
        <v>8.85</v>
      </c>
      <c r="O38" s="56" t="n">
        <v>3.85</v>
      </c>
      <c r="P38" s="56" t="n">
        <v>0.03</v>
      </c>
      <c r="Q38" s="56" t="n">
        <v>14.87</v>
      </c>
      <c r="R38" s="56" t="n">
        <v>2</v>
      </c>
      <c r="S38" s="56">
        <f>IF(AC38="Cancelled",0,M38*R38)</f>
        <v/>
      </c>
      <c r="T38" s="56">
        <f>IF(AC38="Cancelled",0,N38*R38)</f>
        <v/>
      </c>
      <c r="U38" s="56">
        <f>IF(AC38="Cancelled",0,O38*R38)</f>
        <v/>
      </c>
      <c r="V38" s="56">
        <f>IF(AC38="Cancelled",0,ROUND(P38*S38,2))</f>
        <v/>
      </c>
      <c r="W38" s="56" t="inlineStr">
        <is>
          <t>No</t>
        </is>
      </c>
      <c r="X38" s="56" t="n">
        <v>0</v>
      </c>
      <c r="Y38" s="56">
        <f>IF(AC38="Cancelled",0,T38+U38+V38+Q38+X38)</f>
        <v/>
      </c>
      <c r="Z38" s="56">
        <f>IF(AC38="Cancelled",-Q38,S38-Y38)</f>
        <v/>
      </c>
      <c r="AA38" s="56">
        <f>IF(OR(AC38="Cancelled",S38=0),0,Z38/S38)</f>
        <v/>
      </c>
      <c r="AB38" s="56">
        <f>IFERROR(IF(Q38=0,0,S38/Q38),0)</f>
        <v/>
      </c>
      <c r="AC38" s="56" t="inlineStr">
        <is>
          <t>Delivered</t>
        </is>
      </c>
      <c r="AD38" s="56">
        <f>IF(Z38&lt;=0,"Low Profit",IF(Z38&gt;=50,"HighProfit","Medium Profit"))</f>
        <v/>
      </c>
      <c r="AE38" s="56">
        <f>TEXT(B38,"mmmm")</f>
        <v/>
      </c>
    </row>
    <row r="39" ht="14.25" customHeight="1" s="57">
      <c r="A39" s="56" t="inlineStr">
        <is>
          <t>ORD-00238</t>
        </is>
      </c>
      <c r="B39" s="116" t="n">
        <v>45695</v>
      </c>
      <c r="C39" s="56" t="n">
        <v>2025</v>
      </c>
      <c r="D39" s="56" t="n">
        <v>2</v>
      </c>
      <c r="E39" s="56" t="inlineStr">
        <is>
          <t>Oman</t>
        </is>
      </c>
      <c r="F39" s="56" t="inlineStr">
        <is>
          <t>Muscat</t>
        </is>
      </c>
      <c r="G39" s="56" t="inlineStr">
        <is>
          <t>Google Ads</t>
        </is>
      </c>
      <c r="H39" s="56" t="inlineStr">
        <is>
          <t>Launch Test</t>
        </is>
      </c>
      <c r="I39" s="56" t="inlineStr">
        <is>
          <t>P001</t>
        </is>
      </c>
      <c r="J39" s="56" t="inlineStr">
        <is>
          <t>Wireless Earbuds</t>
        </is>
      </c>
      <c r="K39" s="56" t="inlineStr">
        <is>
          <t>Electronics</t>
        </is>
      </c>
      <c r="L39" s="56" t="inlineStr">
        <is>
          <t>Shenzhen Audio Co.</t>
        </is>
      </c>
      <c r="M39" s="56" t="n">
        <v>44.13</v>
      </c>
      <c r="N39" s="56" t="n">
        <v>8.48</v>
      </c>
      <c r="O39" s="56" t="n">
        <v>3.92</v>
      </c>
      <c r="P39" s="56" t="n">
        <v>0.03</v>
      </c>
      <c r="Q39" s="56" t="n">
        <v>3.98</v>
      </c>
      <c r="R39" s="56" t="n">
        <v>1</v>
      </c>
      <c r="S39" s="56">
        <f>IF(AC39="Cancelled",0,M39*R39)</f>
        <v/>
      </c>
      <c r="T39" s="56">
        <f>IF(AC39="Cancelled",0,N39*R39)</f>
        <v/>
      </c>
      <c r="U39" s="56">
        <f>IF(AC39="Cancelled",0,O39*R39)</f>
        <v/>
      </c>
      <c r="V39" s="56">
        <f>IF(AC39="Cancelled",0,ROUND(P39*S39,2))</f>
        <v/>
      </c>
      <c r="W39" s="56" t="inlineStr">
        <is>
          <t>No</t>
        </is>
      </c>
      <c r="X39" s="56" t="n">
        <v>0</v>
      </c>
      <c r="Y39" s="56">
        <f>IF(AC39="Cancelled",0,T39+U39+V39+Q39+X39)</f>
        <v/>
      </c>
      <c r="Z39" s="56">
        <f>IF(AC39="Cancelled",-Q39,S39-Y39)</f>
        <v/>
      </c>
      <c r="AA39" s="56">
        <f>IF(OR(AC39="Cancelled",S39=0),0,Z39/S39)</f>
        <v/>
      </c>
      <c r="AB39" s="56">
        <f>IFERROR(IF(Q39=0,0,S39/Q39),0)</f>
        <v/>
      </c>
      <c r="AC39" s="56" t="inlineStr">
        <is>
          <t>Delivered</t>
        </is>
      </c>
      <c r="AD39" s="56">
        <f>IF(Z39&lt;=0,"Low Profit",IF(Z39&gt;=50,"HighProfit","Medium Profit"))</f>
        <v/>
      </c>
      <c r="AE39" s="56">
        <f>TEXT(B39,"mmmm")</f>
        <v/>
      </c>
    </row>
    <row r="40" ht="14.25" customHeight="1" s="57">
      <c r="A40" s="56" t="inlineStr">
        <is>
          <t>ORD-00285</t>
        </is>
      </c>
      <c r="B40" s="116" t="n">
        <v>45695</v>
      </c>
      <c r="C40" s="56" t="n">
        <v>2025</v>
      </c>
      <c r="D40" s="56" t="n">
        <v>2</v>
      </c>
      <c r="E40" s="56" t="inlineStr">
        <is>
          <t>Saudi Arabia</t>
        </is>
      </c>
      <c r="F40" s="56" t="inlineStr">
        <is>
          <t>Riyadh</t>
        </is>
      </c>
      <c r="G40" s="56" t="inlineStr">
        <is>
          <t>Organic Search</t>
        </is>
      </c>
      <c r="H40" s="56" t="inlineStr">
        <is>
          <t>Bundle Promo</t>
        </is>
      </c>
      <c r="I40" s="56" t="inlineStr">
        <is>
          <t>P004</t>
        </is>
      </c>
      <c r="J40" s="56" t="inlineStr">
        <is>
          <t>Beauty Tool</t>
        </is>
      </c>
      <c r="K40" s="56" t="inlineStr">
        <is>
          <t>Beauty</t>
        </is>
      </c>
      <c r="L40" s="56" t="inlineStr">
        <is>
          <t>Ningbo Beauty Supply</t>
        </is>
      </c>
      <c r="M40" s="56" t="n">
        <v>28.29</v>
      </c>
      <c r="N40" s="56" t="n">
        <v>7.51</v>
      </c>
      <c r="O40" s="56" t="n">
        <v>5.14</v>
      </c>
      <c r="P40" s="56" t="n">
        <v>0.03</v>
      </c>
      <c r="Q40" s="56" t="n">
        <v>0</v>
      </c>
      <c r="R40" s="56" t="n">
        <v>2</v>
      </c>
      <c r="S40" s="56">
        <f>IF(AC40="Cancelled",0,M40*R40)</f>
        <v/>
      </c>
      <c r="T40" s="56">
        <f>IF(AC40="Cancelled",0,N40*R40)</f>
        <v/>
      </c>
      <c r="U40" s="56">
        <f>IF(AC40="Cancelled",0,O40*R40)</f>
        <v/>
      </c>
      <c r="V40" s="56">
        <f>IF(AC40="Cancelled",0,ROUND(P40*S40,2))</f>
        <v/>
      </c>
      <c r="W40" s="56" t="inlineStr">
        <is>
          <t>No</t>
        </is>
      </c>
      <c r="X40" s="56" t="n">
        <v>0</v>
      </c>
      <c r="Y40" s="56">
        <f>IF(AC40="Cancelled",0,T40+U40+V40+Q40+X40)</f>
        <v/>
      </c>
      <c r="Z40" s="56">
        <f>IF(AC40="Cancelled",-Q40,S40-Y40)</f>
        <v/>
      </c>
      <c r="AA40" s="56">
        <f>IF(OR(AC40="Cancelled",S40=0),0,Z40/S40)</f>
        <v/>
      </c>
      <c r="AB40" s="56">
        <f>IFERROR(IF(Q40=0,0,S40/Q40),0)</f>
        <v/>
      </c>
      <c r="AC40" s="56" t="inlineStr">
        <is>
          <t>Delivered</t>
        </is>
      </c>
      <c r="AD40" s="56">
        <f>IF(Z40&lt;=0,"Low Profit",IF(Z40&gt;=50,"HighProfit","Medium Profit"))</f>
        <v/>
      </c>
      <c r="AE40" s="56">
        <f>TEXT(B40,"mmmm")</f>
        <v/>
      </c>
    </row>
    <row r="41" ht="14.25" customHeight="1" s="57">
      <c r="A41" s="56" t="inlineStr">
        <is>
          <t>ORD-00035</t>
        </is>
      </c>
      <c r="B41" s="116" t="n">
        <v>45696</v>
      </c>
      <c r="C41" s="56" t="n">
        <v>2025</v>
      </c>
      <c r="D41" s="56" t="n">
        <v>2</v>
      </c>
      <c r="E41" s="56" t="inlineStr">
        <is>
          <t>UAE</t>
        </is>
      </c>
      <c r="F41" s="56" t="inlineStr">
        <is>
          <t>Dubai</t>
        </is>
      </c>
      <c r="G41" s="56" t="inlineStr">
        <is>
          <t>Google Ads</t>
        </is>
      </c>
      <c r="H41" s="56" t="inlineStr">
        <is>
          <t>Bundle Promo</t>
        </is>
      </c>
      <c r="I41" s="56" t="inlineStr">
        <is>
          <t>P007</t>
        </is>
      </c>
      <c r="J41" s="56" t="inlineStr">
        <is>
          <t>Pet Grooming Glove</t>
        </is>
      </c>
      <c r="K41" s="56" t="inlineStr">
        <is>
          <t>Pets</t>
        </is>
      </c>
      <c r="L41" s="56" t="inlineStr">
        <is>
          <t>Yiwu Pet Products</t>
        </is>
      </c>
      <c r="M41" s="56" t="n">
        <v>21.66</v>
      </c>
      <c r="N41" s="56" t="n">
        <v>3.41</v>
      </c>
      <c r="O41" s="56" t="n">
        <v>2.28</v>
      </c>
      <c r="P41" s="56" t="n">
        <v>0.03</v>
      </c>
      <c r="Q41" s="56" t="n">
        <v>4.08</v>
      </c>
      <c r="R41" s="56" t="n">
        <v>1</v>
      </c>
      <c r="S41" s="56">
        <f>IF(AC41="Cancelled",0,M41*R41)</f>
        <v/>
      </c>
      <c r="T41" s="56">
        <f>IF(AC41="Cancelled",0,N41*R41)</f>
        <v/>
      </c>
      <c r="U41" s="56">
        <f>IF(AC41="Cancelled",0,O41*R41)</f>
        <v/>
      </c>
      <c r="V41" s="56">
        <f>IF(AC41="Cancelled",0,ROUND(P41*S41,2))</f>
        <v/>
      </c>
      <c r="W41" s="56" t="inlineStr">
        <is>
          <t>No</t>
        </is>
      </c>
      <c r="X41" s="56" t="n">
        <v>0</v>
      </c>
      <c r="Y41" s="56">
        <f>IF(AC41="Cancelled",0,T41+U41+V41+Q41+X41)</f>
        <v/>
      </c>
      <c r="Z41" s="56">
        <f>IF(AC41="Cancelled",-Q41,S41-Y41)</f>
        <v/>
      </c>
      <c r="AA41" s="56">
        <f>IF(OR(AC41="Cancelled",S41=0),0,Z41/S41)</f>
        <v/>
      </c>
      <c r="AB41" s="56">
        <f>IFERROR(IF(Q41=0,0,S41/Q41),0)</f>
        <v/>
      </c>
      <c r="AC41" s="56" t="inlineStr">
        <is>
          <t>Delivered</t>
        </is>
      </c>
      <c r="AD41" s="56">
        <f>IF(Z41&lt;=0,"Low Profit",IF(Z41&gt;=50,"HighProfit","Medium Profit"))</f>
        <v/>
      </c>
      <c r="AE41" s="56">
        <f>TEXT(B41,"mmmm")</f>
        <v/>
      </c>
    </row>
    <row r="42" ht="14.25" customHeight="1" s="57">
      <c r="A42" s="56" t="inlineStr">
        <is>
          <t>ORD-00177</t>
        </is>
      </c>
      <c r="B42" s="116" t="n">
        <v>45696</v>
      </c>
      <c r="C42" s="56" t="n">
        <v>2025</v>
      </c>
      <c r="D42" s="56" t="n">
        <v>2</v>
      </c>
      <c r="E42" s="56" t="inlineStr">
        <is>
          <t>Qatar</t>
        </is>
      </c>
      <c r="F42" s="56" t="inlineStr">
        <is>
          <t>Doha</t>
        </is>
      </c>
      <c r="G42" s="56" t="inlineStr">
        <is>
          <t>Organic Search</t>
        </is>
      </c>
      <c r="H42" s="56" t="inlineStr">
        <is>
          <t>New Creative A/B</t>
        </is>
      </c>
      <c r="I42" s="56" t="inlineStr">
        <is>
          <t>P002</t>
        </is>
      </c>
      <c r="J42" s="56" t="inlineStr">
        <is>
          <t>Phone Case</t>
        </is>
      </c>
      <c r="K42" s="56" t="inlineStr">
        <is>
          <t>Accessories</t>
        </is>
      </c>
      <c r="L42" s="56" t="inlineStr">
        <is>
          <t>Guangzhou Cases Ltd.</t>
        </is>
      </c>
      <c r="M42" s="56" t="n">
        <v>15.65</v>
      </c>
      <c r="N42" s="56" t="n">
        <v>2.12</v>
      </c>
      <c r="O42" s="56" t="n">
        <v>2.1</v>
      </c>
      <c r="P42" s="56" t="n">
        <v>0.03</v>
      </c>
      <c r="Q42" s="56" t="n">
        <v>0</v>
      </c>
      <c r="R42" s="56" t="n">
        <v>2</v>
      </c>
      <c r="S42" s="56">
        <f>IF(AC42="Cancelled",0,M42*R42)</f>
        <v/>
      </c>
      <c r="T42" s="56">
        <f>IF(AC42="Cancelled",0,N42*R42)</f>
        <v/>
      </c>
      <c r="U42" s="56">
        <f>IF(AC42="Cancelled",0,O42*R42)</f>
        <v/>
      </c>
      <c r="V42" s="56">
        <f>IF(AC42="Cancelled",0,ROUND(P42*S42,2))</f>
        <v/>
      </c>
      <c r="W42" s="56" t="inlineStr">
        <is>
          <t>No</t>
        </is>
      </c>
      <c r="X42" s="56" t="n">
        <v>0</v>
      </c>
      <c r="Y42" s="56">
        <f>IF(AC42="Cancelled",0,T42+U42+V42+Q42+X42)</f>
        <v/>
      </c>
      <c r="Z42" s="56">
        <f>IF(AC42="Cancelled",-Q42,S42-Y42)</f>
        <v/>
      </c>
      <c r="AA42" s="56">
        <f>IF(OR(AC42="Cancelled",S42=0),0,Z42/S42)</f>
        <v/>
      </c>
      <c r="AB42" s="56">
        <f>IFERROR(IF(Q42=0,0,S42/Q42),0)</f>
        <v/>
      </c>
      <c r="AC42" s="56" t="inlineStr">
        <is>
          <t>Delivered</t>
        </is>
      </c>
      <c r="AD42" s="56">
        <f>IF(Z42&lt;=0,"Low Profit",IF(Z42&gt;=50,"HighProfit","Medium Profit"))</f>
        <v/>
      </c>
      <c r="AE42" s="56">
        <f>TEXT(B42,"mmmm")</f>
        <v/>
      </c>
    </row>
    <row r="43" ht="14.25" customHeight="1" s="57">
      <c r="A43" s="56" t="inlineStr">
        <is>
          <t>ORD-00204</t>
        </is>
      </c>
      <c r="B43" s="116" t="n">
        <v>45696</v>
      </c>
      <c r="C43" s="56" t="n">
        <v>2025</v>
      </c>
      <c r="D43" s="56" t="n">
        <v>2</v>
      </c>
      <c r="E43" s="56" t="inlineStr">
        <is>
          <t>Qatar</t>
        </is>
      </c>
      <c r="F43" s="56" t="inlineStr">
        <is>
          <t>Doha</t>
        </is>
      </c>
      <c r="G43" s="56" t="inlineStr">
        <is>
          <t>Organic Search</t>
        </is>
      </c>
      <c r="H43" s="56" t="inlineStr">
        <is>
          <t>Bundle Promo</t>
        </is>
      </c>
      <c r="I43" s="56" t="inlineStr">
        <is>
          <t>P009</t>
        </is>
      </c>
      <c r="J43" s="56" t="inlineStr">
        <is>
          <t>Car Vacuum Cleaner</t>
        </is>
      </c>
      <c r="K43" s="56" t="inlineStr">
        <is>
          <t>Automotive</t>
        </is>
      </c>
      <c r="L43" s="56" t="inlineStr">
        <is>
          <t>Dongguan Auto Tools</t>
        </is>
      </c>
      <c r="M43" s="56" t="n">
        <v>42.47</v>
      </c>
      <c r="N43" s="56" t="n">
        <v>14.9</v>
      </c>
      <c r="O43" s="56" t="n">
        <v>7.41</v>
      </c>
      <c r="P43" s="56" t="n">
        <v>0.03</v>
      </c>
      <c r="Q43" s="56" t="n">
        <v>0</v>
      </c>
      <c r="R43" s="56" t="n">
        <v>2</v>
      </c>
      <c r="S43" s="56">
        <f>IF(AC43="Cancelled",0,M43*R43)</f>
        <v/>
      </c>
      <c r="T43" s="56">
        <f>IF(AC43="Cancelled",0,N43*R43)</f>
        <v/>
      </c>
      <c r="U43" s="56">
        <f>IF(AC43="Cancelled",0,O43*R43)</f>
        <v/>
      </c>
      <c r="V43" s="56">
        <f>IF(AC43="Cancelled",0,ROUND(P43*S43,2))</f>
        <v/>
      </c>
      <c r="W43" s="56" t="inlineStr">
        <is>
          <t>No</t>
        </is>
      </c>
      <c r="X43" s="56" t="n">
        <v>0</v>
      </c>
      <c r="Y43" s="56">
        <f>IF(AC43="Cancelled",0,T43+U43+V43+Q43+X43)</f>
        <v/>
      </c>
      <c r="Z43" s="56">
        <f>IF(AC43="Cancelled",-Q43,S43-Y43)</f>
        <v/>
      </c>
      <c r="AA43" s="56">
        <f>IF(OR(AC43="Cancelled",S43=0),0,Z43/S43)</f>
        <v/>
      </c>
      <c r="AB43" s="56">
        <f>IFERROR(IF(Q43=0,0,S43/Q43),0)</f>
        <v/>
      </c>
      <c r="AC43" s="56" t="inlineStr">
        <is>
          <t>Cancelled</t>
        </is>
      </c>
      <c r="AD43" s="56">
        <f>IF(Z43&lt;=0,"Low Profit",IF(Z43&gt;=50,"HighProfit","Medium Profit"))</f>
        <v/>
      </c>
      <c r="AE43" s="56">
        <f>TEXT(B43,"mmmm")</f>
        <v/>
      </c>
    </row>
    <row r="44" ht="14.25" customHeight="1" s="57">
      <c r="A44" s="56" t="inlineStr">
        <is>
          <t>ORD-00134</t>
        </is>
      </c>
      <c r="B44" s="116" t="n">
        <v>45697</v>
      </c>
      <c r="C44" s="56" t="n">
        <v>2025</v>
      </c>
      <c r="D44" s="56" t="n">
        <v>2</v>
      </c>
      <c r="E44" s="56" t="inlineStr">
        <is>
          <t>UAE</t>
        </is>
      </c>
      <c r="F44" s="56" t="inlineStr">
        <is>
          <t>Dubai</t>
        </is>
      </c>
      <c r="G44" s="56" t="inlineStr">
        <is>
          <t>Email</t>
        </is>
      </c>
      <c r="H44" s="56" t="inlineStr">
        <is>
          <t>Bundle Promo</t>
        </is>
      </c>
      <c r="I44" s="56" t="inlineStr">
        <is>
          <t>P002</t>
        </is>
      </c>
      <c r="J44" s="56" t="inlineStr">
        <is>
          <t>Phone Case</t>
        </is>
      </c>
      <c r="K44" s="56" t="inlineStr">
        <is>
          <t>Accessories</t>
        </is>
      </c>
      <c r="L44" s="56" t="inlineStr">
        <is>
          <t>Guangzhou Cases Ltd.</t>
        </is>
      </c>
      <c r="M44" s="56" t="n">
        <v>15.87</v>
      </c>
      <c r="N44" s="56" t="n">
        <v>2.12</v>
      </c>
      <c r="O44" s="56" t="n">
        <v>2.23</v>
      </c>
      <c r="P44" s="56" t="n">
        <v>0.03</v>
      </c>
      <c r="Q44" s="56" t="n">
        <v>8.130000000000001</v>
      </c>
      <c r="R44" s="56" t="n">
        <v>1</v>
      </c>
      <c r="S44" s="56">
        <f>IF(AC44="Cancelled",0,M44*R44)</f>
        <v/>
      </c>
      <c r="T44" s="56">
        <f>IF(AC44="Cancelled",0,N44*R44)</f>
        <v/>
      </c>
      <c r="U44" s="56">
        <f>IF(AC44="Cancelled",0,O44*R44)</f>
        <v/>
      </c>
      <c r="V44" s="56">
        <f>IF(AC44="Cancelled",0,ROUND(P44*S44,2))</f>
        <v/>
      </c>
      <c r="W44" s="56" t="inlineStr">
        <is>
          <t>No</t>
        </is>
      </c>
      <c r="X44" s="56" t="n">
        <v>0</v>
      </c>
      <c r="Y44" s="56">
        <f>IF(AC44="Cancelled",0,T44+U44+V44+Q44+X44)</f>
        <v/>
      </c>
      <c r="Z44" s="56">
        <f>IF(AC44="Cancelled",-Q44,S44-Y44)</f>
        <v/>
      </c>
      <c r="AA44" s="56">
        <f>IF(OR(AC44="Cancelled",S44=0),0,Z44/S44)</f>
        <v/>
      </c>
      <c r="AB44" s="56">
        <f>IFERROR(IF(Q44=0,0,S44/Q44),0)</f>
        <v/>
      </c>
      <c r="AC44" s="56" t="inlineStr">
        <is>
          <t>Delivered</t>
        </is>
      </c>
      <c r="AD44" s="56">
        <f>IF(Z44&lt;=0,"Low Profit",IF(Z44&gt;=50,"HighProfit","Medium Profit"))</f>
        <v/>
      </c>
      <c r="AE44" s="56">
        <f>TEXT(B44,"mmmm")</f>
        <v/>
      </c>
    </row>
    <row r="45" ht="14.25" customHeight="1" s="57">
      <c r="A45" s="56" t="inlineStr">
        <is>
          <t>ORD-00366</t>
        </is>
      </c>
      <c r="B45" s="116" t="n">
        <v>45697</v>
      </c>
      <c r="C45" s="56" t="n">
        <v>2025</v>
      </c>
      <c r="D45" s="56" t="n">
        <v>2</v>
      </c>
      <c r="E45" s="56" t="inlineStr">
        <is>
          <t>Saudi Arabia</t>
        </is>
      </c>
      <c r="F45" s="56" t="inlineStr">
        <is>
          <t>Jeddah</t>
        </is>
      </c>
      <c r="G45" s="56" t="inlineStr">
        <is>
          <t>TikTok Ads</t>
        </is>
      </c>
      <c r="H45" s="56" t="inlineStr">
        <is>
          <t>Summer Sale</t>
        </is>
      </c>
      <c r="I45" s="56" t="inlineStr">
        <is>
          <t>P002</t>
        </is>
      </c>
      <c r="J45" s="56" t="inlineStr">
        <is>
          <t>Phone Case</t>
        </is>
      </c>
      <c r="K45" s="56" t="inlineStr">
        <is>
          <t>Accessories</t>
        </is>
      </c>
      <c r="L45" s="56" t="inlineStr">
        <is>
          <t>Guangzhou Cases Ltd.</t>
        </is>
      </c>
      <c r="M45" s="56" t="n">
        <v>13.99</v>
      </c>
      <c r="N45" s="56" t="n">
        <v>2.14</v>
      </c>
      <c r="O45" s="56" t="n">
        <v>1.99</v>
      </c>
      <c r="P45" s="56" t="n">
        <v>0.03</v>
      </c>
      <c r="Q45" s="56" t="n">
        <v>4.37</v>
      </c>
      <c r="R45" s="56" t="n">
        <v>1</v>
      </c>
      <c r="S45" s="56">
        <f>IF(AC45="Cancelled",0,M45*R45)</f>
        <v/>
      </c>
      <c r="T45" s="56">
        <f>IF(AC45="Cancelled",0,N45*R45)</f>
        <v/>
      </c>
      <c r="U45" s="56">
        <f>IF(AC45="Cancelled",0,O45*R45)</f>
        <v/>
      </c>
      <c r="V45" s="56">
        <f>IF(AC45="Cancelled",0,ROUND(P45*S45,2))</f>
        <v/>
      </c>
      <c r="W45" s="56" t="inlineStr">
        <is>
          <t>No</t>
        </is>
      </c>
      <c r="X45" s="56" t="n">
        <v>0</v>
      </c>
      <c r="Y45" s="56">
        <f>IF(AC45="Cancelled",0,T45+U45+V45+Q45+X45)</f>
        <v/>
      </c>
      <c r="Z45" s="56">
        <f>IF(AC45="Cancelled",-Q45,S45-Y45)</f>
        <v/>
      </c>
      <c r="AA45" s="56">
        <f>IF(OR(AC45="Cancelled",S45=0),0,Z45/S45)</f>
        <v/>
      </c>
      <c r="AB45" s="56">
        <f>IFERROR(IF(Q45=0,0,S45/Q45),0)</f>
        <v/>
      </c>
      <c r="AC45" s="56" t="inlineStr">
        <is>
          <t>Delivered</t>
        </is>
      </c>
      <c r="AD45" s="56">
        <f>IF(Z45&lt;=0,"Low Profit",IF(Z45&gt;=50,"HighProfit","Medium Profit"))</f>
        <v/>
      </c>
      <c r="AE45" s="56">
        <f>TEXT(B45,"mmmm")</f>
        <v/>
      </c>
    </row>
    <row r="46" ht="14.25" customHeight="1" s="57">
      <c r="A46" s="56" t="inlineStr">
        <is>
          <t>ORD-00272</t>
        </is>
      </c>
      <c r="B46" s="116" t="n">
        <v>45700</v>
      </c>
      <c r="C46" s="56" t="n">
        <v>2025</v>
      </c>
      <c r="D46" s="56" t="n">
        <v>2</v>
      </c>
      <c r="E46" s="56" t="inlineStr">
        <is>
          <t>UAE</t>
        </is>
      </c>
      <c r="F46" s="56" t="inlineStr">
        <is>
          <t>Dubai</t>
        </is>
      </c>
      <c r="G46" s="56" t="inlineStr">
        <is>
          <t>TikTok Ads</t>
        </is>
      </c>
      <c r="H46" s="56" t="inlineStr">
        <is>
          <t>Retargeting</t>
        </is>
      </c>
      <c r="I46" s="56" t="inlineStr">
        <is>
          <t>P002</t>
        </is>
      </c>
      <c r="J46" s="56" t="inlineStr">
        <is>
          <t>Phone Case</t>
        </is>
      </c>
      <c r="K46" s="56" t="inlineStr">
        <is>
          <t>Accessories</t>
        </is>
      </c>
      <c r="L46" s="56" t="inlineStr">
        <is>
          <t>Guangzhou Cases Ltd.</t>
        </is>
      </c>
      <c r="M46" s="56" t="n">
        <v>13.93</v>
      </c>
      <c r="N46" s="56" t="n">
        <v>2.07</v>
      </c>
      <c r="O46" s="56" t="n">
        <v>1.92</v>
      </c>
      <c r="P46" s="56" t="n">
        <v>0.03</v>
      </c>
      <c r="Q46" s="56" t="n">
        <v>18.97</v>
      </c>
      <c r="R46" s="56" t="n">
        <v>2</v>
      </c>
      <c r="S46" s="56">
        <f>IF(AC46="Cancelled",0,M46*R46)</f>
        <v/>
      </c>
      <c r="T46" s="56">
        <f>IF(AC46="Cancelled",0,N46*R46)</f>
        <v/>
      </c>
      <c r="U46" s="56">
        <f>IF(AC46="Cancelled",0,O46*R46)</f>
        <v/>
      </c>
      <c r="V46" s="56">
        <f>IF(AC46="Cancelled",0,ROUND(P46*S46,2))</f>
        <v/>
      </c>
      <c r="W46" s="56" t="inlineStr">
        <is>
          <t>No</t>
        </is>
      </c>
      <c r="X46" s="56" t="n">
        <v>0</v>
      </c>
      <c r="Y46" s="56">
        <f>IF(AC46="Cancelled",0,T46+U46+V46+Q46+X46)</f>
        <v/>
      </c>
      <c r="Z46" s="56">
        <f>IF(AC46="Cancelled",-Q46,S46-Y46)</f>
        <v/>
      </c>
      <c r="AA46" s="56">
        <f>IF(OR(AC46="Cancelled",S46=0),0,Z46/S46)</f>
        <v/>
      </c>
      <c r="AB46" s="56">
        <f>IFERROR(IF(Q46=0,0,S46/Q46),0)</f>
        <v/>
      </c>
      <c r="AC46" s="56" t="inlineStr">
        <is>
          <t>Delivered</t>
        </is>
      </c>
      <c r="AD46" s="56">
        <f>IF(Z46&lt;=0,"Low Profit",IF(Z46&gt;=50,"HighProfit","Medium Profit"))</f>
        <v/>
      </c>
      <c r="AE46" s="56">
        <f>TEXT(B46,"mmmm")</f>
        <v/>
      </c>
    </row>
    <row r="47" ht="14.25" customHeight="1" s="57">
      <c r="A47" s="56" t="inlineStr">
        <is>
          <t>ORD-00294</t>
        </is>
      </c>
      <c r="B47" s="116" t="n">
        <v>45701</v>
      </c>
      <c r="C47" s="56" t="n">
        <v>2025</v>
      </c>
      <c r="D47" s="56" t="n">
        <v>2</v>
      </c>
      <c r="E47" s="56" t="inlineStr">
        <is>
          <t>Saudi Arabia</t>
        </is>
      </c>
      <c r="F47" s="56" t="inlineStr">
        <is>
          <t>Riyadh</t>
        </is>
      </c>
      <c r="G47" s="56" t="inlineStr">
        <is>
          <t>Influencer</t>
        </is>
      </c>
      <c r="H47" s="56" t="inlineStr">
        <is>
          <t>New Creative A/B</t>
        </is>
      </c>
      <c r="I47" s="56" t="inlineStr">
        <is>
          <t>P005</t>
        </is>
      </c>
      <c r="J47" s="56" t="inlineStr">
        <is>
          <t>Mini Printer</t>
        </is>
      </c>
      <c r="K47" s="56" t="inlineStr">
        <is>
          <t>Electronics</t>
        </is>
      </c>
      <c r="L47" s="56" t="inlineStr">
        <is>
          <t>Shenzhen Print Tech</t>
        </is>
      </c>
      <c r="M47" s="56" t="n">
        <v>62.56</v>
      </c>
      <c r="N47" s="56" t="n">
        <v>21.72</v>
      </c>
      <c r="O47" s="56" t="n">
        <v>7.15</v>
      </c>
      <c r="P47" s="56" t="n">
        <v>0.03</v>
      </c>
      <c r="Q47" s="56" t="n">
        <v>1.08</v>
      </c>
      <c r="R47" s="56" t="n">
        <v>1</v>
      </c>
      <c r="S47" s="56">
        <f>IF(AC47="Cancelled",0,M47*R47)</f>
        <v/>
      </c>
      <c r="T47" s="56">
        <f>IF(AC47="Cancelled",0,N47*R47)</f>
        <v/>
      </c>
      <c r="U47" s="56">
        <f>IF(AC47="Cancelled",0,O47*R47)</f>
        <v/>
      </c>
      <c r="V47" s="56">
        <f>IF(AC47="Cancelled",0,ROUND(P47*S47,2))</f>
        <v/>
      </c>
      <c r="W47" s="56" t="inlineStr">
        <is>
          <t>No</t>
        </is>
      </c>
      <c r="X47" s="56" t="n">
        <v>0</v>
      </c>
      <c r="Y47" s="56">
        <f>IF(AC47="Cancelled",0,T47+U47+V47+Q47+X47)</f>
        <v/>
      </c>
      <c r="Z47" s="56">
        <f>IF(AC47="Cancelled",-Q47,S47-Y47)</f>
        <v/>
      </c>
      <c r="AA47" s="56">
        <f>IF(OR(AC47="Cancelled",S47=0),0,Z47/S47)</f>
        <v/>
      </c>
      <c r="AB47" s="56">
        <f>IFERROR(IF(Q47=0,0,S47/Q47),0)</f>
        <v/>
      </c>
      <c r="AC47" s="56" t="inlineStr">
        <is>
          <t>Delivered</t>
        </is>
      </c>
      <c r="AD47" s="56">
        <f>IF(Z47&lt;=0,"Low Profit",IF(Z47&gt;=50,"HighProfit","Medium Profit"))</f>
        <v/>
      </c>
      <c r="AE47" s="56">
        <f>TEXT(B47,"mmmm")</f>
        <v/>
      </c>
    </row>
    <row r="48" ht="14.25" customHeight="1" s="57">
      <c r="A48" s="56" t="inlineStr">
        <is>
          <t>ORD-00381</t>
        </is>
      </c>
      <c r="B48" s="116" t="n">
        <v>45701</v>
      </c>
      <c r="C48" s="56" t="n">
        <v>2025</v>
      </c>
      <c r="D48" s="56" t="n">
        <v>2</v>
      </c>
      <c r="E48" s="56" t="inlineStr">
        <is>
          <t>UAE</t>
        </is>
      </c>
      <c r="F48" s="56" t="inlineStr">
        <is>
          <t>Abu Dhabi</t>
        </is>
      </c>
      <c r="G48" s="56" t="inlineStr">
        <is>
          <t>TikTok Ads</t>
        </is>
      </c>
      <c r="H48" s="56" t="inlineStr">
        <is>
          <t>Summer Sale</t>
        </is>
      </c>
      <c r="I48" s="56" t="inlineStr">
        <is>
          <t>P006</t>
        </is>
      </c>
      <c r="J48" s="56" t="inlineStr">
        <is>
          <t>Posture Corrector</t>
        </is>
      </c>
      <c r="K48" s="56" t="inlineStr">
        <is>
          <t>Fitness</t>
        </is>
      </c>
      <c r="L48" s="56" t="inlineStr">
        <is>
          <t>Hangzhou Health Gear</t>
        </is>
      </c>
      <c r="M48" s="56" t="n">
        <v>31.97</v>
      </c>
      <c r="N48" s="56" t="n">
        <v>9.08</v>
      </c>
      <c r="O48" s="56" t="n">
        <v>4.13</v>
      </c>
      <c r="P48" s="56" t="n">
        <v>0.03</v>
      </c>
      <c r="Q48" s="56" t="n">
        <v>9.550000000000001</v>
      </c>
      <c r="R48" s="56" t="n">
        <v>1</v>
      </c>
      <c r="S48" s="56">
        <f>IF(AC48="Cancelled",0,M48*R48)</f>
        <v/>
      </c>
      <c r="T48" s="56">
        <f>IF(AC48="Cancelled",0,N48*R48)</f>
        <v/>
      </c>
      <c r="U48" s="56">
        <f>IF(AC48="Cancelled",0,O48*R48)</f>
        <v/>
      </c>
      <c r="V48" s="56">
        <f>IF(AC48="Cancelled",0,ROUND(P48*S48,2))</f>
        <v/>
      </c>
      <c r="W48" s="56" t="inlineStr">
        <is>
          <t>No</t>
        </is>
      </c>
      <c r="X48" s="56" t="n">
        <v>0</v>
      </c>
      <c r="Y48" s="56">
        <f>IF(AC48="Cancelled",0,T48+U48+V48+Q48+X48)</f>
        <v/>
      </c>
      <c r="Z48" s="56">
        <f>IF(AC48="Cancelled",-Q48,S48-Y48)</f>
        <v/>
      </c>
      <c r="AA48" s="56">
        <f>IF(OR(AC48="Cancelled",S48=0),0,Z48/S48)</f>
        <v/>
      </c>
      <c r="AB48" s="56">
        <f>IFERROR(IF(Q48=0,0,S48/Q48),0)</f>
        <v/>
      </c>
      <c r="AC48" s="56" t="inlineStr">
        <is>
          <t>Delivered</t>
        </is>
      </c>
      <c r="AD48" s="56">
        <f>IF(Z48&lt;=0,"Low Profit",IF(Z48&gt;=50,"HighProfit","Medium Profit"))</f>
        <v/>
      </c>
      <c r="AE48" s="56">
        <f>TEXT(B48,"mmmm")</f>
        <v/>
      </c>
    </row>
    <row r="49" ht="14.25" customHeight="1" s="57">
      <c r="A49" s="56" t="inlineStr">
        <is>
          <t>ORD-00251</t>
        </is>
      </c>
      <c r="B49" s="116" t="n">
        <v>45702</v>
      </c>
      <c r="C49" s="56" t="n">
        <v>2025</v>
      </c>
      <c r="D49" s="56" t="n">
        <v>2</v>
      </c>
      <c r="E49" s="56" t="inlineStr">
        <is>
          <t>Saudi Arabia</t>
        </is>
      </c>
      <c r="F49" s="56" t="inlineStr">
        <is>
          <t>Jeddah</t>
        </is>
      </c>
      <c r="G49" s="56" t="inlineStr">
        <is>
          <t>Meta Ads</t>
        </is>
      </c>
      <c r="H49" s="56" t="inlineStr">
        <is>
          <t>Bundle Promo</t>
        </is>
      </c>
      <c r="I49" s="56" t="inlineStr">
        <is>
          <t>P005</t>
        </is>
      </c>
      <c r="J49" s="56" t="inlineStr">
        <is>
          <t>Mini Printer</t>
        </is>
      </c>
      <c r="K49" s="56" t="inlineStr">
        <is>
          <t>Electronics</t>
        </is>
      </c>
      <c r="L49" s="56" t="inlineStr">
        <is>
          <t>Shenzhen Print Tech</t>
        </is>
      </c>
      <c r="M49" s="56" t="n">
        <v>66.59</v>
      </c>
      <c r="N49" s="56" t="n">
        <v>22.27</v>
      </c>
      <c r="O49" s="56" t="n">
        <v>7.2</v>
      </c>
      <c r="P49" s="56" t="n">
        <v>0.03</v>
      </c>
      <c r="Q49" s="56" t="n">
        <v>8.130000000000001</v>
      </c>
      <c r="R49" s="56" t="n">
        <v>1</v>
      </c>
      <c r="S49" s="56">
        <f>IF(AC49="Cancelled",0,M49*R49)</f>
        <v/>
      </c>
      <c r="T49" s="56">
        <f>IF(AC49="Cancelled",0,N49*R49)</f>
        <v/>
      </c>
      <c r="U49" s="56">
        <f>IF(AC49="Cancelled",0,O49*R49)</f>
        <v/>
      </c>
      <c r="V49" s="56">
        <f>IF(AC49="Cancelled",0,ROUND(P49*S49,2))</f>
        <v/>
      </c>
      <c r="W49" s="56" t="inlineStr">
        <is>
          <t>No</t>
        </is>
      </c>
      <c r="X49" s="56" t="n">
        <v>0</v>
      </c>
      <c r="Y49" s="56">
        <f>IF(AC49="Cancelled",0,T49+U49+V49+Q49+X49)</f>
        <v/>
      </c>
      <c r="Z49" s="56">
        <f>IF(AC49="Cancelled",-Q49,S49-Y49)</f>
        <v/>
      </c>
      <c r="AA49" s="56">
        <f>IF(OR(AC49="Cancelled",S49=0),0,Z49/S49)</f>
        <v/>
      </c>
      <c r="AB49" s="56">
        <f>IFERROR(IF(Q49=0,0,S49/Q49),0)</f>
        <v/>
      </c>
      <c r="AC49" s="56" t="inlineStr">
        <is>
          <t>Delivered</t>
        </is>
      </c>
      <c r="AD49" s="56">
        <f>IF(Z49&lt;=0,"Low Profit",IF(Z49&gt;=50,"HighProfit","Medium Profit"))</f>
        <v/>
      </c>
      <c r="AE49" s="56">
        <f>TEXT(B49,"mmmm")</f>
        <v/>
      </c>
    </row>
    <row r="50" ht="14.25" customHeight="1" s="57">
      <c r="A50" s="56" t="inlineStr">
        <is>
          <t>ORD-00458</t>
        </is>
      </c>
      <c r="B50" s="116" t="n">
        <v>45702</v>
      </c>
      <c r="C50" s="56" t="n">
        <v>2025</v>
      </c>
      <c r="D50" s="56" t="n">
        <v>2</v>
      </c>
      <c r="E50" s="56" t="inlineStr">
        <is>
          <t>Kuwait</t>
        </is>
      </c>
      <c r="F50" s="56" t="inlineStr">
        <is>
          <t>Kuwait City</t>
        </is>
      </c>
      <c r="G50" s="56" t="inlineStr">
        <is>
          <t>Meta Ads</t>
        </is>
      </c>
      <c r="H50" s="56" t="inlineStr">
        <is>
          <t>New Creative A/B</t>
        </is>
      </c>
      <c r="I50" s="56" t="inlineStr">
        <is>
          <t>P010</t>
        </is>
      </c>
      <c r="J50" s="56" t="inlineStr">
        <is>
          <t>Smart Water Bottle</t>
        </is>
      </c>
      <c r="K50" s="56" t="inlineStr">
        <is>
          <t>Lifestyle</t>
        </is>
      </c>
      <c r="L50" s="56" t="inlineStr">
        <is>
          <t>Shenzhen Smart Home</t>
        </is>
      </c>
      <c r="M50" s="56" t="n">
        <v>33.14</v>
      </c>
      <c r="N50" s="56" t="n">
        <v>9.92</v>
      </c>
      <c r="O50" s="56" t="n">
        <v>4.43</v>
      </c>
      <c r="P50" s="56" t="n">
        <v>0.03</v>
      </c>
      <c r="Q50" s="56" t="n">
        <v>15.14</v>
      </c>
      <c r="R50" s="56" t="n">
        <v>3</v>
      </c>
      <c r="S50" s="56">
        <f>IF(AC50="Cancelled",0,M50*R50)</f>
        <v/>
      </c>
      <c r="T50" s="56">
        <f>IF(AC50="Cancelled",0,N50*R50)</f>
        <v/>
      </c>
      <c r="U50" s="56">
        <f>IF(AC50="Cancelled",0,O50*R50)</f>
        <v/>
      </c>
      <c r="V50" s="56">
        <f>IF(AC50="Cancelled",0,ROUND(P50*S50,2))</f>
        <v/>
      </c>
      <c r="W50" s="56" t="inlineStr">
        <is>
          <t>No</t>
        </is>
      </c>
      <c r="X50" s="56" t="n">
        <v>0</v>
      </c>
      <c r="Y50" s="56">
        <f>IF(AC50="Cancelled",0,T50+U50+V50+Q50+X50)</f>
        <v/>
      </c>
      <c r="Z50" s="56">
        <f>IF(AC50="Cancelled",-Q50,S50-Y50)</f>
        <v/>
      </c>
      <c r="AA50" s="56">
        <f>IF(OR(AC50="Cancelled",S50=0),0,Z50/S50)</f>
        <v/>
      </c>
      <c r="AB50" s="56">
        <f>IFERROR(IF(Q50=0,0,S50/Q50),0)</f>
        <v/>
      </c>
      <c r="AC50" s="56" t="inlineStr">
        <is>
          <t>Delivered</t>
        </is>
      </c>
      <c r="AD50" s="56">
        <f>IF(Z50&lt;=0,"Low Profit",IF(Z50&gt;=50,"HighProfit","Medium Profit"))</f>
        <v/>
      </c>
      <c r="AE50" s="56">
        <f>TEXT(B50,"mmmm")</f>
        <v/>
      </c>
    </row>
    <row r="51" ht="14.25" customHeight="1" s="57">
      <c r="A51" s="56" t="inlineStr">
        <is>
          <t>ORD-00274</t>
        </is>
      </c>
      <c r="B51" s="116" t="n">
        <v>45705</v>
      </c>
      <c r="C51" s="56" t="n">
        <v>2025</v>
      </c>
      <c r="D51" s="56" t="n">
        <v>2</v>
      </c>
      <c r="E51" s="56" t="inlineStr">
        <is>
          <t>Saudi Arabia</t>
        </is>
      </c>
      <c r="F51" s="56" t="inlineStr">
        <is>
          <t>Riyadh</t>
        </is>
      </c>
      <c r="G51" s="56" t="inlineStr">
        <is>
          <t>TikTok Ads</t>
        </is>
      </c>
      <c r="H51" s="56" t="inlineStr">
        <is>
          <t>Summer Sale</t>
        </is>
      </c>
      <c r="I51" s="56" t="inlineStr">
        <is>
          <t>P009</t>
        </is>
      </c>
      <c r="J51" s="56" t="inlineStr">
        <is>
          <t>Car Vacuum Cleaner</t>
        </is>
      </c>
      <c r="K51" s="56" t="inlineStr">
        <is>
          <t>Automotive</t>
        </is>
      </c>
      <c r="L51" s="56" t="inlineStr">
        <is>
          <t>Dongguan Auto Tools</t>
        </is>
      </c>
      <c r="M51" s="56" t="n">
        <v>46.1</v>
      </c>
      <c r="N51" s="56" t="n">
        <v>13.88</v>
      </c>
      <c r="O51" s="56" t="n">
        <v>6.07</v>
      </c>
      <c r="P51" s="56" t="n">
        <v>0.03</v>
      </c>
      <c r="Q51" s="56" t="n">
        <v>19.95</v>
      </c>
      <c r="R51" s="56" t="n">
        <v>3</v>
      </c>
      <c r="S51" s="56">
        <f>IF(AC51="Cancelled",0,M51*R51)</f>
        <v/>
      </c>
      <c r="T51" s="56">
        <f>IF(AC51="Cancelled",0,N51*R51)</f>
        <v/>
      </c>
      <c r="U51" s="56">
        <f>IF(AC51="Cancelled",0,O51*R51)</f>
        <v/>
      </c>
      <c r="V51" s="56">
        <f>IF(AC51="Cancelled",0,ROUND(P51*S51,2))</f>
        <v/>
      </c>
      <c r="W51" s="56" t="inlineStr">
        <is>
          <t>No</t>
        </is>
      </c>
      <c r="X51" s="56" t="n">
        <v>0</v>
      </c>
      <c r="Y51" s="56">
        <f>IF(AC51="Cancelled",0,T51+U51+V51+Q51+X51)</f>
        <v/>
      </c>
      <c r="Z51" s="56">
        <f>IF(AC51="Cancelled",-Q51,S51-Y51)</f>
        <v/>
      </c>
      <c r="AA51" s="56">
        <f>IF(OR(AC51="Cancelled",S51=0),0,Z51/S51)</f>
        <v/>
      </c>
      <c r="AB51" s="56">
        <f>IFERROR(IF(Q51=0,0,S51/Q51),0)</f>
        <v/>
      </c>
      <c r="AC51" s="56" t="inlineStr">
        <is>
          <t>Delivered</t>
        </is>
      </c>
      <c r="AD51" s="56">
        <f>IF(Z51&lt;=0,"Low Profit",IF(Z51&gt;=50,"HighProfit","Medium Profit"))</f>
        <v/>
      </c>
      <c r="AE51" s="56">
        <f>TEXT(B51,"mmmm")</f>
        <v/>
      </c>
    </row>
    <row r="52" ht="14.25" customHeight="1" s="57">
      <c r="A52" s="56" t="inlineStr">
        <is>
          <t>ORD-00017</t>
        </is>
      </c>
      <c r="B52" s="116" t="n">
        <v>45707</v>
      </c>
      <c r="C52" s="56" t="n">
        <v>2025</v>
      </c>
      <c r="D52" s="56" t="n">
        <v>2</v>
      </c>
      <c r="E52" s="56" t="inlineStr">
        <is>
          <t>Kuwait</t>
        </is>
      </c>
      <c r="F52" s="56" t="inlineStr">
        <is>
          <t>Kuwait City</t>
        </is>
      </c>
      <c r="G52" s="56" t="inlineStr">
        <is>
          <t>Meta Ads</t>
        </is>
      </c>
      <c r="H52" s="56" t="inlineStr">
        <is>
          <t>Launch Test</t>
        </is>
      </c>
      <c r="I52" s="56" t="inlineStr">
        <is>
          <t>P005</t>
        </is>
      </c>
      <c r="J52" s="56" t="inlineStr">
        <is>
          <t>Mini Printer</t>
        </is>
      </c>
      <c r="K52" s="56" t="inlineStr">
        <is>
          <t>Electronics</t>
        </is>
      </c>
      <c r="L52" s="56" t="inlineStr">
        <is>
          <t>Shenzhen Print Tech</t>
        </is>
      </c>
      <c r="M52" s="56" t="n">
        <v>56.74</v>
      </c>
      <c r="N52" s="56" t="n">
        <v>22.61</v>
      </c>
      <c r="O52" s="56" t="n">
        <v>6.5</v>
      </c>
      <c r="P52" s="56" t="n">
        <v>0.03</v>
      </c>
      <c r="Q52" s="56" t="n">
        <v>16.87</v>
      </c>
      <c r="R52" s="56" t="n">
        <v>2</v>
      </c>
      <c r="S52" s="56">
        <f>IF(AC52="Cancelled",0,M52*R52)</f>
        <v/>
      </c>
      <c r="T52" s="56">
        <f>IF(AC52="Cancelled",0,N52*R52)</f>
        <v/>
      </c>
      <c r="U52" s="56">
        <f>IF(AC52="Cancelled",0,O52*R52)</f>
        <v/>
      </c>
      <c r="V52" s="56">
        <f>IF(AC52="Cancelled",0,ROUND(P52*S52,2))</f>
        <v/>
      </c>
      <c r="W52" s="56" t="inlineStr">
        <is>
          <t>No</t>
        </is>
      </c>
      <c r="X52" s="56" t="n">
        <v>0</v>
      </c>
      <c r="Y52" s="56">
        <f>IF(AC52="Cancelled",0,T52+U52+V52+Q52+X52)</f>
        <v/>
      </c>
      <c r="Z52" s="56">
        <f>IF(AC52="Cancelled",-Q52,S52-Y52)</f>
        <v/>
      </c>
      <c r="AA52" s="56">
        <f>IF(OR(AC52="Cancelled",S52=0),0,Z52/S52)</f>
        <v/>
      </c>
      <c r="AB52" s="56">
        <f>IFERROR(IF(Q52=0,0,S52/Q52),0)</f>
        <v/>
      </c>
      <c r="AC52" s="56" t="inlineStr">
        <is>
          <t>Delivered</t>
        </is>
      </c>
      <c r="AD52" s="56">
        <f>IF(Z52&lt;=0,"Low Profit",IF(Z52&gt;=50,"HighProfit","Medium Profit"))</f>
        <v/>
      </c>
      <c r="AE52" s="56">
        <f>TEXT(B52,"mmmm")</f>
        <v/>
      </c>
    </row>
    <row r="53" ht="14.25" customHeight="1" s="57">
      <c r="A53" s="56" t="inlineStr">
        <is>
          <t>ORD-00245</t>
        </is>
      </c>
      <c r="B53" s="116" t="n">
        <v>45708</v>
      </c>
      <c r="C53" s="56" t="n">
        <v>2025</v>
      </c>
      <c r="D53" s="56" t="n">
        <v>2</v>
      </c>
      <c r="E53" s="56" t="inlineStr">
        <is>
          <t>UAE</t>
        </is>
      </c>
      <c r="F53" s="56" t="inlineStr">
        <is>
          <t>Sharjah</t>
        </is>
      </c>
      <c r="G53" s="56" t="inlineStr">
        <is>
          <t>TikTok Ads</t>
        </is>
      </c>
      <c r="H53" s="56" t="inlineStr">
        <is>
          <t>Bundle Promo</t>
        </is>
      </c>
      <c r="I53" s="56" t="inlineStr">
        <is>
          <t>P008</t>
        </is>
      </c>
      <c r="J53" s="56" t="inlineStr">
        <is>
          <t>Portable Blender</t>
        </is>
      </c>
      <c r="K53" s="56" t="inlineStr">
        <is>
          <t>Kitchen</t>
        </is>
      </c>
      <c r="L53" s="56" t="inlineStr">
        <is>
          <t>Foshan Appliances</t>
        </is>
      </c>
      <c r="M53" s="56" t="n">
        <v>55.3</v>
      </c>
      <c r="N53" s="56" t="n">
        <v>17.06</v>
      </c>
      <c r="O53" s="56" t="n">
        <v>6.13</v>
      </c>
      <c r="P53" s="56" t="n">
        <v>0.03</v>
      </c>
      <c r="Q53" s="56" t="n">
        <v>10.97</v>
      </c>
      <c r="R53" s="56" t="n">
        <v>3</v>
      </c>
      <c r="S53" s="56">
        <f>IF(AC53="Cancelled",0,M53*R53)</f>
        <v/>
      </c>
      <c r="T53" s="56">
        <f>IF(AC53="Cancelled",0,N53*R53)</f>
        <v/>
      </c>
      <c r="U53" s="56">
        <f>IF(AC53="Cancelled",0,O53*R53)</f>
        <v/>
      </c>
      <c r="V53" s="56">
        <f>IF(AC53="Cancelled",0,ROUND(P53*S53,2))</f>
        <v/>
      </c>
      <c r="W53" s="56" t="inlineStr">
        <is>
          <t>No</t>
        </is>
      </c>
      <c r="X53" s="56" t="n">
        <v>0</v>
      </c>
      <c r="Y53" s="56">
        <f>IF(AC53="Cancelled",0,T53+U53+V53+Q53+X53)</f>
        <v/>
      </c>
      <c r="Z53" s="56">
        <f>IF(AC53="Cancelled",-Q53,S53-Y53)</f>
        <v/>
      </c>
      <c r="AA53" s="56">
        <f>IF(OR(AC53="Cancelled",S53=0),0,Z53/S53)</f>
        <v/>
      </c>
      <c r="AB53" s="56">
        <f>IFERROR(IF(Q53=0,0,S53/Q53),0)</f>
        <v/>
      </c>
      <c r="AC53" s="56" t="inlineStr">
        <is>
          <t>Delivered</t>
        </is>
      </c>
      <c r="AD53" s="56">
        <f>IF(Z53&lt;=0,"Low Profit",IF(Z53&gt;=50,"HighProfit","Medium Profit"))</f>
        <v/>
      </c>
      <c r="AE53" s="56">
        <f>TEXT(B53,"mmmm")</f>
        <v/>
      </c>
    </row>
    <row r="54" ht="14.25" customHeight="1" s="57">
      <c r="A54" s="56" t="inlineStr">
        <is>
          <t>ORD-00250</t>
        </is>
      </c>
      <c r="B54" s="116" t="n">
        <v>45708</v>
      </c>
      <c r="C54" s="56" t="n">
        <v>2025</v>
      </c>
      <c r="D54" s="56" t="n">
        <v>2</v>
      </c>
      <c r="E54" s="56" t="inlineStr">
        <is>
          <t>UAE</t>
        </is>
      </c>
      <c r="F54" s="56" t="inlineStr">
        <is>
          <t>Dubai</t>
        </is>
      </c>
      <c r="G54" s="56" t="inlineStr">
        <is>
          <t>TikTok Ads</t>
        </is>
      </c>
      <c r="H54" s="56" t="inlineStr">
        <is>
          <t>Launch Test</t>
        </is>
      </c>
      <c r="I54" s="56" t="inlineStr">
        <is>
          <t>P003</t>
        </is>
      </c>
      <c r="J54" s="56" t="inlineStr">
        <is>
          <t>LED Strip Lights</t>
        </is>
      </c>
      <c r="K54" s="56" t="inlineStr">
        <is>
          <t>Home Decor</t>
        </is>
      </c>
      <c r="L54" s="56" t="inlineStr">
        <is>
          <t>Yiwu Lighting Factory</t>
        </is>
      </c>
      <c r="M54" s="56" t="n">
        <v>25.06</v>
      </c>
      <c r="N54" s="56" t="n">
        <v>6.33</v>
      </c>
      <c r="O54" s="56" t="n">
        <v>3.39</v>
      </c>
      <c r="P54" s="56" t="n">
        <v>0.03</v>
      </c>
      <c r="Q54" s="56" t="n">
        <v>3.93</v>
      </c>
      <c r="R54" s="56" t="n">
        <v>2</v>
      </c>
      <c r="S54" s="56">
        <f>IF(AC54="Cancelled",0,M54*R54)</f>
        <v/>
      </c>
      <c r="T54" s="56">
        <f>IF(AC54="Cancelled",0,N54*R54)</f>
        <v/>
      </c>
      <c r="U54" s="56">
        <f>IF(AC54="Cancelled",0,O54*R54)</f>
        <v/>
      </c>
      <c r="V54" s="56">
        <f>IF(AC54="Cancelled",0,ROUND(P54*S54,2))</f>
        <v/>
      </c>
      <c r="W54" s="56" t="inlineStr">
        <is>
          <t>No</t>
        </is>
      </c>
      <c r="X54" s="56" t="n">
        <v>0</v>
      </c>
      <c r="Y54" s="56">
        <f>IF(AC54="Cancelled",0,T54+U54+V54+Q54+X54)</f>
        <v/>
      </c>
      <c r="Z54" s="56">
        <f>IF(AC54="Cancelled",-Q54,S54-Y54)</f>
        <v/>
      </c>
      <c r="AA54" s="56">
        <f>IF(OR(AC54="Cancelled",S54=0),0,Z54/S54)</f>
        <v/>
      </c>
      <c r="AB54" s="56">
        <f>IFERROR(IF(Q54=0,0,S54/Q54),0)</f>
        <v/>
      </c>
      <c r="AC54" s="56" t="inlineStr">
        <is>
          <t>Delivered</t>
        </is>
      </c>
      <c r="AD54" s="56">
        <f>IF(Z54&lt;=0,"Low Profit",IF(Z54&gt;=50,"HighProfit","Medium Profit"))</f>
        <v/>
      </c>
      <c r="AE54" s="56">
        <f>TEXT(B54,"mmmm")</f>
        <v/>
      </c>
    </row>
    <row r="55" ht="14.25" customHeight="1" s="57">
      <c r="A55" s="56" t="inlineStr">
        <is>
          <t>ORD-00375</t>
        </is>
      </c>
      <c r="B55" s="116" t="n">
        <v>45708</v>
      </c>
      <c r="C55" s="56" t="n">
        <v>2025</v>
      </c>
      <c r="D55" s="56" t="n">
        <v>2</v>
      </c>
      <c r="E55" s="56" t="inlineStr">
        <is>
          <t>Saudi Arabia</t>
        </is>
      </c>
      <c r="F55" s="56" t="inlineStr">
        <is>
          <t>Jeddah</t>
        </is>
      </c>
      <c r="G55" s="56" t="inlineStr">
        <is>
          <t>Email</t>
        </is>
      </c>
      <c r="H55" s="56" t="inlineStr">
        <is>
          <t>Summer Sale</t>
        </is>
      </c>
      <c r="I55" s="56" t="inlineStr">
        <is>
          <t>P001</t>
        </is>
      </c>
      <c r="J55" s="56" t="inlineStr">
        <is>
          <t>Wireless Earbuds</t>
        </is>
      </c>
      <c r="K55" s="56" t="inlineStr">
        <is>
          <t>Electronics</t>
        </is>
      </c>
      <c r="L55" s="56" t="inlineStr">
        <is>
          <t>Shenzhen Audio Co.</t>
        </is>
      </c>
      <c r="M55" s="56" t="n">
        <v>39.18</v>
      </c>
      <c r="N55" s="56" t="n">
        <v>8.789999999999999</v>
      </c>
      <c r="O55" s="56" t="n">
        <v>4.12</v>
      </c>
      <c r="P55" s="56" t="n">
        <v>0.03</v>
      </c>
      <c r="Q55" s="56" t="n">
        <v>10.14</v>
      </c>
      <c r="R55" s="56" t="n">
        <v>2</v>
      </c>
      <c r="S55" s="56">
        <f>IF(AC55="Cancelled",0,M55*R55)</f>
        <v/>
      </c>
      <c r="T55" s="56">
        <f>IF(AC55="Cancelled",0,N55*R55)</f>
        <v/>
      </c>
      <c r="U55" s="56">
        <f>IF(AC55="Cancelled",0,O55*R55)</f>
        <v/>
      </c>
      <c r="V55" s="56">
        <f>IF(AC55="Cancelled",0,ROUND(P55*S55,2))</f>
        <v/>
      </c>
      <c r="W55" s="56" t="inlineStr">
        <is>
          <t>No</t>
        </is>
      </c>
      <c r="X55" s="56" t="n">
        <v>0</v>
      </c>
      <c r="Y55" s="56">
        <f>IF(AC55="Cancelled",0,T55+U55+V55+Q55+X55)</f>
        <v/>
      </c>
      <c r="Z55" s="56">
        <f>IF(AC55="Cancelled",-Q55,S55-Y55)</f>
        <v/>
      </c>
      <c r="AA55" s="56">
        <f>IF(OR(AC55="Cancelled",S55=0),0,Z55/S55)</f>
        <v/>
      </c>
      <c r="AB55" s="56">
        <f>IFERROR(IF(Q55=0,0,S55/Q55),0)</f>
        <v/>
      </c>
      <c r="AC55" s="56" t="inlineStr">
        <is>
          <t>Delivered</t>
        </is>
      </c>
      <c r="AD55" s="56">
        <f>IF(Z55&lt;=0,"Low Profit",IF(Z55&gt;=50,"HighProfit","Medium Profit"))</f>
        <v/>
      </c>
      <c r="AE55" s="56">
        <f>TEXT(B55,"mmmm")</f>
        <v/>
      </c>
    </row>
    <row r="56" ht="14.25" customHeight="1" s="57">
      <c r="A56" s="56" t="inlineStr">
        <is>
          <t>ORD-00113</t>
        </is>
      </c>
      <c r="B56" s="116" t="n">
        <v>45709</v>
      </c>
      <c r="C56" s="56" t="n">
        <v>2025</v>
      </c>
      <c r="D56" s="56" t="n">
        <v>2</v>
      </c>
      <c r="E56" s="56" t="inlineStr">
        <is>
          <t>UAE</t>
        </is>
      </c>
      <c r="F56" s="56" t="inlineStr">
        <is>
          <t>Abu Dhabi</t>
        </is>
      </c>
      <c r="G56" s="56" t="inlineStr">
        <is>
          <t>Email</t>
        </is>
      </c>
      <c r="H56" s="56" t="inlineStr">
        <is>
          <t>New Creative A/B</t>
        </is>
      </c>
      <c r="I56" s="56" t="inlineStr">
        <is>
          <t>P008</t>
        </is>
      </c>
      <c r="J56" s="56" t="inlineStr">
        <is>
          <t>Portable Blender</t>
        </is>
      </c>
      <c r="K56" s="56" t="inlineStr">
        <is>
          <t>Kitchen</t>
        </is>
      </c>
      <c r="L56" s="56" t="inlineStr">
        <is>
          <t>Foshan Appliances</t>
        </is>
      </c>
      <c r="M56" s="56" t="n">
        <v>51.41</v>
      </c>
      <c r="N56" s="56" t="n">
        <v>16.76</v>
      </c>
      <c r="O56" s="56" t="n">
        <v>6.7</v>
      </c>
      <c r="P56" s="56" t="n">
        <v>0.03</v>
      </c>
      <c r="Q56" s="56" t="n">
        <v>4.03</v>
      </c>
      <c r="R56" s="56" t="n">
        <v>2</v>
      </c>
      <c r="S56" s="56">
        <f>IF(AC56="Cancelled",0,M56*R56)</f>
        <v/>
      </c>
      <c r="T56" s="56">
        <f>IF(AC56="Cancelled",0,N56*R56)</f>
        <v/>
      </c>
      <c r="U56" s="56">
        <f>IF(AC56="Cancelled",0,O56*R56)</f>
        <v/>
      </c>
      <c r="V56" s="56">
        <f>IF(AC56="Cancelled",0,ROUND(P56*S56,2))</f>
        <v/>
      </c>
      <c r="W56" s="56" t="inlineStr">
        <is>
          <t>Yes</t>
        </is>
      </c>
      <c r="X56" s="56" t="n">
        <v>51.41</v>
      </c>
      <c r="Y56" s="56">
        <f>IF(AC56="Cancelled",0,T56+U56+V56+Q56+X56)</f>
        <v/>
      </c>
      <c r="Z56" s="56">
        <f>IF(AC56="Cancelled",-Q56,S56-Y56)</f>
        <v/>
      </c>
      <c r="AA56" s="56">
        <f>IF(OR(AC56="Cancelled",S56=0),0,Z56/S56)</f>
        <v/>
      </c>
      <c r="AB56" s="56">
        <f>IFERROR(IF(Q56=0,0,S56/Q56),0)</f>
        <v/>
      </c>
      <c r="AC56" s="56" t="inlineStr">
        <is>
          <t>Refunded</t>
        </is>
      </c>
      <c r="AD56" s="56">
        <f>IF(Z56&lt;=0,"Low Profit",IF(Z56&gt;=50,"HighProfit","Medium Profit"))</f>
        <v/>
      </c>
      <c r="AE56" s="56">
        <f>TEXT(B56,"mmmm")</f>
        <v/>
      </c>
    </row>
    <row r="57" ht="14.25" customHeight="1" s="57">
      <c r="A57" s="56" t="inlineStr">
        <is>
          <t>ORD-00302</t>
        </is>
      </c>
      <c r="B57" s="116" t="n">
        <v>45709</v>
      </c>
      <c r="C57" s="56" t="n">
        <v>2025</v>
      </c>
      <c r="D57" s="56" t="n">
        <v>2</v>
      </c>
      <c r="E57" s="56" t="inlineStr">
        <is>
          <t>UAE</t>
        </is>
      </c>
      <c r="F57" s="56" t="inlineStr">
        <is>
          <t>Sharjah</t>
        </is>
      </c>
      <c r="G57" s="56" t="inlineStr">
        <is>
          <t>Email</t>
        </is>
      </c>
      <c r="H57" s="56" t="inlineStr">
        <is>
          <t>Summer Sale</t>
        </is>
      </c>
      <c r="I57" s="56" t="inlineStr">
        <is>
          <t>P006</t>
        </is>
      </c>
      <c r="J57" s="56" t="inlineStr">
        <is>
          <t>Posture Corrector</t>
        </is>
      </c>
      <c r="K57" s="56" t="inlineStr">
        <is>
          <t>Fitness</t>
        </is>
      </c>
      <c r="L57" s="56" t="inlineStr">
        <is>
          <t>Hangzhou Health Gear</t>
        </is>
      </c>
      <c r="M57" s="56" t="n">
        <v>32.72</v>
      </c>
      <c r="N57" s="56" t="n">
        <v>9.43</v>
      </c>
      <c r="O57" s="56" t="n">
        <v>3.7</v>
      </c>
      <c r="P57" s="56" t="n">
        <v>0.03</v>
      </c>
      <c r="Q57" s="56" t="n">
        <v>8.529999999999999</v>
      </c>
      <c r="R57" s="56" t="n">
        <v>2</v>
      </c>
      <c r="S57" s="56">
        <f>IF(AC57="Cancelled",0,M57*R57)</f>
        <v/>
      </c>
      <c r="T57" s="56">
        <f>IF(AC57="Cancelled",0,N57*R57)</f>
        <v/>
      </c>
      <c r="U57" s="56">
        <f>IF(AC57="Cancelled",0,O57*R57)</f>
        <v/>
      </c>
      <c r="V57" s="56">
        <f>IF(AC57="Cancelled",0,ROUND(P57*S57,2))</f>
        <v/>
      </c>
      <c r="W57" s="56" t="inlineStr">
        <is>
          <t>No</t>
        </is>
      </c>
      <c r="X57" s="56" t="n">
        <v>0</v>
      </c>
      <c r="Y57" s="56">
        <f>IF(AC57="Cancelled",0,T57+U57+V57+Q57+X57)</f>
        <v/>
      </c>
      <c r="Z57" s="56">
        <f>IF(AC57="Cancelled",-Q57,S57-Y57)</f>
        <v/>
      </c>
      <c r="AA57" s="56">
        <f>IF(OR(AC57="Cancelled",S57=0),0,Z57/S57)</f>
        <v/>
      </c>
      <c r="AB57" s="56">
        <f>IFERROR(IF(Q57=0,0,S57/Q57),0)</f>
        <v/>
      </c>
      <c r="AC57" s="56" t="inlineStr">
        <is>
          <t>Delivered</t>
        </is>
      </c>
      <c r="AD57" s="56">
        <f>IF(Z57&lt;=0,"Low Profit",IF(Z57&gt;=50,"HighProfit","Medium Profit"))</f>
        <v/>
      </c>
      <c r="AE57" s="56">
        <f>TEXT(B57,"mmmm")</f>
        <v/>
      </c>
    </row>
    <row r="58" ht="14.25" customHeight="1" s="57">
      <c r="A58" s="56" t="inlineStr">
        <is>
          <t>ORD-00403</t>
        </is>
      </c>
      <c r="B58" s="116" t="n">
        <v>45709</v>
      </c>
      <c r="C58" s="56" t="n">
        <v>2025</v>
      </c>
      <c r="D58" s="56" t="n">
        <v>2</v>
      </c>
      <c r="E58" s="56" t="inlineStr">
        <is>
          <t>UAE</t>
        </is>
      </c>
      <c r="F58" s="56" t="inlineStr">
        <is>
          <t>Dubai</t>
        </is>
      </c>
      <c r="G58" s="56" t="inlineStr">
        <is>
          <t>Influencer</t>
        </is>
      </c>
      <c r="H58" s="56" t="inlineStr">
        <is>
          <t>Launch Test</t>
        </is>
      </c>
      <c r="I58" s="56" t="inlineStr">
        <is>
          <t>P010</t>
        </is>
      </c>
      <c r="J58" s="56" t="inlineStr">
        <is>
          <t>Smart Water Bottle</t>
        </is>
      </c>
      <c r="K58" s="56" t="inlineStr">
        <is>
          <t>Lifestyle</t>
        </is>
      </c>
      <c r="L58" s="56" t="inlineStr">
        <is>
          <t>Shenzhen Smart Home</t>
        </is>
      </c>
      <c r="M58" s="56" t="n">
        <v>34.27</v>
      </c>
      <c r="N58" s="56" t="n">
        <v>10.78</v>
      </c>
      <c r="O58" s="56" t="n">
        <v>4.28</v>
      </c>
      <c r="P58" s="56" t="n">
        <v>0.03</v>
      </c>
      <c r="Q58" s="56" t="n">
        <v>4.96</v>
      </c>
      <c r="R58" s="56" t="n">
        <v>1</v>
      </c>
      <c r="S58" s="56">
        <f>IF(AC58="Cancelled",0,M58*R58)</f>
        <v/>
      </c>
      <c r="T58" s="56">
        <f>IF(AC58="Cancelled",0,N58*R58)</f>
        <v/>
      </c>
      <c r="U58" s="56">
        <f>IF(AC58="Cancelled",0,O58*R58)</f>
        <v/>
      </c>
      <c r="V58" s="56">
        <f>IF(AC58="Cancelled",0,ROUND(P58*S58,2))</f>
        <v/>
      </c>
      <c r="W58" s="56" t="inlineStr">
        <is>
          <t>No</t>
        </is>
      </c>
      <c r="X58" s="56" t="n">
        <v>0</v>
      </c>
      <c r="Y58" s="56">
        <f>IF(AC58="Cancelled",0,T58+U58+V58+Q58+X58)</f>
        <v/>
      </c>
      <c r="Z58" s="56">
        <f>IF(AC58="Cancelled",-Q58,S58-Y58)</f>
        <v/>
      </c>
      <c r="AA58" s="56">
        <f>IF(OR(AC58="Cancelled",S58=0),0,Z58/S58)</f>
        <v/>
      </c>
      <c r="AB58" s="56">
        <f>IFERROR(IF(Q58=0,0,S58/Q58),0)</f>
        <v/>
      </c>
      <c r="AC58" s="56" t="inlineStr">
        <is>
          <t>Delivered</t>
        </is>
      </c>
      <c r="AD58" s="56">
        <f>IF(Z58&lt;=0,"Low Profit",IF(Z58&gt;=50,"HighProfit","Medium Profit"))</f>
        <v/>
      </c>
      <c r="AE58" s="56">
        <f>TEXT(B58,"mmmm")</f>
        <v/>
      </c>
    </row>
    <row r="59" ht="14.25" customHeight="1" s="57">
      <c r="A59" s="56" t="inlineStr">
        <is>
          <t>ORD-00074</t>
        </is>
      </c>
      <c r="B59" s="116" t="n">
        <v>45710</v>
      </c>
      <c r="C59" s="56" t="n">
        <v>2025</v>
      </c>
      <c r="D59" s="56" t="n">
        <v>2</v>
      </c>
      <c r="E59" s="56" t="inlineStr">
        <is>
          <t>Kuwait</t>
        </is>
      </c>
      <c r="F59" s="56" t="inlineStr">
        <is>
          <t>Kuwait City</t>
        </is>
      </c>
      <c r="G59" s="56" t="inlineStr">
        <is>
          <t>Meta Ads</t>
        </is>
      </c>
      <c r="H59" s="56" t="inlineStr">
        <is>
          <t>Launch Test</t>
        </is>
      </c>
      <c r="I59" s="56" t="inlineStr">
        <is>
          <t>P005</t>
        </is>
      </c>
      <c r="J59" s="56" t="inlineStr">
        <is>
          <t>Mini Printer</t>
        </is>
      </c>
      <c r="K59" s="56" t="inlineStr">
        <is>
          <t>Electronics</t>
        </is>
      </c>
      <c r="L59" s="56" t="inlineStr">
        <is>
          <t>Shenzhen Print Tech</t>
        </is>
      </c>
      <c r="M59" s="56" t="n">
        <v>56.19</v>
      </c>
      <c r="N59" s="56" t="n">
        <v>21.23</v>
      </c>
      <c r="O59" s="56" t="n">
        <v>7.93</v>
      </c>
      <c r="P59" s="56" t="n">
        <v>0.03</v>
      </c>
      <c r="Q59" s="56" t="n">
        <v>20.6</v>
      </c>
      <c r="R59" s="56" t="n">
        <v>3</v>
      </c>
      <c r="S59" s="56">
        <f>IF(AC59="Cancelled",0,M59*R59)</f>
        <v/>
      </c>
      <c r="T59" s="56">
        <f>IF(AC59="Cancelled",0,N59*R59)</f>
        <v/>
      </c>
      <c r="U59" s="56">
        <f>IF(AC59="Cancelled",0,O59*R59)</f>
        <v/>
      </c>
      <c r="V59" s="56">
        <f>IF(AC59="Cancelled",0,ROUND(P59*S59,2))</f>
        <v/>
      </c>
      <c r="W59" s="56" t="inlineStr">
        <is>
          <t>No</t>
        </is>
      </c>
      <c r="X59" s="56" t="n">
        <v>0</v>
      </c>
      <c r="Y59" s="56">
        <f>IF(AC59="Cancelled",0,T59+U59+V59+Q59+X59)</f>
        <v/>
      </c>
      <c r="Z59" s="56">
        <f>IF(AC59="Cancelled",-Q59,S59-Y59)</f>
        <v/>
      </c>
      <c r="AA59" s="56">
        <f>IF(OR(AC59="Cancelled",S59=0),0,Z59/S59)</f>
        <v/>
      </c>
      <c r="AB59" s="56">
        <f>IFERROR(IF(Q59=0,0,S59/Q59),0)</f>
        <v/>
      </c>
      <c r="AC59" s="56" t="inlineStr">
        <is>
          <t>Delivered</t>
        </is>
      </c>
      <c r="AD59" s="56">
        <f>IF(Z59&lt;=0,"Low Profit",IF(Z59&gt;=50,"HighProfit","Medium Profit"))</f>
        <v/>
      </c>
      <c r="AE59" s="56">
        <f>TEXT(B59,"mmmm")</f>
        <v/>
      </c>
    </row>
    <row r="60" ht="14.25" customHeight="1" s="57">
      <c r="A60" s="56" t="inlineStr">
        <is>
          <t>ORD-00497</t>
        </is>
      </c>
      <c r="B60" s="116" t="n">
        <v>45710</v>
      </c>
      <c r="C60" s="56" t="n">
        <v>2025</v>
      </c>
      <c r="D60" s="56" t="n">
        <v>2</v>
      </c>
      <c r="E60" s="56" t="inlineStr">
        <is>
          <t>Saudi Arabia</t>
        </is>
      </c>
      <c r="F60" s="56" t="inlineStr">
        <is>
          <t>Jeddah</t>
        </is>
      </c>
      <c r="G60" s="56" t="inlineStr">
        <is>
          <t>Meta Ads</t>
        </is>
      </c>
      <c r="H60" s="56" t="inlineStr">
        <is>
          <t>Retargeting</t>
        </is>
      </c>
      <c r="I60" s="56" t="inlineStr">
        <is>
          <t>P009</t>
        </is>
      </c>
      <c r="J60" s="56" t="inlineStr">
        <is>
          <t>Car Vacuum Cleaner</t>
        </is>
      </c>
      <c r="K60" s="56" t="inlineStr">
        <is>
          <t>Automotive</t>
        </is>
      </c>
      <c r="L60" s="56" t="inlineStr">
        <is>
          <t>Dongguan Auto Tools</t>
        </is>
      </c>
      <c r="M60" s="56" t="n">
        <v>45.31</v>
      </c>
      <c r="N60" s="56" t="n">
        <v>14.57</v>
      </c>
      <c r="O60" s="56" t="n">
        <v>6.44</v>
      </c>
      <c r="P60" s="56" t="n">
        <v>0.03</v>
      </c>
      <c r="Q60" s="56" t="n">
        <v>29.55</v>
      </c>
      <c r="R60" s="56" t="n">
        <v>3</v>
      </c>
      <c r="S60" s="56">
        <f>IF(AC60="Cancelled",0,M60*R60)</f>
        <v/>
      </c>
      <c r="T60" s="56">
        <f>IF(AC60="Cancelled",0,N60*R60)</f>
        <v/>
      </c>
      <c r="U60" s="56">
        <f>IF(AC60="Cancelled",0,O60*R60)</f>
        <v/>
      </c>
      <c r="V60" s="56">
        <f>IF(AC60="Cancelled",0,ROUND(P60*S60,2))</f>
        <v/>
      </c>
      <c r="W60" s="56" t="inlineStr">
        <is>
          <t>No</t>
        </is>
      </c>
      <c r="X60" s="56" t="n">
        <v>0</v>
      </c>
      <c r="Y60" s="56">
        <f>IF(AC60="Cancelled",0,T60+U60+V60+Q60+X60)</f>
        <v/>
      </c>
      <c r="Z60" s="56">
        <f>IF(AC60="Cancelled",-Q60,S60-Y60)</f>
        <v/>
      </c>
      <c r="AA60" s="56">
        <f>IF(OR(AC60="Cancelled",S60=0),0,Z60/S60)</f>
        <v/>
      </c>
      <c r="AB60" s="56">
        <f>IFERROR(IF(Q60=0,0,S60/Q60),0)</f>
        <v/>
      </c>
      <c r="AC60" s="56" t="inlineStr">
        <is>
          <t>Delivered</t>
        </is>
      </c>
      <c r="AD60" s="56">
        <f>IF(Z60&lt;=0,"Low Profit",IF(Z60&gt;=50,"HighProfit","Medium Profit"))</f>
        <v/>
      </c>
      <c r="AE60" s="56">
        <f>TEXT(B60,"mmmm")</f>
        <v/>
      </c>
    </row>
    <row r="61" ht="14.25" customHeight="1" s="57">
      <c r="A61" s="56" t="inlineStr">
        <is>
          <t>ORD-00300</t>
        </is>
      </c>
      <c r="B61" s="116" t="n">
        <v>45711</v>
      </c>
      <c r="C61" s="56" t="n">
        <v>2025</v>
      </c>
      <c r="D61" s="56" t="n">
        <v>2</v>
      </c>
      <c r="E61" s="56" t="inlineStr">
        <is>
          <t>Saudi Arabia</t>
        </is>
      </c>
      <c r="F61" s="56" t="inlineStr">
        <is>
          <t>Jeddah</t>
        </is>
      </c>
      <c r="G61" s="56" t="inlineStr">
        <is>
          <t>TikTok Ads</t>
        </is>
      </c>
      <c r="H61" s="56" t="inlineStr">
        <is>
          <t>Bundle Promo</t>
        </is>
      </c>
      <c r="I61" s="56" t="inlineStr">
        <is>
          <t>P008</t>
        </is>
      </c>
      <c r="J61" s="56" t="inlineStr">
        <is>
          <t>Portable Blender</t>
        </is>
      </c>
      <c r="K61" s="56" t="inlineStr">
        <is>
          <t>Kitchen</t>
        </is>
      </c>
      <c r="L61" s="56" t="inlineStr">
        <is>
          <t>Foshan Appliances</t>
        </is>
      </c>
      <c r="M61" s="56" t="n">
        <v>49.5</v>
      </c>
      <c r="N61" s="56" t="n">
        <v>16.44</v>
      </c>
      <c r="O61" s="56" t="n">
        <v>6.69</v>
      </c>
      <c r="P61" s="56" t="n">
        <v>0.03</v>
      </c>
      <c r="Q61" s="56" t="n">
        <v>23.78</v>
      </c>
      <c r="R61" s="56" t="n">
        <v>3</v>
      </c>
      <c r="S61" s="56">
        <f>IF(AC61="Cancelled",0,M61*R61)</f>
        <v/>
      </c>
      <c r="T61" s="56">
        <f>IF(AC61="Cancelled",0,N61*R61)</f>
        <v/>
      </c>
      <c r="U61" s="56">
        <f>IF(AC61="Cancelled",0,O61*R61)</f>
        <v/>
      </c>
      <c r="V61" s="56">
        <f>IF(AC61="Cancelled",0,ROUND(P61*S61,2))</f>
        <v/>
      </c>
      <c r="W61" s="56" t="inlineStr">
        <is>
          <t>No</t>
        </is>
      </c>
      <c r="X61" s="56" t="n">
        <v>0</v>
      </c>
      <c r="Y61" s="56">
        <f>IF(AC61="Cancelled",0,T61+U61+V61+Q61+X61)</f>
        <v/>
      </c>
      <c r="Z61" s="56">
        <f>IF(AC61="Cancelled",-Q61,S61-Y61)</f>
        <v/>
      </c>
      <c r="AA61" s="56">
        <f>IF(OR(AC61="Cancelled",S61=0),0,Z61/S61)</f>
        <v/>
      </c>
      <c r="AB61" s="56">
        <f>IFERROR(IF(Q61=0,0,S61/Q61),0)</f>
        <v/>
      </c>
      <c r="AC61" s="56" t="inlineStr">
        <is>
          <t>Delivered</t>
        </is>
      </c>
      <c r="AD61" s="56">
        <f>IF(Z61&lt;=0,"Low Profit",IF(Z61&gt;=50,"HighProfit","Medium Profit"))</f>
        <v/>
      </c>
      <c r="AE61" s="56">
        <f>TEXT(B61,"mmmm")</f>
        <v/>
      </c>
    </row>
    <row r="62" ht="14.25" customHeight="1" s="57">
      <c r="A62" s="56" t="inlineStr">
        <is>
          <t>ORD-00485</t>
        </is>
      </c>
      <c r="B62" s="116" t="n">
        <v>45713</v>
      </c>
      <c r="C62" s="56" t="n">
        <v>2025</v>
      </c>
      <c r="D62" s="56" t="n">
        <v>2</v>
      </c>
      <c r="E62" s="56" t="inlineStr">
        <is>
          <t>UAE</t>
        </is>
      </c>
      <c r="F62" s="56" t="inlineStr">
        <is>
          <t>Abu Dhabi</t>
        </is>
      </c>
      <c r="G62" s="56" t="inlineStr">
        <is>
          <t>Meta Ads</t>
        </is>
      </c>
      <c r="H62" s="56" t="inlineStr">
        <is>
          <t>New Creative A/B</t>
        </is>
      </c>
      <c r="I62" s="56" t="inlineStr">
        <is>
          <t>P001</t>
        </is>
      </c>
      <c r="J62" s="56" t="inlineStr">
        <is>
          <t>Wireless Earbuds</t>
        </is>
      </c>
      <c r="K62" s="56" t="inlineStr">
        <is>
          <t>Electronics</t>
        </is>
      </c>
      <c r="L62" s="56" t="inlineStr">
        <is>
          <t>Shenzhen Audio Co.</t>
        </is>
      </c>
      <c r="M62" s="56" t="n">
        <v>37.72</v>
      </c>
      <c r="N62" s="56" t="n">
        <v>8.83</v>
      </c>
      <c r="O62" s="56" t="n">
        <v>3.99</v>
      </c>
      <c r="P62" s="56" t="n">
        <v>0.03</v>
      </c>
      <c r="Q62" s="56" t="n">
        <v>9.81</v>
      </c>
      <c r="R62" s="56" t="n">
        <v>1</v>
      </c>
      <c r="S62" s="56">
        <f>IF(AC62="Cancelled",0,M62*R62)</f>
        <v/>
      </c>
      <c r="T62" s="56">
        <f>IF(AC62="Cancelled",0,N62*R62)</f>
        <v/>
      </c>
      <c r="U62" s="56">
        <f>IF(AC62="Cancelled",0,O62*R62)</f>
        <v/>
      </c>
      <c r="V62" s="56">
        <f>IF(AC62="Cancelled",0,ROUND(P62*S62,2))</f>
        <v/>
      </c>
      <c r="W62" s="56" t="inlineStr">
        <is>
          <t>No</t>
        </is>
      </c>
      <c r="X62" s="56" t="n">
        <v>0</v>
      </c>
      <c r="Y62" s="56">
        <f>IF(AC62="Cancelled",0,T62+U62+V62+Q62+X62)</f>
        <v/>
      </c>
      <c r="Z62" s="56">
        <f>IF(AC62="Cancelled",-Q62,S62-Y62)</f>
        <v/>
      </c>
      <c r="AA62" s="56">
        <f>IF(OR(AC62="Cancelled",S62=0),0,Z62/S62)</f>
        <v/>
      </c>
      <c r="AB62" s="56">
        <f>IFERROR(IF(Q62=0,0,S62/Q62),0)</f>
        <v/>
      </c>
      <c r="AC62" s="56" t="inlineStr">
        <is>
          <t>Delivered</t>
        </is>
      </c>
      <c r="AD62" s="56">
        <f>IF(Z62&lt;=0,"Low Profit",IF(Z62&gt;=50,"HighProfit","Medium Profit"))</f>
        <v/>
      </c>
      <c r="AE62" s="56">
        <f>TEXT(B62,"mmmm")</f>
        <v/>
      </c>
    </row>
    <row r="63" ht="14.25" customHeight="1" s="57">
      <c r="A63" s="56" t="inlineStr">
        <is>
          <t>ORD-00149</t>
        </is>
      </c>
      <c r="B63" s="116" t="n">
        <v>45714</v>
      </c>
      <c r="C63" s="56" t="n">
        <v>2025</v>
      </c>
      <c r="D63" s="56" t="n">
        <v>2</v>
      </c>
      <c r="E63" s="56" t="inlineStr">
        <is>
          <t>Saudi Arabia</t>
        </is>
      </c>
      <c r="F63" s="56" t="inlineStr">
        <is>
          <t>Riyadh</t>
        </is>
      </c>
      <c r="G63" s="56" t="inlineStr">
        <is>
          <t>Google Ads</t>
        </is>
      </c>
      <c r="H63" s="56" t="inlineStr">
        <is>
          <t>Summer Sale</t>
        </is>
      </c>
      <c r="I63" s="56" t="inlineStr">
        <is>
          <t>P004</t>
        </is>
      </c>
      <c r="J63" s="56" t="inlineStr">
        <is>
          <t>Beauty Tool</t>
        </is>
      </c>
      <c r="K63" s="56" t="inlineStr">
        <is>
          <t>Beauty</t>
        </is>
      </c>
      <c r="L63" s="56" t="inlineStr">
        <is>
          <t>Ningbo Beauty Supply</t>
        </is>
      </c>
      <c r="M63" s="56" t="n">
        <v>29.99</v>
      </c>
      <c r="N63" s="56" t="n">
        <v>6.75</v>
      </c>
      <c r="O63" s="56" t="n">
        <v>4.41</v>
      </c>
      <c r="P63" s="56" t="n">
        <v>0.03</v>
      </c>
      <c r="Q63" s="56" t="n">
        <v>5.82</v>
      </c>
      <c r="R63" s="56" t="n">
        <v>1</v>
      </c>
      <c r="S63" s="56">
        <f>IF(AC63="Cancelled",0,M63*R63)</f>
        <v/>
      </c>
      <c r="T63" s="56">
        <f>IF(AC63="Cancelled",0,N63*R63)</f>
        <v/>
      </c>
      <c r="U63" s="56">
        <f>IF(AC63="Cancelled",0,O63*R63)</f>
        <v/>
      </c>
      <c r="V63" s="56">
        <f>IF(AC63="Cancelled",0,ROUND(P63*S63,2))</f>
        <v/>
      </c>
      <c r="W63" s="56" t="inlineStr">
        <is>
          <t>No</t>
        </is>
      </c>
      <c r="X63" s="56" t="n">
        <v>0</v>
      </c>
      <c r="Y63" s="56">
        <f>IF(AC63="Cancelled",0,T63+U63+V63+Q63+X63)</f>
        <v/>
      </c>
      <c r="Z63" s="56">
        <f>IF(AC63="Cancelled",-Q63,S63-Y63)</f>
        <v/>
      </c>
      <c r="AA63" s="56">
        <f>IF(OR(AC63="Cancelled",S63=0),0,Z63/S63)</f>
        <v/>
      </c>
      <c r="AB63" s="56">
        <f>IFERROR(IF(Q63=0,0,S63/Q63),0)</f>
        <v/>
      </c>
      <c r="AC63" s="56" t="inlineStr">
        <is>
          <t>Delivered</t>
        </is>
      </c>
      <c r="AD63" s="56">
        <f>IF(Z63&lt;=0,"Low Profit",IF(Z63&gt;=50,"HighProfit","Medium Profit"))</f>
        <v/>
      </c>
      <c r="AE63" s="56">
        <f>TEXT(B63,"mmmm")</f>
        <v/>
      </c>
    </row>
    <row r="64" ht="14.25" customHeight="1" s="57">
      <c r="A64" s="56" t="inlineStr">
        <is>
          <t>ORD-00222</t>
        </is>
      </c>
      <c r="B64" s="116" t="n">
        <v>45714</v>
      </c>
      <c r="C64" s="56" t="n">
        <v>2025</v>
      </c>
      <c r="D64" s="56" t="n">
        <v>2</v>
      </c>
      <c r="E64" s="56" t="inlineStr">
        <is>
          <t>Saudi Arabia</t>
        </is>
      </c>
      <c r="F64" s="56" t="inlineStr">
        <is>
          <t>Jeddah</t>
        </is>
      </c>
      <c r="G64" s="56" t="inlineStr">
        <is>
          <t>Organic Search</t>
        </is>
      </c>
      <c r="H64" s="56" t="inlineStr">
        <is>
          <t>Retargeting</t>
        </is>
      </c>
      <c r="I64" s="56" t="inlineStr">
        <is>
          <t>P003</t>
        </is>
      </c>
      <c r="J64" s="56" t="inlineStr">
        <is>
          <t>LED Strip Lights</t>
        </is>
      </c>
      <c r="K64" s="56" t="inlineStr">
        <is>
          <t>Home Decor</t>
        </is>
      </c>
      <c r="L64" s="56" t="inlineStr">
        <is>
          <t>Yiwu Lighting Factory</t>
        </is>
      </c>
      <c r="M64" s="56" t="n">
        <v>24.63</v>
      </c>
      <c r="N64" s="56" t="n">
        <v>6.17</v>
      </c>
      <c r="O64" s="56" t="n">
        <v>3.76</v>
      </c>
      <c r="P64" s="56" t="n">
        <v>0.03</v>
      </c>
      <c r="Q64" s="56" t="n">
        <v>0</v>
      </c>
      <c r="R64" s="56" t="n">
        <v>3</v>
      </c>
      <c r="S64" s="56">
        <f>IF(AC64="Cancelled",0,M64*R64)</f>
        <v/>
      </c>
      <c r="T64" s="56">
        <f>IF(AC64="Cancelled",0,N64*R64)</f>
        <v/>
      </c>
      <c r="U64" s="56">
        <f>IF(AC64="Cancelled",0,O64*R64)</f>
        <v/>
      </c>
      <c r="V64" s="56">
        <f>IF(AC64="Cancelled",0,ROUND(P64*S64,2))</f>
        <v/>
      </c>
      <c r="W64" s="56" t="inlineStr">
        <is>
          <t>No</t>
        </is>
      </c>
      <c r="X64" s="56" t="n">
        <v>0</v>
      </c>
      <c r="Y64" s="56">
        <f>IF(AC64="Cancelled",0,T64+U64+V64+Q64+X64)</f>
        <v/>
      </c>
      <c r="Z64" s="56">
        <f>IF(AC64="Cancelled",-Q64,S64-Y64)</f>
        <v/>
      </c>
      <c r="AA64" s="56">
        <f>IF(OR(AC64="Cancelled",S64=0),0,Z64/S64)</f>
        <v/>
      </c>
      <c r="AB64" s="56">
        <f>IFERROR(IF(Q64=0,0,S64/Q64),0)</f>
        <v/>
      </c>
      <c r="AC64" s="56" t="inlineStr">
        <is>
          <t>Cancelled</t>
        </is>
      </c>
      <c r="AD64" s="56">
        <f>IF(Z64&lt;=0,"Low Profit",IF(Z64&gt;=50,"HighProfit","Medium Profit"))</f>
        <v/>
      </c>
      <c r="AE64" s="56">
        <f>TEXT(B64,"mmmm")</f>
        <v/>
      </c>
    </row>
    <row r="65" ht="14.25" customHeight="1" s="57">
      <c r="A65" s="56" t="inlineStr">
        <is>
          <t>ORD-00060</t>
        </is>
      </c>
      <c r="B65" s="116" t="n">
        <v>45716</v>
      </c>
      <c r="C65" s="56" t="n">
        <v>2025</v>
      </c>
      <c r="D65" s="56" t="n">
        <v>2</v>
      </c>
      <c r="E65" s="56" t="inlineStr">
        <is>
          <t>Oman</t>
        </is>
      </c>
      <c r="F65" s="56" t="inlineStr">
        <is>
          <t>Muscat</t>
        </is>
      </c>
      <c r="G65" s="56" t="inlineStr">
        <is>
          <t>Influencer</t>
        </is>
      </c>
      <c r="H65" s="56" t="inlineStr">
        <is>
          <t>Summer Sale</t>
        </is>
      </c>
      <c r="I65" s="56" t="inlineStr">
        <is>
          <t>P009</t>
        </is>
      </c>
      <c r="J65" s="56" t="inlineStr">
        <is>
          <t>Car Vacuum Cleaner</t>
        </is>
      </c>
      <c r="K65" s="56" t="inlineStr">
        <is>
          <t>Automotive</t>
        </is>
      </c>
      <c r="L65" s="56" t="inlineStr">
        <is>
          <t>Dongguan Auto Tools</t>
        </is>
      </c>
      <c r="M65" s="56" t="n">
        <v>43.66</v>
      </c>
      <c r="N65" s="56" t="n">
        <v>14.08</v>
      </c>
      <c r="O65" s="56" t="n">
        <v>7.26</v>
      </c>
      <c r="P65" s="56" t="n">
        <v>0.03</v>
      </c>
      <c r="Q65" s="56" t="n">
        <v>12.37</v>
      </c>
      <c r="R65" s="56" t="n">
        <v>3</v>
      </c>
      <c r="S65" s="56">
        <f>IF(AC65="Cancelled",0,M65*R65)</f>
        <v/>
      </c>
      <c r="T65" s="56">
        <f>IF(AC65="Cancelled",0,N65*R65)</f>
        <v/>
      </c>
      <c r="U65" s="56">
        <f>IF(AC65="Cancelled",0,O65*R65)</f>
        <v/>
      </c>
      <c r="V65" s="56">
        <f>IF(AC65="Cancelled",0,ROUND(P65*S65,2))</f>
        <v/>
      </c>
      <c r="W65" s="56" t="inlineStr">
        <is>
          <t>No</t>
        </is>
      </c>
      <c r="X65" s="56" t="n">
        <v>0</v>
      </c>
      <c r="Y65" s="56">
        <f>IF(AC65="Cancelled",0,T65+U65+V65+Q65+X65)</f>
        <v/>
      </c>
      <c r="Z65" s="56">
        <f>IF(AC65="Cancelled",-Q65,S65-Y65)</f>
        <v/>
      </c>
      <c r="AA65" s="56">
        <f>IF(OR(AC65="Cancelled",S65=0),0,Z65/S65)</f>
        <v/>
      </c>
      <c r="AB65" s="56">
        <f>IFERROR(IF(Q65=0,0,S65/Q65),0)</f>
        <v/>
      </c>
      <c r="AC65" s="56" t="inlineStr">
        <is>
          <t>Delivered</t>
        </is>
      </c>
      <c r="AD65" s="56">
        <f>IF(Z65&lt;=0,"Low Profit",IF(Z65&gt;=50,"HighProfit","Medium Profit"))</f>
        <v/>
      </c>
      <c r="AE65" s="56">
        <f>TEXT(B65,"mmmm")</f>
        <v/>
      </c>
    </row>
    <row r="66" ht="14.25" customHeight="1" s="57">
      <c r="A66" s="56" t="inlineStr">
        <is>
          <t>ORD-00397</t>
        </is>
      </c>
      <c r="B66" s="116" t="n">
        <v>45718</v>
      </c>
      <c r="C66" s="56" t="n">
        <v>2025</v>
      </c>
      <c r="D66" s="56" t="n">
        <v>3</v>
      </c>
      <c r="E66" s="56" t="inlineStr">
        <is>
          <t>UAE</t>
        </is>
      </c>
      <c r="F66" s="56" t="inlineStr">
        <is>
          <t>Abu Dhabi</t>
        </is>
      </c>
      <c r="G66" s="56" t="inlineStr">
        <is>
          <t>Meta Ads</t>
        </is>
      </c>
      <c r="H66" s="56" t="inlineStr">
        <is>
          <t>Retargeting</t>
        </is>
      </c>
      <c r="I66" s="56" t="inlineStr">
        <is>
          <t>P010</t>
        </is>
      </c>
      <c r="J66" s="56" t="inlineStr">
        <is>
          <t>Smart Water Bottle</t>
        </is>
      </c>
      <c r="K66" s="56" t="inlineStr">
        <is>
          <t>Lifestyle</t>
        </is>
      </c>
      <c r="L66" s="56" t="inlineStr">
        <is>
          <t>Shenzhen Smart Home</t>
        </is>
      </c>
      <c r="M66" s="56" t="n">
        <v>31.13</v>
      </c>
      <c r="N66" s="56" t="n">
        <v>9.56</v>
      </c>
      <c r="O66" s="56" t="n">
        <v>4.24</v>
      </c>
      <c r="P66" s="56" t="n">
        <v>0.03</v>
      </c>
      <c r="Q66" s="56" t="n">
        <v>2.98</v>
      </c>
      <c r="R66" s="56" t="n">
        <v>1</v>
      </c>
      <c r="S66" s="56">
        <f>IF(AC66="Cancelled",0,M66*R66)</f>
        <v/>
      </c>
      <c r="T66" s="56">
        <f>IF(AC66="Cancelled",0,N66*R66)</f>
        <v/>
      </c>
      <c r="U66" s="56">
        <f>IF(AC66="Cancelled",0,O66*R66)</f>
        <v/>
      </c>
      <c r="V66" s="56">
        <f>IF(AC66="Cancelled",0,ROUND(P66*S66,2))</f>
        <v/>
      </c>
      <c r="W66" s="56" t="inlineStr">
        <is>
          <t>Yes</t>
        </is>
      </c>
      <c r="X66" s="56" t="n">
        <v>22.06</v>
      </c>
      <c r="Y66" s="56">
        <f>IF(AC66="Cancelled",0,T66+U66+V66+Q66+X66)</f>
        <v/>
      </c>
      <c r="Z66" s="56">
        <f>IF(AC66="Cancelled",-Q66,S66-Y66)</f>
        <v/>
      </c>
      <c r="AA66" s="56">
        <f>IF(OR(AC66="Cancelled",S66=0),0,Z66/S66)</f>
        <v/>
      </c>
      <c r="AB66" s="56">
        <f>IFERROR(IF(Q66=0,0,S66/Q66),0)</f>
        <v/>
      </c>
      <c r="AC66" s="56" t="inlineStr">
        <is>
          <t>Refunded</t>
        </is>
      </c>
      <c r="AD66" s="56">
        <f>IF(Z66&lt;=0,"Low Profit",IF(Z66&gt;=50,"HighProfit","Medium Profit"))</f>
        <v/>
      </c>
      <c r="AE66" s="56">
        <f>TEXT(B66,"mmmm")</f>
        <v/>
      </c>
    </row>
    <row r="67" ht="14.25" customHeight="1" s="57">
      <c r="A67" s="56" t="inlineStr">
        <is>
          <t>ORD-00275</t>
        </is>
      </c>
      <c r="B67" s="116" t="n">
        <v>45719</v>
      </c>
      <c r="C67" s="56" t="n">
        <v>2025</v>
      </c>
      <c r="D67" s="56" t="n">
        <v>3</v>
      </c>
      <c r="E67" s="56" t="inlineStr">
        <is>
          <t>Qatar</t>
        </is>
      </c>
      <c r="F67" s="56" t="inlineStr">
        <is>
          <t>Doha</t>
        </is>
      </c>
      <c r="G67" s="56" t="inlineStr">
        <is>
          <t>Meta Ads</t>
        </is>
      </c>
      <c r="H67" s="56" t="inlineStr">
        <is>
          <t>Summer Sale</t>
        </is>
      </c>
      <c r="I67" s="56" t="inlineStr">
        <is>
          <t>P009</t>
        </is>
      </c>
      <c r="J67" s="56" t="inlineStr">
        <is>
          <t>Car Vacuum Cleaner</t>
        </is>
      </c>
      <c r="K67" s="56" t="inlineStr">
        <is>
          <t>Automotive</t>
        </is>
      </c>
      <c r="L67" s="56" t="inlineStr">
        <is>
          <t>Dongguan Auto Tools</t>
        </is>
      </c>
      <c r="M67" s="56" t="n">
        <v>40.75</v>
      </c>
      <c r="N67" s="56" t="n">
        <v>14.72</v>
      </c>
      <c r="O67" s="56" t="n">
        <v>6.66</v>
      </c>
      <c r="P67" s="56" t="n">
        <v>0.03</v>
      </c>
      <c r="Q67" s="56" t="n">
        <v>4.65</v>
      </c>
      <c r="R67" s="56" t="n">
        <v>1</v>
      </c>
      <c r="S67" s="56">
        <f>IF(AC67="Cancelled",0,M67*R67)</f>
        <v/>
      </c>
      <c r="T67" s="56">
        <f>IF(AC67="Cancelled",0,N67*R67)</f>
        <v/>
      </c>
      <c r="U67" s="56">
        <f>IF(AC67="Cancelled",0,O67*R67)</f>
        <v/>
      </c>
      <c r="V67" s="56">
        <f>IF(AC67="Cancelled",0,ROUND(P67*S67,2))</f>
        <v/>
      </c>
      <c r="W67" s="56" t="inlineStr">
        <is>
          <t>No</t>
        </is>
      </c>
      <c r="X67" s="56" t="n">
        <v>0</v>
      </c>
      <c r="Y67" s="56">
        <f>IF(AC67="Cancelled",0,T67+U67+V67+Q67+X67)</f>
        <v/>
      </c>
      <c r="Z67" s="56">
        <f>IF(AC67="Cancelled",-Q67,S67-Y67)</f>
        <v/>
      </c>
      <c r="AA67" s="56">
        <f>IF(OR(AC67="Cancelled",S67=0),0,Z67/S67)</f>
        <v/>
      </c>
      <c r="AB67" s="56">
        <f>IFERROR(IF(Q67=0,0,S67/Q67),0)</f>
        <v/>
      </c>
      <c r="AC67" s="56" t="inlineStr">
        <is>
          <t>Delivered</t>
        </is>
      </c>
      <c r="AD67" s="56">
        <f>IF(Z67&lt;=0,"Low Profit",IF(Z67&gt;=50,"HighProfit","Medium Profit"))</f>
        <v/>
      </c>
      <c r="AE67" s="56">
        <f>TEXT(B67,"mmmm")</f>
        <v/>
      </c>
    </row>
    <row r="68" ht="14.25" customHeight="1" s="57">
      <c r="A68" s="56" t="inlineStr">
        <is>
          <t>ORD-00389</t>
        </is>
      </c>
      <c r="B68" s="116" t="n">
        <v>45720</v>
      </c>
      <c r="C68" s="56" t="n">
        <v>2025</v>
      </c>
      <c r="D68" s="56" t="n">
        <v>3</v>
      </c>
      <c r="E68" s="56" t="inlineStr">
        <is>
          <t>Kuwait</t>
        </is>
      </c>
      <c r="F68" s="56" t="inlineStr">
        <is>
          <t>Kuwait City</t>
        </is>
      </c>
      <c r="G68" s="56" t="inlineStr">
        <is>
          <t>TikTok Ads</t>
        </is>
      </c>
      <c r="H68" s="56" t="inlineStr">
        <is>
          <t>Summer Sale</t>
        </is>
      </c>
      <c r="I68" s="56" t="inlineStr">
        <is>
          <t>P005</t>
        </is>
      </c>
      <c r="J68" s="56" t="inlineStr">
        <is>
          <t>Mini Printer</t>
        </is>
      </c>
      <c r="K68" s="56" t="inlineStr">
        <is>
          <t>Electronics</t>
        </is>
      </c>
      <c r="L68" s="56" t="inlineStr">
        <is>
          <t>Shenzhen Print Tech</t>
        </is>
      </c>
      <c r="M68" s="56" t="n">
        <v>59.3</v>
      </c>
      <c r="N68" s="56" t="n">
        <v>22.66</v>
      </c>
      <c r="O68" s="56" t="n">
        <v>7.67</v>
      </c>
      <c r="P68" s="56" t="n">
        <v>0.03</v>
      </c>
      <c r="Q68" s="56" t="n">
        <v>8.890000000000001</v>
      </c>
      <c r="R68" s="56" t="n">
        <v>1</v>
      </c>
      <c r="S68" s="56">
        <f>IF(AC68="Cancelled",0,M68*R68)</f>
        <v/>
      </c>
      <c r="T68" s="56">
        <f>IF(AC68="Cancelled",0,N68*R68)</f>
        <v/>
      </c>
      <c r="U68" s="56">
        <f>IF(AC68="Cancelled",0,O68*R68)</f>
        <v/>
      </c>
      <c r="V68" s="56">
        <f>IF(AC68="Cancelled",0,ROUND(P68*S68,2))</f>
        <v/>
      </c>
      <c r="W68" s="56" t="inlineStr">
        <is>
          <t>No</t>
        </is>
      </c>
      <c r="X68" s="56" t="n">
        <v>0</v>
      </c>
      <c r="Y68" s="56">
        <f>IF(AC68="Cancelled",0,T68+U68+V68+Q68+X68)</f>
        <v/>
      </c>
      <c r="Z68" s="56">
        <f>IF(AC68="Cancelled",-Q68,S68-Y68)</f>
        <v/>
      </c>
      <c r="AA68" s="56">
        <f>IF(OR(AC68="Cancelled",S68=0),0,Z68/S68)</f>
        <v/>
      </c>
      <c r="AB68" s="56">
        <f>IFERROR(IF(Q68=0,0,S68/Q68),0)</f>
        <v/>
      </c>
      <c r="AC68" s="56" t="inlineStr">
        <is>
          <t>Delivered</t>
        </is>
      </c>
      <c r="AD68" s="56">
        <f>IF(Z68&lt;=0,"Low Profit",IF(Z68&gt;=50,"HighProfit","Medium Profit"))</f>
        <v/>
      </c>
      <c r="AE68" s="56">
        <f>TEXT(B68,"mmmm")</f>
        <v/>
      </c>
    </row>
    <row r="69" ht="14.25" customHeight="1" s="57">
      <c r="A69" s="56" t="inlineStr">
        <is>
          <t>ORD-00395</t>
        </is>
      </c>
      <c r="B69" s="116" t="n">
        <v>45720</v>
      </c>
      <c r="C69" s="56" t="n">
        <v>2025</v>
      </c>
      <c r="D69" s="56" t="n">
        <v>3</v>
      </c>
      <c r="E69" s="56" t="inlineStr">
        <is>
          <t>Saudi Arabia</t>
        </is>
      </c>
      <c r="F69" s="56" t="inlineStr">
        <is>
          <t>Jeddah</t>
        </is>
      </c>
      <c r="G69" s="56" t="inlineStr">
        <is>
          <t>Influencer</t>
        </is>
      </c>
      <c r="H69" s="56" t="inlineStr">
        <is>
          <t>New Creative A/B</t>
        </is>
      </c>
      <c r="I69" s="56" t="inlineStr">
        <is>
          <t>P003</t>
        </is>
      </c>
      <c r="J69" s="56" t="inlineStr">
        <is>
          <t>LED Strip Lights</t>
        </is>
      </c>
      <c r="K69" s="56" t="inlineStr">
        <is>
          <t>Home Decor</t>
        </is>
      </c>
      <c r="L69" s="56" t="inlineStr">
        <is>
          <t>Yiwu Lighting Factory</t>
        </is>
      </c>
      <c r="M69" s="56" t="n">
        <v>23.12</v>
      </c>
      <c r="N69" s="56" t="n">
        <v>6.07</v>
      </c>
      <c r="O69" s="56" t="n">
        <v>3.28</v>
      </c>
      <c r="P69" s="56" t="n">
        <v>0.03</v>
      </c>
      <c r="Q69" s="56" t="n">
        <v>12.53</v>
      </c>
      <c r="R69" s="56" t="n">
        <v>3</v>
      </c>
      <c r="S69" s="56">
        <f>IF(AC69="Cancelled",0,M69*R69)</f>
        <v/>
      </c>
      <c r="T69" s="56">
        <f>IF(AC69="Cancelled",0,N69*R69)</f>
        <v/>
      </c>
      <c r="U69" s="56">
        <f>IF(AC69="Cancelled",0,O69*R69)</f>
        <v/>
      </c>
      <c r="V69" s="56">
        <f>IF(AC69="Cancelled",0,ROUND(P69*S69,2))</f>
        <v/>
      </c>
      <c r="W69" s="56" t="inlineStr">
        <is>
          <t>Yes</t>
        </is>
      </c>
      <c r="X69" s="56" t="n">
        <v>52.19</v>
      </c>
      <c r="Y69" s="56">
        <f>IF(AC69="Cancelled",0,T69+U69+V69+Q69+X69)</f>
        <v/>
      </c>
      <c r="Z69" s="56">
        <f>IF(AC69="Cancelled",-Q69,S69-Y69)</f>
        <v/>
      </c>
      <c r="AA69" s="56">
        <f>IF(OR(AC69="Cancelled",S69=0),0,Z69/S69)</f>
        <v/>
      </c>
      <c r="AB69" s="56">
        <f>IFERROR(IF(Q69=0,0,S69/Q69),0)</f>
        <v/>
      </c>
      <c r="AC69" s="56" t="inlineStr">
        <is>
          <t>Refunded</t>
        </is>
      </c>
      <c r="AD69" s="56">
        <f>IF(Z69&lt;=0,"Low Profit",IF(Z69&gt;=50,"HighProfit","Medium Profit"))</f>
        <v/>
      </c>
      <c r="AE69" s="56">
        <f>TEXT(B69,"mmmm")</f>
        <v/>
      </c>
    </row>
    <row r="70" ht="14.25" customHeight="1" s="57">
      <c r="A70" s="56" t="inlineStr">
        <is>
          <t>ORD-00336</t>
        </is>
      </c>
      <c r="B70" s="116" t="n">
        <v>45721</v>
      </c>
      <c r="C70" s="56" t="n">
        <v>2025</v>
      </c>
      <c r="D70" s="56" t="n">
        <v>3</v>
      </c>
      <c r="E70" s="56" t="inlineStr">
        <is>
          <t>Kuwait</t>
        </is>
      </c>
      <c r="F70" s="56" t="inlineStr">
        <is>
          <t>Kuwait City</t>
        </is>
      </c>
      <c r="G70" s="56" t="inlineStr">
        <is>
          <t>TikTok Ads</t>
        </is>
      </c>
      <c r="H70" s="56" t="inlineStr">
        <is>
          <t>Summer Sale</t>
        </is>
      </c>
      <c r="I70" s="56" t="inlineStr">
        <is>
          <t>P005</t>
        </is>
      </c>
      <c r="J70" s="56" t="inlineStr">
        <is>
          <t>Mini Printer</t>
        </is>
      </c>
      <c r="K70" s="56" t="inlineStr">
        <is>
          <t>Electronics</t>
        </is>
      </c>
      <c r="L70" s="56" t="inlineStr">
        <is>
          <t>Shenzhen Print Tech</t>
        </is>
      </c>
      <c r="M70" s="56" t="n">
        <v>62.22</v>
      </c>
      <c r="N70" s="56" t="n">
        <v>21.1</v>
      </c>
      <c r="O70" s="56" t="n">
        <v>7.38</v>
      </c>
      <c r="P70" s="56" t="n">
        <v>0.03</v>
      </c>
      <c r="Q70" s="56" t="n">
        <v>7.5</v>
      </c>
      <c r="R70" s="56" t="n">
        <v>2</v>
      </c>
      <c r="S70" s="56">
        <f>IF(AC70="Cancelled",0,M70*R70)</f>
        <v/>
      </c>
      <c r="T70" s="56">
        <f>IF(AC70="Cancelled",0,N70*R70)</f>
        <v/>
      </c>
      <c r="U70" s="56">
        <f>IF(AC70="Cancelled",0,O70*R70)</f>
        <v/>
      </c>
      <c r="V70" s="56">
        <f>IF(AC70="Cancelled",0,ROUND(P70*S70,2))</f>
        <v/>
      </c>
      <c r="W70" s="56" t="inlineStr">
        <is>
          <t>No</t>
        </is>
      </c>
      <c r="X70" s="56" t="n">
        <v>0</v>
      </c>
      <c r="Y70" s="56">
        <f>IF(AC70="Cancelled",0,T70+U70+V70+Q70+X70)</f>
        <v/>
      </c>
      <c r="Z70" s="56">
        <f>IF(AC70="Cancelled",-Q70,S70-Y70)</f>
        <v/>
      </c>
      <c r="AA70" s="56">
        <f>IF(OR(AC70="Cancelled",S70=0),0,Z70/S70)</f>
        <v/>
      </c>
      <c r="AB70" s="56">
        <f>IFERROR(IF(Q70=0,0,S70/Q70),0)</f>
        <v/>
      </c>
      <c r="AC70" s="56" t="inlineStr">
        <is>
          <t>Delivered</t>
        </is>
      </c>
      <c r="AD70" s="56">
        <f>IF(Z70&lt;=0,"Low Profit",IF(Z70&gt;=50,"HighProfit","Medium Profit"))</f>
        <v/>
      </c>
      <c r="AE70" s="56">
        <f>TEXT(B70,"mmmm")</f>
        <v/>
      </c>
    </row>
    <row r="71" ht="14.25" customHeight="1" s="57">
      <c r="A71" s="56" t="inlineStr">
        <is>
          <t>ORD-00393</t>
        </is>
      </c>
      <c r="B71" s="116" t="n">
        <v>45721</v>
      </c>
      <c r="C71" s="56" t="n">
        <v>2025</v>
      </c>
      <c r="D71" s="56" t="n">
        <v>3</v>
      </c>
      <c r="E71" s="56" t="inlineStr">
        <is>
          <t>Qatar</t>
        </is>
      </c>
      <c r="F71" s="56" t="inlineStr">
        <is>
          <t>Doha</t>
        </is>
      </c>
      <c r="G71" s="56" t="inlineStr">
        <is>
          <t>Email</t>
        </is>
      </c>
      <c r="H71" s="56" t="inlineStr">
        <is>
          <t>Summer Sale</t>
        </is>
      </c>
      <c r="I71" s="56" t="inlineStr">
        <is>
          <t>P010</t>
        </is>
      </c>
      <c r="J71" s="56" t="inlineStr">
        <is>
          <t>Smart Water Bottle</t>
        </is>
      </c>
      <c r="K71" s="56" t="inlineStr">
        <is>
          <t>Lifestyle</t>
        </is>
      </c>
      <c r="L71" s="56" t="inlineStr">
        <is>
          <t>Shenzhen Smart Home</t>
        </is>
      </c>
      <c r="M71" s="56" t="n">
        <v>33.57</v>
      </c>
      <c r="N71" s="56" t="n">
        <v>9.57</v>
      </c>
      <c r="O71" s="56" t="n">
        <v>4.49</v>
      </c>
      <c r="P71" s="56" t="n">
        <v>0.03</v>
      </c>
      <c r="Q71" s="56" t="n">
        <v>3.97</v>
      </c>
      <c r="R71" s="56" t="n">
        <v>1</v>
      </c>
      <c r="S71" s="56">
        <f>IF(AC71="Cancelled",0,M71*R71)</f>
        <v/>
      </c>
      <c r="T71" s="56">
        <f>IF(AC71="Cancelled",0,N71*R71)</f>
        <v/>
      </c>
      <c r="U71" s="56">
        <f>IF(AC71="Cancelled",0,O71*R71)</f>
        <v/>
      </c>
      <c r="V71" s="56">
        <f>IF(AC71="Cancelled",0,ROUND(P71*S71,2))</f>
        <v/>
      </c>
      <c r="W71" s="56" t="inlineStr">
        <is>
          <t>No</t>
        </is>
      </c>
      <c r="X71" s="56" t="n">
        <v>0</v>
      </c>
      <c r="Y71" s="56">
        <f>IF(AC71="Cancelled",0,T71+U71+V71+Q71+X71)</f>
        <v/>
      </c>
      <c r="Z71" s="56">
        <f>IF(AC71="Cancelled",-Q71,S71-Y71)</f>
        <v/>
      </c>
      <c r="AA71" s="56">
        <f>IF(OR(AC71="Cancelled",S71=0),0,Z71/S71)</f>
        <v/>
      </c>
      <c r="AB71" s="56">
        <f>IFERROR(IF(Q71=0,0,S71/Q71),0)</f>
        <v/>
      </c>
      <c r="AC71" s="56" t="inlineStr">
        <is>
          <t>Delivered</t>
        </is>
      </c>
      <c r="AD71" s="56">
        <f>IF(Z71&lt;=0,"Low Profit",IF(Z71&gt;=50,"HighProfit","Medium Profit"))</f>
        <v/>
      </c>
      <c r="AE71" s="56">
        <f>TEXT(B71,"mmmm")</f>
        <v/>
      </c>
    </row>
    <row r="72" ht="14.25" customHeight="1" s="57">
      <c r="A72" s="56" t="inlineStr">
        <is>
          <t>ORD-00150</t>
        </is>
      </c>
      <c r="B72" s="116" t="n">
        <v>45722</v>
      </c>
      <c r="C72" s="56" t="n">
        <v>2025</v>
      </c>
      <c r="D72" s="56" t="n">
        <v>3</v>
      </c>
      <c r="E72" s="56" t="inlineStr">
        <is>
          <t>UAE</t>
        </is>
      </c>
      <c r="F72" s="56" t="inlineStr">
        <is>
          <t>Abu Dhabi</t>
        </is>
      </c>
      <c r="G72" s="56" t="inlineStr">
        <is>
          <t>TikTok Ads</t>
        </is>
      </c>
      <c r="H72" s="56" t="inlineStr">
        <is>
          <t>Retargeting</t>
        </is>
      </c>
      <c r="I72" s="56" t="inlineStr">
        <is>
          <t>P009</t>
        </is>
      </c>
      <c r="J72" s="56" t="inlineStr">
        <is>
          <t>Car Vacuum Cleaner</t>
        </is>
      </c>
      <c r="K72" s="56" t="inlineStr">
        <is>
          <t>Automotive</t>
        </is>
      </c>
      <c r="L72" s="56" t="inlineStr">
        <is>
          <t>Dongguan Auto Tools</t>
        </is>
      </c>
      <c r="M72" s="56" t="n">
        <v>47.88</v>
      </c>
      <c r="N72" s="56" t="n">
        <v>15.04</v>
      </c>
      <c r="O72" s="56" t="n">
        <v>7.13</v>
      </c>
      <c r="P72" s="56" t="n">
        <v>0.03</v>
      </c>
      <c r="Q72" s="56" t="n">
        <v>5.94</v>
      </c>
      <c r="R72" s="56" t="n">
        <v>1</v>
      </c>
      <c r="S72" s="56">
        <f>IF(AC72="Cancelled",0,M72*R72)</f>
        <v/>
      </c>
      <c r="T72" s="56">
        <f>IF(AC72="Cancelled",0,N72*R72)</f>
        <v/>
      </c>
      <c r="U72" s="56">
        <f>IF(AC72="Cancelled",0,O72*R72)</f>
        <v/>
      </c>
      <c r="V72" s="56">
        <f>IF(AC72="Cancelled",0,ROUND(P72*S72,2))</f>
        <v/>
      </c>
      <c r="W72" s="56" t="inlineStr">
        <is>
          <t>No</t>
        </is>
      </c>
      <c r="X72" s="56" t="n">
        <v>0</v>
      </c>
      <c r="Y72" s="56">
        <f>IF(AC72="Cancelled",0,T72+U72+V72+Q72+X72)</f>
        <v/>
      </c>
      <c r="Z72" s="56">
        <f>IF(AC72="Cancelled",-Q72,S72-Y72)</f>
        <v/>
      </c>
      <c r="AA72" s="56">
        <f>IF(OR(AC72="Cancelled",S72=0),0,Z72/S72)</f>
        <v/>
      </c>
      <c r="AB72" s="56">
        <f>IFERROR(IF(Q72=0,0,S72/Q72),0)</f>
        <v/>
      </c>
      <c r="AC72" s="56" t="inlineStr">
        <is>
          <t>Delivered</t>
        </is>
      </c>
      <c r="AD72" s="56">
        <f>IF(Z72&lt;=0,"Low Profit",IF(Z72&gt;=50,"HighProfit","Medium Profit"))</f>
        <v/>
      </c>
      <c r="AE72" s="56">
        <f>TEXT(B72,"mmmm")</f>
        <v/>
      </c>
    </row>
    <row r="73" ht="14.25" customHeight="1" s="57">
      <c r="A73" s="56" t="inlineStr">
        <is>
          <t>ORD-00211</t>
        </is>
      </c>
      <c r="B73" s="116" t="n">
        <v>45724</v>
      </c>
      <c r="C73" s="56" t="n">
        <v>2025</v>
      </c>
      <c r="D73" s="56" t="n">
        <v>3</v>
      </c>
      <c r="E73" s="56" t="inlineStr">
        <is>
          <t>Saudi Arabia</t>
        </is>
      </c>
      <c r="F73" s="56" t="inlineStr">
        <is>
          <t>Jeddah</t>
        </is>
      </c>
      <c r="G73" s="56" t="inlineStr">
        <is>
          <t>TikTok Ads</t>
        </is>
      </c>
      <c r="H73" s="56" t="inlineStr">
        <is>
          <t>Launch Test</t>
        </is>
      </c>
      <c r="I73" s="56" t="inlineStr">
        <is>
          <t>P006</t>
        </is>
      </c>
      <c r="J73" s="56" t="inlineStr">
        <is>
          <t>Posture Corrector</t>
        </is>
      </c>
      <c r="K73" s="56" t="inlineStr">
        <is>
          <t>Fitness</t>
        </is>
      </c>
      <c r="L73" s="56" t="inlineStr">
        <is>
          <t>Hangzhou Health Gear</t>
        </is>
      </c>
      <c r="M73" s="56" t="n">
        <v>34.97</v>
      </c>
      <c r="N73" s="56" t="n">
        <v>9.710000000000001</v>
      </c>
      <c r="O73" s="56" t="n">
        <v>4.17</v>
      </c>
      <c r="P73" s="56" t="n">
        <v>0.03</v>
      </c>
      <c r="Q73" s="56" t="n">
        <v>8.59</v>
      </c>
      <c r="R73" s="56" t="n">
        <v>1</v>
      </c>
      <c r="S73" s="56">
        <f>IF(AC73="Cancelled",0,M73*R73)</f>
        <v/>
      </c>
      <c r="T73" s="56">
        <f>IF(AC73="Cancelled",0,N73*R73)</f>
        <v/>
      </c>
      <c r="U73" s="56">
        <f>IF(AC73="Cancelled",0,O73*R73)</f>
        <v/>
      </c>
      <c r="V73" s="56">
        <f>IF(AC73="Cancelled",0,ROUND(P73*S73,2))</f>
        <v/>
      </c>
      <c r="W73" s="56" t="inlineStr">
        <is>
          <t>No</t>
        </is>
      </c>
      <c r="X73" s="56" t="n">
        <v>0</v>
      </c>
      <c r="Y73" s="56">
        <f>IF(AC73="Cancelled",0,T73+U73+V73+Q73+X73)</f>
        <v/>
      </c>
      <c r="Z73" s="56">
        <f>IF(AC73="Cancelled",-Q73,S73-Y73)</f>
        <v/>
      </c>
      <c r="AA73" s="56">
        <f>IF(OR(AC73="Cancelled",S73=0),0,Z73/S73)</f>
        <v/>
      </c>
      <c r="AB73" s="56">
        <f>IFERROR(IF(Q73=0,0,S73/Q73),0)</f>
        <v/>
      </c>
      <c r="AC73" s="56" t="inlineStr">
        <is>
          <t>Delivered</t>
        </is>
      </c>
      <c r="AD73" s="56">
        <f>IF(Z73&lt;=0,"Low Profit",IF(Z73&gt;=50,"HighProfit","Medium Profit"))</f>
        <v/>
      </c>
      <c r="AE73" s="56">
        <f>TEXT(B73,"mmmm")</f>
        <v/>
      </c>
    </row>
    <row r="74" ht="14.25" customHeight="1" s="57">
      <c r="A74" s="56" t="inlineStr">
        <is>
          <t>ORD-00273</t>
        </is>
      </c>
      <c r="B74" s="116" t="n">
        <v>45725</v>
      </c>
      <c r="C74" s="56" t="n">
        <v>2025</v>
      </c>
      <c r="D74" s="56" t="n">
        <v>3</v>
      </c>
      <c r="E74" s="56" t="inlineStr">
        <is>
          <t>Kuwait</t>
        </is>
      </c>
      <c r="F74" s="56" t="inlineStr">
        <is>
          <t>Kuwait City</t>
        </is>
      </c>
      <c r="G74" s="56" t="inlineStr">
        <is>
          <t>Influencer</t>
        </is>
      </c>
      <c r="H74" s="56" t="inlineStr">
        <is>
          <t>Retargeting</t>
        </is>
      </c>
      <c r="I74" s="56" t="inlineStr">
        <is>
          <t>P001</t>
        </is>
      </c>
      <c r="J74" s="56" t="inlineStr">
        <is>
          <t>Wireless Earbuds</t>
        </is>
      </c>
      <c r="K74" s="56" t="inlineStr">
        <is>
          <t>Electronics</t>
        </is>
      </c>
      <c r="L74" s="56" t="inlineStr">
        <is>
          <t>Shenzhen Audio Co.</t>
        </is>
      </c>
      <c r="M74" s="56" t="n">
        <v>36.47</v>
      </c>
      <c r="N74" s="56" t="n">
        <v>8.109999999999999</v>
      </c>
      <c r="O74" s="56" t="n">
        <v>3.83</v>
      </c>
      <c r="P74" s="56" t="n">
        <v>0.03</v>
      </c>
      <c r="Q74" s="56" t="n">
        <v>6</v>
      </c>
      <c r="R74" s="56" t="n">
        <v>1</v>
      </c>
      <c r="S74" s="56">
        <f>IF(AC74="Cancelled",0,M74*R74)</f>
        <v/>
      </c>
      <c r="T74" s="56">
        <f>IF(AC74="Cancelled",0,N74*R74)</f>
        <v/>
      </c>
      <c r="U74" s="56">
        <f>IF(AC74="Cancelled",0,O74*R74)</f>
        <v/>
      </c>
      <c r="V74" s="56">
        <f>IF(AC74="Cancelled",0,ROUND(P74*S74,2))</f>
        <v/>
      </c>
      <c r="W74" s="56" t="inlineStr">
        <is>
          <t>No</t>
        </is>
      </c>
      <c r="X74" s="56" t="n">
        <v>0</v>
      </c>
      <c r="Y74" s="56">
        <f>IF(AC74="Cancelled",0,T74+U74+V74+Q74+X74)</f>
        <v/>
      </c>
      <c r="Z74" s="56">
        <f>IF(AC74="Cancelled",-Q74,S74-Y74)</f>
        <v/>
      </c>
      <c r="AA74" s="56">
        <f>IF(OR(AC74="Cancelled",S74=0),0,Z74/S74)</f>
        <v/>
      </c>
      <c r="AB74" s="56">
        <f>IFERROR(IF(Q74=0,0,S74/Q74),0)</f>
        <v/>
      </c>
      <c r="AC74" s="56" t="inlineStr">
        <is>
          <t>Delivered</t>
        </is>
      </c>
      <c r="AD74" s="56">
        <f>IF(Z74&lt;=0,"Low Profit",IF(Z74&gt;=50,"HighProfit","Medium Profit"))</f>
        <v/>
      </c>
      <c r="AE74" s="56">
        <f>TEXT(B74,"mmmm")</f>
        <v/>
      </c>
    </row>
    <row r="75" ht="14.25" customHeight="1" s="57">
      <c r="A75" s="56" t="inlineStr">
        <is>
          <t>ORD-00495</t>
        </is>
      </c>
      <c r="B75" s="116" t="n">
        <v>45725</v>
      </c>
      <c r="C75" s="56" t="n">
        <v>2025</v>
      </c>
      <c r="D75" s="56" t="n">
        <v>3</v>
      </c>
      <c r="E75" s="56" t="inlineStr">
        <is>
          <t>UAE</t>
        </is>
      </c>
      <c r="F75" s="56" t="inlineStr">
        <is>
          <t>Dubai</t>
        </is>
      </c>
      <c r="G75" s="56" t="inlineStr">
        <is>
          <t>Influencer</t>
        </is>
      </c>
      <c r="H75" s="56" t="inlineStr">
        <is>
          <t>New Creative A/B</t>
        </is>
      </c>
      <c r="I75" s="56" t="inlineStr">
        <is>
          <t>P009</t>
        </is>
      </c>
      <c r="J75" s="56" t="inlineStr">
        <is>
          <t>Car Vacuum Cleaner</t>
        </is>
      </c>
      <c r="K75" s="56" t="inlineStr">
        <is>
          <t>Automotive</t>
        </is>
      </c>
      <c r="L75" s="56" t="inlineStr">
        <is>
          <t>Dongguan Auto Tools</t>
        </is>
      </c>
      <c r="M75" s="56" t="n">
        <v>40.83</v>
      </c>
      <c r="N75" s="56" t="n">
        <v>14.16</v>
      </c>
      <c r="O75" s="56" t="n">
        <v>6.29</v>
      </c>
      <c r="P75" s="56" t="n">
        <v>0.03</v>
      </c>
      <c r="Q75" s="56" t="n">
        <v>16.84</v>
      </c>
      <c r="R75" s="56" t="n">
        <v>2</v>
      </c>
      <c r="S75" s="56">
        <f>IF(AC75="Cancelled",0,M75*R75)</f>
        <v/>
      </c>
      <c r="T75" s="56">
        <f>IF(AC75="Cancelled",0,N75*R75)</f>
        <v/>
      </c>
      <c r="U75" s="56">
        <f>IF(AC75="Cancelled",0,O75*R75)</f>
        <v/>
      </c>
      <c r="V75" s="56">
        <f>IF(AC75="Cancelled",0,ROUND(P75*S75,2))</f>
        <v/>
      </c>
      <c r="W75" s="56" t="inlineStr">
        <is>
          <t>No</t>
        </is>
      </c>
      <c r="X75" s="56" t="n">
        <v>0</v>
      </c>
      <c r="Y75" s="56">
        <f>IF(AC75="Cancelled",0,T75+U75+V75+Q75+X75)</f>
        <v/>
      </c>
      <c r="Z75" s="56">
        <f>IF(AC75="Cancelled",-Q75,S75-Y75)</f>
        <v/>
      </c>
      <c r="AA75" s="56">
        <f>IF(OR(AC75="Cancelled",S75=0),0,Z75/S75)</f>
        <v/>
      </c>
      <c r="AB75" s="56">
        <f>IFERROR(IF(Q75=0,0,S75/Q75),0)</f>
        <v/>
      </c>
      <c r="AC75" s="56" t="inlineStr">
        <is>
          <t>Delivered</t>
        </is>
      </c>
      <c r="AD75" s="56">
        <f>IF(Z75&lt;=0,"Low Profit",IF(Z75&gt;=50,"HighProfit","Medium Profit"))</f>
        <v/>
      </c>
      <c r="AE75" s="56">
        <f>TEXT(B75,"mmmm")</f>
        <v/>
      </c>
    </row>
    <row r="76" ht="14.25" customHeight="1" s="57">
      <c r="A76" s="56" t="inlineStr">
        <is>
          <t>ORD-00112</t>
        </is>
      </c>
      <c r="B76" s="116" t="n">
        <v>45726</v>
      </c>
      <c r="C76" s="56" t="n">
        <v>2025</v>
      </c>
      <c r="D76" s="56" t="n">
        <v>3</v>
      </c>
      <c r="E76" s="56" t="inlineStr">
        <is>
          <t>UAE</t>
        </is>
      </c>
      <c r="F76" s="56" t="inlineStr">
        <is>
          <t>Abu Dhabi</t>
        </is>
      </c>
      <c r="G76" s="56" t="inlineStr">
        <is>
          <t>Meta Ads</t>
        </is>
      </c>
      <c r="H76" s="56" t="inlineStr">
        <is>
          <t>Launch Test</t>
        </is>
      </c>
      <c r="I76" s="56" t="inlineStr">
        <is>
          <t>P010</t>
        </is>
      </c>
      <c r="J76" s="56" t="inlineStr">
        <is>
          <t>Smart Water Bottle</t>
        </is>
      </c>
      <c r="K76" s="56" t="inlineStr">
        <is>
          <t>Lifestyle</t>
        </is>
      </c>
      <c r="L76" s="56" t="inlineStr">
        <is>
          <t>Shenzhen Smart Home</t>
        </is>
      </c>
      <c r="M76" s="56" t="n">
        <v>36.91</v>
      </c>
      <c r="N76" s="56" t="n">
        <v>9.6</v>
      </c>
      <c r="O76" s="56" t="n">
        <v>4.3</v>
      </c>
      <c r="P76" s="56" t="n">
        <v>0.03</v>
      </c>
      <c r="Q76" s="56" t="n">
        <v>9.289999999999999</v>
      </c>
      <c r="R76" s="56" t="n">
        <v>1</v>
      </c>
      <c r="S76" s="56">
        <f>IF(AC76="Cancelled",0,M76*R76)</f>
        <v/>
      </c>
      <c r="T76" s="56">
        <f>IF(AC76="Cancelled",0,N76*R76)</f>
        <v/>
      </c>
      <c r="U76" s="56">
        <f>IF(AC76="Cancelled",0,O76*R76)</f>
        <v/>
      </c>
      <c r="V76" s="56">
        <f>IF(AC76="Cancelled",0,ROUND(P76*S76,2))</f>
        <v/>
      </c>
      <c r="W76" s="56" t="inlineStr">
        <is>
          <t>No</t>
        </is>
      </c>
      <c r="X76" s="56" t="n">
        <v>0</v>
      </c>
      <c r="Y76" s="56">
        <f>IF(AC76="Cancelled",0,T76+U76+V76+Q76+X76)</f>
        <v/>
      </c>
      <c r="Z76" s="56">
        <f>IF(AC76="Cancelled",-Q76,S76-Y76)</f>
        <v/>
      </c>
      <c r="AA76" s="56">
        <f>IF(OR(AC76="Cancelled",S76=0),0,Z76/S76)</f>
        <v/>
      </c>
      <c r="AB76" s="56">
        <f>IFERROR(IF(Q76=0,0,S76/Q76),0)</f>
        <v/>
      </c>
      <c r="AC76" s="56" t="inlineStr">
        <is>
          <t>Delivered</t>
        </is>
      </c>
      <c r="AD76" s="56">
        <f>IF(Z76&lt;=0,"Low Profit",IF(Z76&gt;=50,"HighProfit","Medium Profit"))</f>
        <v/>
      </c>
      <c r="AE76" s="56">
        <f>TEXT(B76,"mmmm")</f>
        <v/>
      </c>
    </row>
    <row r="77" ht="14.25" customHeight="1" s="57">
      <c r="A77" s="56" t="inlineStr">
        <is>
          <t>ORD-00249</t>
        </is>
      </c>
      <c r="B77" s="116" t="n">
        <v>45726</v>
      </c>
      <c r="C77" s="56" t="n">
        <v>2025</v>
      </c>
      <c r="D77" s="56" t="n">
        <v>3</v>
      </c>
      <c r="E77" s="56" t="inlineStr">
        <is>
          <t>UAE</t>
        </is>
      </c>
      <c r="F77" s="56" t="inlineStr">
        <is>
          <t>Sharjah</t>
        </is>
      </c>
      <c r="G77" s="56" t="inlineStr">
        <is>
          <t>Meta Ads</t>
        </is>
      </c>
      <c r="H77" s="56" t="inlineStr">
        <is>
          <t>New Creative A/B</t>
        </is>
      </c>
      <c r="I77" s="56" t="inlineStr">
        <is>
          <t>P006</t>
        </is>
      </c>
      <c r="J77" s="56" t="inlineStr">
        <is>
          <t>Posture Corrector</t>
        </is>
      </c>
      <c r="K77" s="56" t="inlineStr">
        <is>
          <t>Fitness</t>
        </is>
      </c>
      <c r="L77" s="56" t="inlineStr">
        <is>
          <t>Hangzhou Health Gear</t>
        </is>
      </c>
      <c r="M77" s="56" t="n">
        <v>31.8</v>
      </c>
      <c r="N77" s="56" t="n">
        <v>9.52</v>
      </c>
      <c r="O77" s="56" t="n">
        <v>4.35</v>
      </c>
      <c r="P77" s="56" t="n">
        <v>0.03</v>
      </c>
      <c r="Q77" s="56" t="n">
        <v>8.880000000000001</v>
      </c>
      <c r="R77" s="56" t="n">
        <v>1</v>
      </c>
      <c r="S77" s="56">
        <f>IF(AC77="Cancelled",0,M77*R77)</f>
        <v/>
      </c>
      <c r="T77" s="56">
        <f>IF(AC77="Cancelled",0,N77*R77)</f>
        <v/>
      </c>
      <c r="U77" s="56">
        <f>IF(AC77="Cancelled",0,O77*R77)</f>
        <v/>
      </c>
      <c r="V77" s="56">
        <f>IF(AC77="Cancelled",0,ROUND(P77*S77,2))</f>
        <v/>
      </c>
      <c r="W77" s="56" t="inlineStr">
        <is>
          <t>Yes</t>
        </is>
      </c>
      <c r="X77" s="56" t="n">
        <v>24.16</v>
      </c>
      <c r="Y77" s="56">
        <f>IF(AC77="Cancelled",0,T77+U77+V77+Q77+X77)</f>
        <v/>
      </c>
      <c r="Z77" s="56">
        <f>IF(AC77="Cancelled",-Q77,S77-Y77)</f>
        <v/>
      </c>
      <c r="AA77" s="56">
        <f>IF(OR(AC77="Cancelled",S77=0),0,Z77/S77)</f>
        <v/>
      </c>
      <c r="AB77" s="56">
        <f>IFERROR(IF(Q77=0,0,S77/Q77),0)</f>
        <v/>
      </c>
      <c r="AC77" s="56" t="inlineStr">
        <is>
          <t>Refunded</t>
        </is>
      </c>
      <c r="AD77" s="56">
        <f>IF(Z77&lt;=0,"Low Profit",IF(Z77&gt;=50,"HighProfit","Medium Profit"))</f>
        <v/>
      </c>
      <c r="AE77" s="56">
        <f>TEXT(B77,"mmmm")</f>
        <v/>
      </c>
    </row>
    <row r="78" ht="14.25" customHeight="1" s="57">
      <c r="A78" s="56" t="inlineStr">
        <is>
          <t>ORD-00013</t>
        </is>
      </c>
      <c r="B78" s="116" t="n">
        <v>45729</v>
      </c>
      <c r="C78" s="56" t="n">
        <v>2025</v>
      </c>
      <c r="D78" s="56" t="n">
        <v>3</v>
      </c>
      <c r="E78" s="56" t="inlineStr">
        <is>
          <t>Oman</t>
        </is>
      </c>
      <c r="F78" s="56" t="inlineStr">
        <is>
          <t>Muscat</t>
        </is>
      </c>
      <c r="G78" s="56" t="inlineStr">
        <is>
          <t>Meta Ads</t>
        </is>
      </c>
      <c r="H78" s="56" t="inlineStr">
        <is>
          <t>New Creative A/B</t>
        </is>
      </c>
      <c r="I78" s="56" t="inlineStr">
        <is>
          <t>P008</t>
        </is>
      </c>
      <c r="J78" s="56" t="inlineStr">
        <is>
          <t>Portable Blender</t>
        </is>
      </c>
      <c r="K78" s="56" t="inlineStr">
        <is>
          <t>Kitchen</t>
        </is>
      </c>
      <c r="L78" s="56" t="inlineStr">
        <is>
          <t>Foshan Appliances</t>
        </is>
      </c>
      <c r="M78" s="56" t="n">
        <v>53.67</v>
      </c>
      <c r="N78" s="56" t="n">
        <v>16.15</v>
      </c>
      <c r="O78" s="56" t="n">
        <v>5.89</v>
      </c>
      <c r="P78" s="56" t="n">
        <v>0.03</v>
      </c>
      <c r="Q78" s="56" t="n">
        <v>11.87</v>
      </c>
      <c r="R78" s="56" t="n">
        <v>2</v>
      </c>
      <c r="S78" s="56">
        <f>IF(AC78="Cancelled",0,M78*R78)</f>
        <v/>
      </c>
      <c r="T78" s="56">
        <f>IF(AC78="Cancelled",0,N78*R78)</f>
        <v/>
      </c>
      <c r="U78" s="56">
        <f>IF(AC78="Cancelled",0,O78*R78)</f>
        <v/>
      </c>
      <c r="V78" s="56">
        <f>IF(AC78="Cancelled",0,ROUND(P78*S78,2))</f>
        <v/>
      </c>
      <c r="W78" s="56" t="inlineStr">
        <is>
          <t>No</t>
        </is>
      </c>
      <c r="X78" s="56" t="n">
        <v>0</v>
      </c>
      <c r="Y78" s="56">
        <f>IF(AC78="Cancelled",0,T78+U78+V78+Q78+X78)</f>
        <v/>
      </c>
      <c r="Z78" s="56">
        <f>IF(AC78="Cancelled",-Q78,S78-Y78)</f>
        <v/>
      </c>
      <c r="AA78" s="56">
        <f>IF(OR(AC78="Cancelled",S78=0),0,Z78/S78)</f>
        <v/>
      </c>
      <c r="AB78" s="56">
        <f>IFERROR(IF(Q78=0,0,S78/Q78),0)</f>
        <v/>
      </c>
      <c r="AC78" s="56" t="inlineStr">
        <is>
          <t>Delivered</t>
        </is>
      </c>
      <c r="AD78" s="56">
        <f>IF(Z78&lt;=0,"Low Profit",IF(Z78&gt;=50,"HighProfit","Medium Profit"))</f>
        <v/>
      </c>
      <c r="AE78" s="56">
        <f>TEXT(B78,"mmmm")</f>
        <v/>
      </c>
    </row>
    <row r="79" ht="14.25" customHeight="1" s="57">
      <c r="A79" s="56" t="inlineStr">
        <is>
          <t>ORD-00195</t>
        </is>
      </c>
      <c r="B79" s="116" t="n">
        <v>45729</v>
      </c>
      <c r="C79" s="56" t="n">
        <v>2025</v>
      </c>
      <c r="D79" s="56" t="n">
        <v>3</v>
      </c>
      <c r="E79" s="56" t="inlineStr">
        <is>
          <t>Qatar</t>
        </is>
      </c>
      <c r="F79" s="56" t="inlineStr">
        <is>
          <t>Doha</t>
        </is>
      </c>
      <c r="G79" s="56" t="inlineStr">
        <is>
          <t>Email</t>
        </is>
      </c>
      <c r="H79" s="56" t="inlineStr">
        <is>
          <t>Retargeting</t>
        </is>
      </c>
      <c r="I79" s="56" t="inlineStr">
        <is>
          <t>P008</t>
        </is>
      </c>
      <c r="J79" s="56" t="inlineStr">
        <is>
          <t>Portable Blender</t>
        </is>
      </c>
      <c r="K79" s="56" t="inlineStr">
        <is>
          <t>Kitchen</t>
        </is>
      </c>
      <c r="L79" s="56" t="inlineStr">
        <is>
          <t>Foshan Appliances</t>
        </is>
      </c>
      <c r="M79" s="56" t="n">
        <v>45.03</v>
      </c>
      <c r="N79" s="56" t="n">
        <v>16.46</v>
      </c>
      <c r="O79" s="56" t="n">
        <v>5.58</v>
      </c>
      <c r="P79" s="56" t="n">
        <v>0.03</v>
      </c>
      <c r="Q79" s="56" t="n">
        <v>6.3</v>
      </c>
      <c r="R79" s="56" t="n">
        <v>1</v>
      </c>
      <c r="S79" s="56">
        <f>IF(AC79="Cancelled",0,M79*R79)</f>
        <v/>
      </c>
      <c r="T79" s="56">
        <f>IF(AC79="Cancelled",0,N79*R79)</f>
        <v/>
      </c>
      <c r="U79" s="56">
        <f>IF(AC79="Cancelled",0,O79*R79)</f>
        <v/>
      </c>
      <c r="V79" s="56">
        <f>IF(AC79="Cancelled",0,ROUND(P79*S79,2))</f>
        <v/>
      </c>
      <c r="W79" s="56" t="inlineStr">
        <is>
          <t>No</t>
        </is>
      </c>
      <c r="X79" s="56" t="n">
        <v>0</v>
      </c>
      <c r="Y79" s="56">
        <f>IF(AC79="Cancelled",0,T79+U79+V79+Q79+X79)</f>
        <v/>
      </c>
      <c r="Z79" s="56">
        <f>IF(AC79="Cancelled",-Q79,S79-Y79)</f>
        <v/>
      </c>
      <c r="AA79" s="56">
        <f>IF(OR(AC79="Cancelled",S79=0),0,Z79/S79)</f>
        <v/>
      </c>
      <c r="AB79" s="56">
        <f>IFERROR(IF(Q79=0,0,S79/Q79),0)</f>
        <v/>
      </c>
      <c r="AC79" s="56" t="inlineStr">
        <is>
          <t>Delivered</t>
        </is>
      </c>
      <c r="AD79" s="56">
        <f>IF(Z79&lt;=0,"Low Profit",IF(Z79&gt;=50,"HighProfit","Medium Profit"))</f>
        <v/>
      </c>
      <c r="AE79" s="56">
        <f>TEXT(B79,"mmmm")</f>
        <v/>
      </c>
    </row>
    <row r="80" ht="14.25" customHeight="1" s="57">
      <c r="A80" s="56" t="inlineStr">
        <is>
          <t>ORD-00384</t>
        </is>
      </c>
      <c r="B80" s="116" t="n">
        <v>45731</v>
      </c>
      <c r="C80" s="56" t="n">
        <v>2025</v>
      </c>
      <c r="D80" s="56" t="n">
        <v>3</v>
      </c>
      <c r="E80" s="56" t="inlineStr">
        <is>
          <t>Saudi Arabia</t>
        </is>
      </c>
      <c r="F80" s="56" t="inlineStr">
        <is>
          <t>Riyadh</t>
        </is>
      </c>
      <c r="G80" s="56" t="inlineStr">
        <is>
          <t>Influencer</t>
        </is>
      </c>
      <c r="H80" s="56" t="inlineStr">
        <is>
          <t>Launch Test</t>
        </is>
      </c>
      <c r="I80" s="56" t="inlineStr">
        <is>
          <t>P007</t>
        </is>
      </c>
      <c r="J80" s="56" t="inlineStr">
        <is>
          <t>Pet Grooming Glove</t>
        </is>
      </c>
      <c r="K80" s="56" t="inlineStr">
        <is>
          <t>Pets</t>
        </is>
      </c>
      <c r="L80" s="56" t="inlineStr">
        <is>
          <t>Yiwu Pet Products</t>
        </is>
      </c>
      <c r="M80" s="56" t="n">
        <v>19.53</v>
      </c>
      <c r="N80" s="56" t="n">
        <v>3.59</v>
      </c>
      <c r="O80" s="56" t="n">
        <v>2.63</v>
      </c>
      <c r="P80" s="56" t="n">
        <v>0.03</v>
      </c>
      <c r="Q80" s="56" t="n">
        <v>13.24</v>
      </c>
      <c r="R80" s="56" t="n">
        <v>2</v>
      </c>
      <c r="S80" s="56">
        <f>IF(AC80="Cancelled",0,M80*R80)</f>
        <v/>
      </c>
      <c r="T80" s="56">
        <f>IF(AC80="Cancelled",0,N80*R80)</f>
        <v/>
      </c>
      <c r="U80" s="56">
        <f>IF(AC80="Cancelled",0,O80*R80)</f>
        <v/>
      </c>
      <c r="V80" s="56">
        <f>IF(AC80="Cancelled",0,ROUND(P80*S80,2))</f>
        <v/>
      </c>
      <c r="W80" s="56" t="inlineStr">
        <is>
          <t>No</t>
        </is>
      </c>
      <c r="X80" s="56" t="n">
        <v>0</v>
      </c>
      <c r="Y80" s="56">
        <f>IF(AC80="Cancelled",0,T80+U80+V80+Q80+X80)</f>
        <v/>
      </c>
      <c r="Z80" s="56">
        <f>IF(AC80="Cancelled",-Q80,S80-Y80)</f>
        <v/>
      </c>
      <c r="AA80" s="56">
        <f>IF(OR(AC80="Cancelled",S80=0),0,Z80/S80)</f>
        <v/>
      </c>
      <c r="AB80" s="56">
        <f>IFERROR(IF(Q80=0,0,S80/Q80),0)</f>
        <v/>
      </c>
      <c r="AC80" s="56" t="inlineStr">
        <is>
          <t>Delivered</t>
        </is>
      </c>
      <c r="AD80" s="56">
        <f>IF(Z80&lt;=0,"Low Profit",IF(Z80&gt;=50,"HighProfit","Medium Profit"))</f>
        <v/>
      </c>
      <c r="AE80" s="56">
        <f>TEXT(B80,"mmmm")</f>
        <v/>
      </c>
    </row>
    <row r="81" ht="14.25" customHeight="1" s="57">
      <c r="A81" s="56" t="inlineStr">
        <is>
          <t>ORD-00027</t>
        </is>
      </c>
      <c r="B81" s="116" t="n">
        <v>45732</v>
      </c>
      <c r="C81" s="56" t="n">
        <v>2025</v>
      </c>
      <c r="D81" s="56" t="n">
        <v>3</v>
      </c>
      <c r="E81" s="56" t="inlineStr">
        <is>
          <t>Oman</t>
        </is>
      </c>
      <c r="F81" s="56" t="inlineStr">
        <is>
          <t>Muscat</t>
        </is>
      </c>
      <c r="G81" s="56" t="inlineStr">
        <is>
          <t>Google Ads</t>
        </is>
      </c>
      <c r="H81" s="56" t="inlineStr">
        <is>
          <t>Summer Sale</t>
        </is>
      </c>
      <c r="I81" s="56" t="inlineStr">
        <is>
          <t>P008</t>
        </is>
      </c>
      <c r="J81" s="56" t="inlineStr">
        <is>
          <t>Portable Blender</t>
        </is>
      </c>
      <c r="K81" s="56" t="inlineStr">
        <is>
          <t>Kitchen</t>
        </is>
      </c>
      <c r="L81" s="56" t="inlineStr">
        <is>
          <t>Foshan Appliances</t>
        </is>
      </c>
      <c r="M81" s="56" t="n">
        <v>55.84</v>
      </c>
      <c r="N81" s="56" t="n">
        <v>15.56</v>
      </c>
      <c r="O81" s="56" t="n">
        <v>6.64</v>
      </c>
      <c r="P81" s="56" t="n">
        <v>0.03</v>
      </c>
      <c r="Q81" s="56" t="n">
        <v>26.44</v>
      </c>
      <c r="R81" s="56" t="n">
        <v>3</v>
      </c>
      <c r="S81" s="56">
        <f>IF(AC81="Cancelled",0,M81*R81)</f>
        <v/>
      </c>
      <c r="T81" s="56">
        <f>IF(AC81="Cancelled",0,N81*R81)</f>
        <v/>
      </c>
      <c r="U81" s="56">
        <f>IF(AC81="Cancelled",0,O81*R81)</f>
        <v/>
      </c>
      <c r="V81" s="56">
        <f>IF(AC81="Cancelled",0,ROUND(P81*S81,2))</f>
        <v/>
      </c>
      <c r="W81" s="56" t="inlineStr">
        <is>
          <t>No</t>
        </is>
      </c>
      <c r="X81" s="56" t="n">
        <v>0</v>
      </c>
      <c r="Y81" s="56">
        <f>IF(AC81="Cancelled",0,T81+U81+V81+Q81+X81)</f>
        <v/>
      </c>
      <c r="Z81" s="56">
        <f>IF(AC81="Cancelled",-Q81,S81-Y81)</f>
        <v/>
      </c>
      <c r="AA81" s="56">
        <f>IF(OR(AC81="Cancelled",S81=0),0,Z81/S81)</f>
        <v/>
      </c>
      <c r="AB81" s="56">
        <f>IFERROR(IF(Q81=0,0,S81/Q81),0)</f>
        <v/>
      </c>
      <c r="AC81" s="56" t="inlineStr">
        <is>
          <t>Delivered</t>
        </is>
      </c>
      <c r="AD81" s="56">
        <f>IF(Z81&lt;=0,"Low Profit",IF(Z81&gt;=50,"HighProfit","Medium Profit"))</f>
        <v/>
      </c>
      <c r="AE81" s="56">
        <f>TEXT(B81,"mmmm")</f>
        <v/>
      </c>
    </row>
    <row r="82" ht="14.25" customHeight="1" s="57">
      <c r="A82" s="56" t="inlineStr">
        <is>
          <t>ORD-00467</t>
        </is>
      </c>
      <c r="B82" s="116" t="n">
        <v>45732</v>
      </c>
      <c r="C82" s="56" t="n">
        <v>2025</v>
      </c>
      <c r="D82" s="56" t="n">
        <v>3</v>
      </c>
      <c r="E82" s="56" t="inlineStr">
        <is>
          <t>Kuwait</t>
        </is>
      </c>
      <c r="F82" s="56" t="inlineStr">
        <is>
          <t>Kuwait City</t>
        </is>
      </c>
      <c r="G82" s="56" t="inlineStr">
        <is>
          <t>Meta Ads</t>
        </is>
      </c>
      <c r="H82" s="56" t="inlineStr">
        <is>
          <t>Summer Sale</t>
        </is>
      </c>
      <c r="I82" s="56" t="inlineStr">
        <is>
          <t>P008</t>
        </is>
      </c>
      <c r="J82" s="56" t="inlineStr">
        <is>
          <t>Portable Blender</t>
        </is>
      </c>
      <c r="K82" s="56" t="inlineStr">
        <is>
          <t>Kitchen</t>
        </is>
      </c>
      <c r="L82" s="56" t="inlineStr">
        <is>
          <t>Foshan Appliances</t>
        </is>
      </c>
      <c r="M82" s="56" t="n">
        <v>51.97</v>
      </c>
      <c r="N82" s="56" t="n">
        <v>16.64</v>
      </c>
      <c r="O82" s="56" t="n">
        <v>5.41</v>
      </c>
      <c r="P82" s="56" t="n">
        <v>0.03</v>
      </c>
      <c r="Q82" s="56" t="n">
        <v>16.76</v>
      </c>
      <c r="R82" s="56" t="n">
        <v>2</v>
      </c>
      <c r="S82" s="56">
        <f>IF(AC82="Cancelled",0,M82*R82)</f>
        <v/>
      </c>
      <c r="T82" s="56">
        <f>IF(AC82="Cancelled",0,N82*R82)</f>
        <v/>
      </c>
      <c r="U82" s="56">
        <f>IF(AC82="Cancelled",0,O82*R82)</f>
        <v/>
      </c>
      <c r="V82" s="56">
        <f>IF(AC82="Cancelled",0,ROUND(P82*S82,2))</f>
        <v/>
      </c>
      <c r="W82" s="56" t="inlineStr">
        <is>
          <t>No</t>
        </is>
      </c>
      <c r="X82" s="56" t="n">
        <v>0</v>
      </c>
      <c r="Y82" s="56">
        <f>IF(AC82="Cancelled",0,T82+U82+V82+Q82+X82)</f>
        <v/>
      </c>
      <c r="Z82" s="56">
        <f>IF(AC82="Cancelled",-Q82,S82-Y82)</f>
        <v/>
      </c>
      <c r="AA82" s="56">
        <f>IF(OR(AC82="Cancelled",S82=0),0,Z82/S82)</f>
        <v/>
      </c>
      <c r="AB82" s="56">
        <f>IFERROR(IF(Q82=0,0,S82/Q82),0)</f>
        <v/>
      </c>
      <c r="AC82" s="56" t="inlineStr">
        <is>
          <t>Delivered</t>
        </is>
      </c>
      <c r="AD82" s="56">
        <f>IF(Z82&lt;=0,"Low Profit",IF(Z82&gt;=50,"HighProfit","Medium Profit"))</f>
        <v/>
      </c>
      <c r="AE82" s="56">
        <f>TEXT(B82,"mmmm")</f>
        <v/>
      </c>
    </row>
    <row r="83" ht="14.25" customHeight="1" s="57">
      <c r="A83" s="56" t="inlineStr">
        <is>
          <t>ORD-00356</t>
        </is>
      </c>
      <c r="B83" s="116" t="n">
        <v>45733</v>
      </c>
      <c r="C83" s="56" t="n">
        <v>2025</v>
      </c>
      <c r="D83" s="56" t="n">
        <v>3</v>
      </c>
      <c r="E83" s="56" t="inlineStr">
        <is>
          <t>UAE</t>
        </is>
      </c>
      <c r="F83" s="56" t="inlineStr">
        <is>
          <t>Abu Dhabi</t>
        </is>
      </c>
      <c r="G83" s="56" t="inlineStr">
        <is>
          <t>TikTok Ads</t>
        </is>
      </c>
      <c r="H83" s="56" t="inlineStr">
        <is>
          <t>Bundle Promo</t>
        </is>
      </c>
      <c r="I83" s="56" t="inlineStr">
        <is>
          <t>P003</t>
        </is>
      </c>
      <c r="J83" s="56" t="inlineStr">
        <is>
          <t>LED Strip Lights</t>
        </is>
      </c>
      <c r="K83" s="56" t="inlineStr">
        <is>
          <t>Home Decor</t>
        </is>
      </c>
      <c r="L83" s="56" t="inlineStr">
        <is>
          <t>Yiwu Lighting Factory</t>
        </is>
      </c>
      <c r="M83" s="56" t="n">
        <v>23.28</v>
      </c>
      <c r="N83" s="56" t="n">
        <v>5.9</v>
      </c>
      <c r="O83" s="56" t="n">
        <v>3.55</v>
      </c>
      <c r="P83" s="56" t="n">
        <v>0.03</v>
      </c>
      <c r="Q83" s="56" t="n">
        <v>15.55</v>
      </c>
      <c r="R83" s="56" t="n">
        <v>2</v>
      </c>
      <c r="S83" s="56">
        <f>IF(AC83="Cancelled",0,M83*R83)</f>
        <v/>
      </c>
      <c r="T83" s="56">
        <f>IF(AC83="Cancelled",0,N83*R83)</f>
        <v/>
      </c>
      <c r="U83" s="56">
        <f>IF(AC83="Cancelled",0,O83*R83)</f>
        <v/>
      </c>
      <c r="V83" s="56">
        <f>IF(AC83="Cancelled",0,ROUND(P83*S83,2))</f>
        <v/>
      </c>
      <c r="W83" s="56" t="inlineStr">
        <is>
          <t>No</t>
        </is>
      </c>
      <c r="X83" s="56" t="n">
        <v>0</v>
      </c>
      <c r="Y83" s="56">
        <f>IF(AC83="Cancelled",0,T83+U83+V83+Q83+X83)</f>
        <v/>
      </c>
      <c r="Z83" s="56">
        <f>IF(AC83="Cancelled",-Q83,S83-Y83)</f>
        <v/>
      </c>
      <c r="AA83" s="56">
        <f>IF(OR(AC83="Cancelled",S83=0),0,Z83/S83)</f>
        <v/>
      </c>
      <c r="AB83" s="56">
        <f>IFERROR(IF(Q83=0,0,S83/Q83),0)</f>
        <v/>
      </c>
      <c r="AC83" s="56" t="inlineStr">
        <is>
          <t>Delivered</t>
        </is>
      </c>
      <c r="AD83" s="56">
        <f>IF(Z83&lt;=0,"Low Profit",IF(Z83&gt;=50,"HighProfit","Medium Profit"))</f>
        <v/>
      </c>
      <c r="AE83" s="56">
        <f>TEXT(B83,"mmmm")</f>
        <v/>
      </c>
    </row>
    <row r="84" ht="14.25" customHeight="1" s="57">
      <c r="A84" s="56" t="inlineStr">
        <is>
          <t>ORD-00326</t>
        </is>
      </c>
      <c r="B84" s="116" t="n">
        <v>45734</v>
      </c>
      <c r="C84" s="56" t="n">
        <v>2025</v>
      </c>
      <c r="D84" s="56" t="n">
        <v>3</v>
      </c>
      <c r="E84" s="56" t="inlineStr">
        <is>
          <t>Saudi Arabia</t>
        </is>
      </c>
      <c r="F84" s="56" t="inlineStr">
        <is>
          <t>Jeddah</t>
        </is>
      </c>
      <c r="G84" s="56" t="inlineStr">
        <is>
          <t>Google Ads</t>
        </is>
      </c>
      <c r="H84" s="56" t="inlineStr">
        <is>
          <t>Summer Sale</t>
        </is>
      </c>
      <c r="I84" s="56" t="inlineStr">
        <is>
          <t>P008</t>
        </is>
      </c>
      <c r="J84" s="56" t="inlineStr">
        <is>
          <t>Portable Blender</t>
        </is>
      </c>
      <c r="K84" s="56" t="inlineStr">
        <is>
          <t>Kitchen</t>
        </is>
      </c>
      <c r="L84" s="56" t="inlineStr">
        <is>
          <t>Foshan Appliances</t>
        </is>
      </c>
      <c r="M84" s="56" t="n">
        <v>55.63</v>
      </c>
      <c r="N84" s="56" t="n">
        <v>16.99</v>
      </c>
      <c r="O84" s="56" t="n">
        <v>5.84</v>
      </c>
      <c r="P84" s="56" t="n">
        <v>0.03</v>
      </c>
      <c r="Q84" s="56" t="n">
        <v>7.53</v>
      </c>
      <c r="R84" s="56" t="n">
        <v>1</v>
      </c>
      <c r="S84" s="56">
        <f>IF(AC84="Cancelled",0,M84*R84)</f>
        <v/>
      </c>
      <c r="T84" s="56">
        <f>IF(AC84="Cancelled",0,N84*R84)</f>
        <v/>
      </c>
      <c r="U84" s="56">
        <f>IF(AC84="Cancelled",0,O84*R84)</f>
        <v/>
      </c>
      <c r="V84" s="56">
        <f>IF(AC84="Cancelled",0,ROUND(P84*S84,2))</f>
        <v/>
      </c>
      <c r="W84" s="56" t="inlineStr">
        <is>
          <t>No</t>
        </is>
      </c>
      <c r="X84" s="56" t="n">
        <v>0</v>
      </c>
      <c r="Y84" s="56">
        <f>IF(AC84="Cancelled",0,T84+U84+V84+Q84+X84)</f>
        <v/>
      </c>
      <c r="Z84" s="56">
        <f>IF(AC84="Cancelled",-Q84,S84-Y84)</f>
        <v/>
      </c>
      <c r="AA84" s="56">
        <f>IF(OR(AC84="Cancelled",S84=0),0,Z84/S84)</f>
        <v/>
      </c>
      <c r="AB84" s="56">
        <f>IFERROR(IF(Q84=0,0,S84/Q84),0)</f>
        <v/>
      </c>
      <c r="AC84" s="56" t="inlineStr">
        <is>
          <t>Delivered</t>
        </is>
      </c>
      <c r="AD84" s="56">
        <f>IF(Z84&lt;=0,"Low Profit",IF(Z84&gt;=50,"HighProfit","Medium Profit"))</f>
        <v/>
      </c>
      <c r="AE84" s="56">
        <f>TEXT(B84,"mmmm")</f>
        <v/>
      </c>
    </row>
    <row r="85" ht="14.25" customHeight="1" s="57">
      <c r="A85" s="56" t="inlineStr">
        <is>
          <t>ORD-00014</t>
        </is>
      </c>
      <c r="B85" s="116" t="n">
        <v>45736</v>
      </c>
      <c r="C85" s="56" t="n">
        <v>2025</v>
      </c>
      <c r="D85" s="56" t="n">
        <v>3</v>
      </c>
      <c r="E85" s="56" t="inlineStr">
        <is>
          <t>UAE</t>
        </is>
      </c>
      <c r="F85" s="56" t="inlineStr">
        <is>
          <t>Dubai</t>
        </is>
      </c>
      <c r="G85" s="56" t="inlineStr">
        <is>
          <t>Google Ads</t>
        </is>
      </c>
      <c r="H85" s="56" t="inlineStr">
        <is>
          <t>Summer Sale</t>
        </is>
      </c>
      <c r="I85" s="56" t="inlineStr">
        <is>
          <t>P004</t>
        </is>
      </c>
      <c r="J85" s="56" t="inlineStr">
        <is>
          <t>Beauty Tool</t>
        </is>
      </c>
      <c r="K85" s="56" t="inlineStr">
        <is>
          <t>Beauty</t>
        </is>
      </c>
      <c r="L85" s="56" t="inlineStr">
        <is>
          <t>Ningbo Beauty Supply</t>
        </is>
      </c>
      <c r="M85" s="56" t="n">
        <v>30.87</v>
      </c>
      <c r="N85" s="56" t="n">
        <v>7.4</v>
      </c>
      <c r="O85" s="56" t="n">
        <v>4.59</v>
      </c>
      <c r="P85" s="56" t="n">
        <v>0.03</v>
      </c>
      <c r="Q85" s="56" t="n">
        <v>8.67</v>
      </c>
      <c r="R85" s="56" t="n">
        <v>1</v>
      </c>
      <c r="S85" s="56">
        <f>IF(AC85="Cancelled",0,M85*R85)</f>
        <v/>
      </c>
      <c r="T85" s="56">
        <f>IF(AC85="Cancelled",0,N85*R85)</f>
        <v/>
      </c>
      <c r="U85" s="56">
        <f>IF(AC85="Cancelled",0,O85*R85)</f>
        <v/>
      </c>
      <c r="V85" s="56">
        <f>IF(AC85="Cancelled",0,ROUND(P85*S85,2))</f>
        <v/>
      </c>
      <c r="W85" s="56" t="inlineStr">
        <is>
          <t>No</t>
        </is>
      </c>
      <c r="X85" s="56" t="n">
        <v>0</v>
      </c>
      <c r="Y85" s="56">
        <f>IF(AC85="Cancelled",0,T85+U85+V85+Q85+X85)</f>
        <v/>
      </c>
      <c r="Z85" s="56">
        <f>IF(AC85="Cancelled",-Q85,S85-Y85)</f>
        <v/>
      </c>
      <c r="AA85" s="56">
        <f>IF(OR(AC85="Cancelled",S85=0),0,Z85/S85)</f>
        <v/>
      </c>
      <c r="AB85" s="56">
        <f>IFERROR(IF(Q85=0,0,S85/Q85),0)</f>
        <v/>
      </c>
      <c r="AC85" s="56" t="inlineStr">
        <is>
          <t>Delivered</t>
        </is>
      </c>
      <c r="AD85" s="56">
        <f>IF(Z85&lt;=0,"Low Profit",IF(Z85&gt;=50,"HighProfit","Medium Profit"))</f>
        <v/>
      </c>
      <c r="AE85" s="56">
        <f>TEXT(B85,"mmmm")</f>
        <v/>
      </c>
    </row>
    <row r="86" ht="14.25" customHeight="1" s="57">
      <c r="A86" s="56" t="inlineStr">
        <is>
          <t>ORD-00481</t>
        </is>
      </c>
      <c r="B86" s="116" t="n">
        <v>45736</v>
      </c>
      <c r="C86" s="56" t="n">
        <v>2025</v>
      </c>
      <c r="D86" s="56" t="n">
        <v>3</v>
      </c>
      <c r="E86" s="56" t="inlineStr">
        <is>
          <t>Qatar</t>
        </is>
      </c>
      <c r="F86" s="56" t="inlineStr">
        <is>
          <t>Doha</t>
        </is>
      </c>
      <c r="G86" s="56" t="inlineStr">
        <is>
          <t>Email</t>
        </is>
      </c>
      <c r="H86" s="56" t="inlineStr">
        <is>
          <t>Summer Sale</t>
        </is>
      </c>
      <c r="I86" s="56" t="inlineStr">
        <is>
          <t>P007</t>
        </is>
      </c>
      <c r="J86" s="56" t="inlineStr">
        <is>
          <t>Pet Grooming Glove</t>
        </is>
      </c>
      <c r="K86" s="56" t="inlineStr">
        <is>
          <t>Pets</t>
        </is>
      </c>
      <c r="L86" s="56" t="inlineStr">
        <is>
          <t>Yiwu Pet Products</t>
        </is>
      </c>
      <c r="M86" s="56" t="n">
        <v>20.44</v>
      </c>
      <c r="N86" s="56" t="n">
        <v>3.58</v>
      </c>
      <c r="O86" s="56" t="n">
        <v>2.51</v>
      </c>
      <c r="P86" s="56" t="n">
        <v>0.03</v>
      </c>
      <c r="Q86" s="56" t="n">
        <v>4.16</v>
      </c>
      <c r="R86" s="56" t="n">
        <v>2</v>
      </c>
      <c r="S86" s="56">
        <f>IF(AC86="Cancelled",0,M86*R86)</f>
        <v/>
      </c>
      <c r="T86" s="56">
        <f>IF(AC86="Cancelled",0,N86*R86)</f>
        <v/>
      </c>
      <c r="U86" s="56">
        <f>IF(AC86="Cancelled",0,O86*R86)</f>
        <v/>
      </c>
      <c r="V86" s="56">
        <f>IF(AC86="Cancelled",0,ROUND(P86*S86,2))</f>
        <v/>
      </c>
      <c r="W86" s="56" t="inlineStr">
        <is>
          <t>No</t>
        </is>
      </c>
      <c r="X86" s="56" t="n">
        <v>0</v>
      </c>
      <c r="Y86" s="56">
        <f>IF(AC86="Cancelled",0,T86+U86+V86+Q86+X86)</f>
        <v/>
      </c>
      <c r="Z86" s="56">
        <f>IF(AC86="Cancelled",-Q86,S86-Y86)</f>
        <v/>
      </c>
      <c r="AA86" s="56">
        <f>IF(OR(AC86="Cancelled",S86=0),0,Z86/S86)</f>
        <v/>
      </c>
      <c r="AB86" s="56">
        <f>IFERROR(IF(Q86=0,0,S86/Q86),0)</f>
        <v/>
      </c>
      <c r="AC86" s="56" t="inlineStr">
        <is>
          <t>Delivered</t>
        </is>
      </c>
      <c r="AD86" s="56">
        <f>IF(Z86&lt;=0,"Low Profit",IF(Z86&gt;=50,"HighProfit","Medium Profit"))</f>
        <v/>
      </c>
      <c r="AE86" s="56">
        <f>TEXT(B86,"mmmm")</f>
        <v/>
      </c>
    </row>
    <row r="87" ht="14.25" customHeight="1" s="57">
      <c r="A87" s="56" t="inlineStr">
        <is>
          <t>ORD-00144</t>
        </is>
      </c>
      <c r="B87" s="116" t="n">
        <v>45737</v>
      </c>
      <c r="C87" s="56" t="n">
        <v>2025</v>
      </c>
      <c r="D87" s="56" t="n">
        <v>3</v>
      </c>
      <c r="E87" s="56" t="inlineStr">
        <is>
          <t>Oman</t>
        </is>
      </c>
      <c r="F87" s="56" t="inlineStr">
        <is>
          <t>Muscat</t>
        </is>
      </c>
      <c r="G87" s="56" t="inlineStr">
        <is>
          <t>Meta Ads</t>
        </is>
      </c>
      <c r="H87" s="56" t="inlineStr">
        <is>
          <t>Launch Test</t>
        </is>
      </c>
      <c r="I87" s="56" t="inlineStr">
        <is>
          <t>P008</t>
        </is>
      </c>
      <c r="J87" s="56" t="inlineStr">
        <is>
          <t>Portable Blender</t>
        </is>
      </c>
      <c r="K87" s="56" t="inlineStr">
        <is>
          <t>Kitchen</t>
        </is>
      </c>
      <c r="L87" s="56" t="inlineStr">
        <is>
          <t>Foshan Appliances</t>
        </is>
      </c>
      <c r="M87" s="56" t="n">
        <v>45.52</v>
      </c>
      <c r="N87" s="56" t="n">
        <v>16.59</v>
      </c>
      <c r="O87" s="56" t="n">
        <v>5.97</v>
      </c>
      <c r="P87" s="56" t="n">
        <v>0.03</v>
      </c>
      <c r="Q87" s="56" t="n">
        <v>8.6</v>
      </c>
      <c r="R87" s="56" t="n">
        <v>1</v>
      </c>
      <c r="S87" s="56">
        <f>IF(AC87="Cancelled",0,M87*R87)</f>
        <v/>
      </c>
      <c r="T87" s="56">
        <f>IF(AC87="Cancelled",0,N87*R87)</f>
        <v/>
      </c>
      <c r="U87" s="56">
        <f>IF(AC87="Cancelled",0,O87*R87)</f>
        <v/>
      </c>
      <c r="V87" s="56">
        <f>IF(AC87="Cancelled",0,ROUND(P87*S87,2))</f>
        <v/>
      </c>
      <c r="W87" s="56" t="inlineStr">
        <is>
          <t>No</t>
        </is>
      </c>
      <c r="X87" s="56" t="n">
        <v>0</v>
      </c>
      <c r="Y87" s="56">
        <f>IF(AC87="Cancelled",0,T87+U87+V87+Q87+X87)</f>
        <v/>
      </c>
      <c r="Z87" s="56">
        <f>IF(AC87="Cancelled",-Q87,S87-Y87)</f>
        <v/>
      </c>
      <c r="AA87" s="56">
        <f>IF(OR(AC87="Cancelled",S87=0),0,Z87/S87)</f>
        <v/>
      </c>
      <c r="AB87" s="56">
        <f>IFERROR(IF(Q87=0,0,S87/Q87),0)</f>
        <v/>
      </c>
      <c r="AC87" s="56" t="inlineStr">
        <is>
          <t>Delivered</t>
        </is>
      </c>
      <c r="AD87" s="56">
        <f>IF(Z87&lt;=0,"Low Profit",IF(Z87&gt;=50,"HighProfit","Medium Profit"))</f>
        <v/>
      </c>
      <c r="AE87" s="56">
        <f>TEXT(B87,"mmmm")</f>
        <v/>
      </c>
    </row>
    <row r="88" ht="14.25" customHeight="1" s="57">
      <c r="A88" s="56" t="inlineStr">
        <is>
          <t>ORD-00412</t>
        </is>
      </c>
      <c r="B88" s="116" t="n">
        <v>45738</v>
      </c>
      <c r="C88" s="56" t="n">
        <v>2025</v>
      </c>
      <c r="D88" s="56" t="n">
        <v>3</v>
      </c>
      <c r="E88" s="56" t="inlineStr">
        <is>
          <t>Kuwait</t>
        </is>
      </c>
      <c r="F88" s="56" t="inlineStr">
        <is>
          <t>Kuwait City</t>
        </is>
      </c>
      <c r="G88" s="56" t="inlineStr">
        <is>
          <t>Influencer</t>
        </is>
      </c>
      <c r="H88" s="56" t="inlineStr">
        <is>
          <t>Retargeting</t>
        </is>
      </c>
      <c r="I88" s="56" t="inlineStr">
        <is>
          <t>P002</t>
        </is>
      </c>
      <c r="J88" s="56" t="inlineStr">
        <is>
          <t>Phone Case</t>
        </is>
      </c>
      <c r="K88" s="56" t="inlineStr">
        <is>
          <t>Accessories</t>
        </is>
      </c>
      <c r="L88" s="56" t="inlineStr">
        <is>
          <t>Guangzhou Cases Ltd.</t>
        </is>
      </c>
      <c r="M88" s="56" t="n">
        <v>16.38</v>
      </c>
      <c r="N88" s="56" t="n">
        <v>2.05</v>
      </c>
      <c r="O88" s="56" t="n">
        <v>2.08</v>
      </c>
      <c r="P88" s="56" t="n">
        <v>0.03</v>
      </c>
      <c r="Q88" s="56" t="n">
        <v>6.69</v>
      </c>
      <c r="R88" s="56" t="n">
        <v>3</v>
      </c>
      <c r="S88" s="56">
        <f>IF(AC88="Cancelled",0,M88*R88)</f>
        <v/>
      </c>
      <c r="T88" s="56">
        <f>IF(AC88="Cancelled",0,N88*R88)</f>
        <v/>
      </c>
      <c r="U88" s="56">
        <f>IF(AC88="Cancelled",0,O88*R88)</f>
        <v/>
      </c>
      <c r="V88" s="56">
        <f>IF(AC88="Cancelled",0,ROUND(P88*S88,2))</f>
        <v/>
      </c>
      <c r="W88" s="56" t="inlineStr">
        <is>
          <t>No</t>
        </is>
      </c>
      <c r="X88" s="56" t="n">
        <v>0</v>
      </c>
      <c r="Y88" s="56">
        <f>IF(AC88="Cancelled",0,T88+U88+V88+Q88+X88)</f>
        <v/>
      </c>
      <c r="Z88" s="56">
        <f>IF(AC88="Cancelled",-Q88,S88-Y88)</f>
        <v/>
      </c>
      <c r="AA88" s="56">
        <f>IF(OR(AC88="Cancelled",S88=0),0,Z88/S88)</f>
        <v/>
      </c>
      <c r="AB88" s="56">
        <f>IFERROR(IF(Q88=0,0,S88/Q88),0)</f>
        <v/>
      </c>
      <c r="AC88" s="56" t="inlineStr">
        <is>
          <t>Delivered</t>
        </is>
      </c>
      <c r="AD88" s="56">
        <f>IF(Z88&lt;=0,"Low Profit",IF(Z88&gt;=50,"HighProfit","Medium Profit"))</f>
        <v/>
      </c>
      <c r="AE88" s="56">
        <f>TEXT(B88,"mmmm")</f>
        <v/>
      </c>
    </row>
    <row r="89" ht="14.25" customHeight="1" s="57">
      <c r="A89" s="56" t="inlineStr">
        <is>
          <t>ORD-00390</t>
        </is>
      </c>
      <c r="B89" s="116" t="n">
        <v>45740</v>
      </c>
      <c r="C89" s="56" t="n">
        <v>2025</v>
      </c>
      <c r="D89" s="56" t="n">
        <v>3</v>
      </c>
      <c r="E89" s="56" t="inlineStr">
        <is>
          <t>UAE</t>
        </is>
      </c>
      <c r="F89" s="56" t="inlineStr">
        <is>
          <t>Dubai</t>
        </is>
      </c>
      <c r="G89" s="56" t="inlineStr">
        <is>
          <t>TikTok Ads</t>
        </is>
      </c>
      <c r="H89" s="56" t="inlineStr">
        <is>
          <t>Summer Sale</t>
        </is>
      </c>
      <c r="I89" s="56" t="inlineStr">
        <is>
          <t>P010</t>
        </is>
      </c>
      <c r="J89" s="56" t="inlineStr">
        <is>
          <t>Smart Water Bottle</t>
        </is>
      </c>
      <c r="K89" s="56" t="inlineStr">
        <is>
          <t>Lifestyle</t>
        </is>
      </c>
      <c r="L89" s="56" t="inlineStr">
        <is>
          <t>Shenzhen Smart Home</t>
        </is>
      </c>
      <c r="M89" s="56" t="n">
        <v>34.2</v>
      </c>
      <c r="N89" s="56" t="n">
        <v>10.31</v>
      </c>
      <c r="O89" s="56" t="n">
        <v>3.77</v>
      </c>
      <c r="P89" s="56" t="n">
        <v>0.03</v>
      </c>
      <c r="Q89" s="56" t="n">
        <v>20.49</v>
      </c>
      <c r="R89" s="56" t="n">
        <v>2</v>
      </c>
      <c r="S89" s="56">
        <f>IF(AC89="Cancelled",0,M89*R89)</f>
        <v/>
      </c>
      <c r="T89" s="56">
        <f>IF(AC89="Cancelled",0,N89*R89)</f>
        <v/>
      </c>
      <c r="U89" s="56">
        <f>IF(AC89="Cancelled",0,O89*R89)</f>
        <v/>
      </c>
      <c r="V89" s="56">
        <f>IF(AC89="Cancelled",0,ROUND(P89*S89,2))</f>
        <v/>
      </c>
      <c r="W89" s="56" t="inlineStr">
        <is>
          <t>No</t>
        </is>
      </c>
      <c r="X89" s="56" t="n">
        <v>0</v>
      </c>
      <c r="Y89" s="56">
        <f>IF(AC89="Cancelled",0,T89+U89+V89+Q89+X89)</f>
        <v/>
      </c>
      <c r="Z89" s="56">
        <f>IF(AC89="Cancelled",-Q89,S89-Y89)</f>
        <v/>
      </c>
      <c r="AA89" s="56">
        <f>IF(OR(AC89="Cancelled",S89=0),0,Z89/S89)</f>
        <v/>
      </c>
      <c r="AB89" s="56">
        <f>IFERROR(IF(Q89=0,0,S89/Q89),0)</f>
        <v/>
      </c>
      <c r="AC89" s="56" t="inlineStr">
        <is>
          <t>Delivered</t>
        </is>
      </c>
      <c r="AD89" s="56">
        <f>IF(Z89&lt;=0,"Low Profit",IF(Z89&gt;=50,"HighProfit","Medium Profit"))</f>
        <v/>
      </c>
      <c r="AE89" s="56">
        <f>TEXT(B89,"mmmm")</f>
        <v/>
      </c>
    </row>
    <row r="90" ht="14.25" customHeight="1" s="57">
      <c r="A90" s="56" t="inlineStr">
        <is>
          <t>ORD-00016</t>
        </is>
      </c>
      <c r="B90" s="116" t="n">
        <v>45741</v>
      </c>
      <c r="C90" s="56" t="n">
        <v>2025</v>
      </c>
      <c r="D90" s="56" t="n">
        <v>3</v>
      </c>
      <c r="E90" s="56" t="inlineStr">
        <is>
          <t>Qatar</t>
        </is>
      </c>
      <c r="F90" s="56" t="inlineStr">
        <is>
          <t>Doha</t>
        </is>
      </c>
      <c r="G90" s="56" t="inlineStr">
        <is>
          <t>Google Ads</t>
        </is>
      </c>
      <c r="H90" s="56" t="inlineStr">
        <is>
          <t>Retargeting</t>
        </is>
      </c>
      <c r="I90" s="56" t="inlineStr">
        <is>
          <t>P008</t>
        </is>
      </c>
      <c r="J90" s="56" t="inlineStr">
        <is>
          <t>Portable Blender</t>
        </is>
      </c>
      <c r="K90" s="56" t="inlineStr">
        <is>
          <t>Kitchen</t>
        </is>
      </c>
      <c r="L90" s="56" t="inlineStr">
        <is>
          <t>Foshan Appliances</t>
        </is>
      </c>
      <c r="M90" s="56" t="n">
        <v>47.1</v>
      </c>
      <c r="N90" s="56" t="n">
        <v>15.93</v>
      </c>
      <c r="O90" s="56" t="n">
        <v>5.52</v>
      </c>
      <c r="P90" s="56" t="n">
        <v>0.03</v>
      </c>
      <c r="Q90" s="56" t="n">
        <v>2.85</v>
      </c>
      <c r="R90" s="56" t="n">
        <v>1</v>
      </c>
      <c r="S90" s="56">
        <f>IF(AC90="Cancelled",0,M90*R90)</f>
        <v/>
      </c>
      <c r="T90" s="56">
        <f>IF(AC90="Cancelled",0,N90*R90)</f>
        <v/>
      </c>
      <c r="U90" s="56">
        <f>IF(AC90="Cancelled",0,O90*R90)</f>
        <v/>
      </c>
      <c r="V90" s="56">
        <f>IF(AC90="Cancelled",0,ROUND(P90*S90,2))</f>
        <v/>
      </c>
      <c r="W90" s="56" t="inlineStr">
        <is>
          <t>No</t>
        </is>
      </c>
      <c r="X90" s="56" t="n">
        <v>0</v>
      </c>
      <c r="Y90" s="56">
        <f>IF(AC90="Cancelled",0,T90+U90+V90+Q90+X90)</f>
        <v/>
      </c>
      <c r="Z90" s="56">
        <f>IF(AC90="Cancelled",-Q90,S90-Y90)</f>
        <v/>
      </c>
      <c r="AA90" s="56">
        <f>IF(OR(AC90="Cancelled",S90=0),0,Z90/S90)</f>
        <v/>
      </c>
      <c r="AB90" s="56">
        <f>IFERROR(IF(Q90=0,0,S90/Q90),0)</f>
        <v/>
      </c>
      <c r="AC90" s="56" t="inlineStr">
        <is>
          <t>Delivered</t>
        </is>
      </c>
      <c r="AD90" s="56">
        <f>IF(Z90&lt;=0,"Low Profit",IF(Z90&gt;=50,"HighProfit","Medium Profit"))</f>
        <v/>
      </c>
      <c r="AE90" s="56">
        <f>TEXT(B90,"mmmm")</f>
        <v/>
      </c>
    </row>
    <row r="91" ht="14.25" customHeight="1" s="57">
      <c r="A91" s="56" t="inlineStr">
        <is>
          <t>ORD-00031</t>
        </is>
      </c>
      <c r="B91" s="116" t="n">
        <v>45741</v>
      </c>
      <c r="C91" s="56" t="n">
        <v>2025</v>
      </c>
      <c r="D91" s="56" t="n">
        <v>3</v>
      </c>
      <c r="E91" s="56" t="inlineStr">
        <is>
          <t>Oman</t>
        </is>
      </c>
      <c r="F91" s="56" t="inlineStr">
        <is>
          <t>Muscat</t>
        </is>
      </c>
      <c r="G91" s="56" t="inlineStr">
        <is>
          <t>Email</t>
        </is>
      </c>
      <c r="H91" s="56" t="inlineStr">
        <is>
          <t>Retargeting</t>
        </is>
      </c>
      <c r="I91" s="56" t="inlineStr">
        <is>
          <t>P003</t>
        </is>
      </c>
      <c r="J91" s="56" t="inlineStr">
        <is>
          <t>LED Strip Lights</t>
        </is>
      </c>
      <c r="K91" s="56" t="inlineStr">
        <is>
          <t>Home Decor</t>
        </is>
      </c>
      <c r="L91" s="56" t="inlineStr">
        <is>
          <t>Yiwu Lighting Factory</t>
        </is>
      </c>
      <c r="M91" s="56" t="n">
        <v>22.7</v>
      </c>
      <c r="N91" s="56" t="n">
        <v>6.35</v>
      </c>
      <c r="O91" s="56" t="n">
        <v>3.3</v>
      </c>
      <c r="P91" s="56" t="n">
        <v>0.03</v>
      </c>
      <c r="Q91" s="56" t="n">
        <v>15.42</v>
      </c>
      <c r="R91" s="56" t="n">
        <v>2</v>
      </c>
      <c r="S91" s="56">
        <f>IF(AC91="Cancelled",0,M91*R91)</f>
        <v/>
      </c>
      <c r="T91" s="56">
        <f>IF(AC91="Cancelled",0,N91*R91)</f>
        <v/>
      </c>
      <c r="U91" s="56">
        <f>IF(AC91="Cancelled",0,O91*R91)</f>
        <v/>
      </c>
      <c r="V91" s="56">
        <f>IF(AC91="Cancelled",0,ROUND(P91*S91,2))</f>
        <v/>
      </c>
      <c r="W91" s="56" t="inlineStr">
        <is>
          <t>No</t>
        </is>
      </c>
      <c r="X91" s="56" t="n">
        <v>0</v>
      </c>
      <c r="Y91" s="56">
        <f>IF(AC91="Cancelled",0,T91+U91+V91+Q91+X91)</f>
        <v/>
      </c>
      <c r="Z91" s="56">
        <f>IF(AC91="Cancelled",-Q91,S91-Y91)</f>
        <v/>
      </c>
      <c r="AA91" s="56">
        <f>IF(OR(AC91="Cancelled",S91=0),0,Z91/S91)</f>
        <v/>
      </c>
      <c r="AB91" s="56">
        <f>IFERROR(IF(Q91=0,0,S91/Q91),0)</f>
        <v/>
      </c>
      <c r="AC91" s="56" t="inlineStr">
        <is>
          <t>Delivered</t>
        </is>
      </c>
      <c r="AD91" s="56">
        <f>IF(Z91&lt;=0,"Low Profit",IF(Z91&gt;=50,"HighProfit","Medium Profit"))</f>
        <v/>
      </c>
      <c r="AE91" s="56">
        <f>TEXT(B91,"mmmm")</f>
        <v/>
      </c>
    </row>
    <row r="92" ht="14.25" customHeight="1" s="57">
      <c r="A92" s="56" t="inlineStr">
        <is>
          <t>ORD-00071</t>
        </is>
      </c>
      <c r="B92" s="116" t="n">
        <v>45741</v>
      </c>
      <c r="C92" s="56" t="n">
        <v>2025</v>
      </c>
      <c r="D92" s="56" t="n">
        <v>3</v>
      </c>
      <c r="E92" s="56" t="inlineStr">
        <is>
          <t>Kuwait</t>
        </is>
      </c>
      <c r="F92" s="56" t="inlineStr">
        <is>
          <t>Kuwait City</t>
        </is>
      </c>
      <c r="G92" s="56" t="inlineStr">
        <is>
          <t>TikTok Ads</t>
        </is>
      </c>
      <c r="H92" s="56" t="inlineStr">
        <is>
          <t>Launch Test</t>
        </is>
      </c>
      <c r="I92" s="56" t="inlineStr">
        <is>
          <t>P010</t>
        </is>
      </c>
      <c r="J92" s="56" t="inlineStr">
        <is>
          <t>Smart Water Bottle</t>
        </is>
      </c>
      <c r="K92" s="56" t="inlineStr">
        <is>
          <t>Lifestyle</t>
        </is>
      </c>
      <c r="L92" s="56" t="inlineStr">
        <is>
          <t>Shenzhen Smart Home</t>
        </is>
      </c>
      <c r="M92" s="56" t="n">
        <v>30.94</v>
      </c>
      <c r="N92" s="56" t="n">
        <v>9.949999999999999</v>
      </c>
      <c r="O92" s="56" t="n">
        <v>4.26</v>
      </c>
      <c r="P92" s="56" t="n">
        <v>0.03</v>
      </c>
      <c r="Q92" s="56" t="n">
        <v>8.289999999999999</v>
      </c>
      <c r="R92" s="56" t="n">
        <v>1</v>
      </c>
      <c r="S92" s="56">
        <f>IF(AC92="Cancelled",0,M92*R92)</f>
        <v/>
      </c>
      <c r="T92" s="56">
        <f>IF(AC92="Cancelled",0,N92*R92)</f>
        <v/>
      </c>
      <c r="U92" s="56">
        <f>IF(AC92="Cancelled",0,O92*R92)</f>
        <v/>
      </c>
      <c r="V92" s="56">
        <f>IF(AC92="Cancelled",0,ROUND(P92*S92,2))</f>
        <v/>
      </c>
      <c r="W92" s="56" t="inlineStr">
        <is>
          <t>No</t>
        </is>
      </c>
      <c r="X92" s="56" t="n">
        <v>0</v>
      </c>
      <c r="Y92" s="56">
        <f>IF(AC92="Cancelled",0,T92+U92+V92+Q92+X92)</f>
        <v/>
      </c>
      <c r="Z92" s="56">
        <f>IF(AC92="Cancelled",-Q92,S92-Y92)</f>
        <v/>
      </c>
      <c r="AA92" s="56">
        <f>IF(OR(AC92="Cancelled",S92=0),0,Z92/S92)</f>
        <v/>
      </c>
      <c r="AB92" s="56">
        <f>IFERROR(IF(Q92=0,0,S92/Q92),0)</f>
        <v/>
      </c>
      <c r="AC92" s="56" t="inlineStr">
        <is>
          <t>Delivered</t>
        </is>
      </c>
      <c r="AD92" s="56">
        <f>IF(Z92&lt;=0,"Low Profit",IF(Z92&gt;=50,"HighProfit","Medium Profit"))</f>
        <v/>
      </c>
      <c r="AE92" s="56">
        <f>TEXT(B92,"mmmm")</f>
        <v/>
      </c>
    </row>
    <row r="93" ht="14.25" customHeight="1" s="57">
      <c r="A93" s="56" t="inlineStr">
        <is>
          <t>ORD-00430</t>
        </is>
      </c>
      <c r="B93" s="116" t="n">
        <v>45741</v>
      </c>
      <c r="C93" s="56" t="n">
        <v>2025</v>
      </c>
      <c r="D93" s="56" t="n">
        <v>3</v>
      </c>
      <c r="E93" s="56" t="inlineStr">
        <is>
          <t>Saudi Arabia</t>
        </is>
      </c>
      <c r="F93" s="56" t="inlineStr">
        <is>
          <t>Riyadh</t>
        </is>
      </c>
      <c r="G93" s="56" t="inlineStr">
        <is>
          <t>Google Ads</t>
        </is>
      </c>
      <c r="H93" s="56" t="inlineStr">
        <is>
          <t>Summer Sale</t>
        </is>
      </c>
      <c r="I93" s="56" t="inlineStr">
        <is>
          <t>P003</t>
        </is>
      </c>
      <c r="J93" s="56" t="inlineStr">
        <is>
          <t>LED Strip Lights</t>
        </is>
      </c>
      <c r="K93" s="56" t="inlineStr">
        <is>
          <t>Home Decor</t>
        </is>
      </c>
      <c r="L93" s="56" t="inlineStr">
        <is>
          <t>Yiwu Lighting Factory</t>
        </is>
      </c>
      <c r="M93" s="56" t="n">
        <v>24.1</v>
      </c>
      <c r="N93" s="56" t="n">
        <v>6.22</v>
      </c>
      <c r="O93" s="56" t="n">
        <v>3.82</v>
      </c>
      <c r="P93" s="56" t="n">
        <v>0.03</v>
      </c>
      <c r="Q93" s="56" t="n">
        <v>8.880000000000001</v>
      </c>
      <c r="R93" s="56" t="n">
        <v>1</v>
      </c>
      <c r="S93" s="56">
        <f>IF(AC93="Cancelled",0,M93*R93)</f>
        <v/>
      </c>
      <c r="T93" s="56">
        <f>IF(AC93="Cancelled",0,N93*R93)</f>
        <v/>
      </c>
      <c r="U93" s="56">
        <f>IF(AC93="Cancelled",0,O93*R93)</f>
        <v/>
      </c>
      <c r="V93" s="56">
        <f>IF(AC93="Cancelled",0,ROUND(P93*S93,2))</f>
        <v/>
      </c>
      <c r="W93" s="56" t="inlineStr">
        <is>
          <t>No</t>
        </is>
      </c>
      <c r="X93" s="56" t="n">
        <v>0</v>
      </c>
      <c r="Y93" s="56">
        <f>IF(AC93="Cancelled",0,T93+U93+V93+Q93+X93)</f>
        <v/>
      </c>
      <c r="Z93" s="56">
        <f>IF(AC93="Cancelled",-Q93,S93-Y93)</f>
        <v/>
      </c>
      <c r="AA93" s="56">
        <f>IF(OR(AC93="Cancelled",S93=0),0,Z93/S93)</f>
        <v/>
      </c>
      <c r="AB93" s="56">
        <f>IFERROR(IF(Q93=0,0,S93/Q93),0)</f>
        <v/>
      </c>
      <c r="AC93" s="56" t="inlineStr">
        <is>
          <t>Delivered</t>
        </is>
      </c>
      <c r="AD93" s="56">
        <f>IF(Z93&lt;=0,"Low Profit",IF(Z93&gt;=50,"HighProfit","Medium Profit"))</f>
        <v/>
      </c>
      <c r="AE93" s="56">
        <f>TEXT(B93,"mmmm")</f>
        <v/>
      </c>
    </row>
    <row r="94" ht="14.25" customHeight="1" s="57">
      <c r="A94" s="56" t="inlineStr">
        <is>
          <t>ORD-00471</t>
        </is>
      </c>
      <c r="B94" s="116" t="n">
        <v>45741</v>
      </c>
      <c r="C94" s="56" t="n">
        <v>2025</v>
      </c>
      <c r="D94" s="56" t="n">
        <v>3</v>
      </c>
      <c r="E94" s="56" t="inlineStr">
        <is>
          <t>UAE</t>
        </is>
      </c>
      <c r="F94" s="56" t="inlineStr">
        <is>
          <t>Dubai</t>
        </is>
      </c>
      <c r="G94" s="56" t="inlineStr">
        <is>
          <t>TikTok Ads</t>
        </is>
      </c>
      <c r="H94" s="56" t="inlineStr">
        <is>
          <t>Launch Test</t>
        </is>
      </c>
      <c r="I94" s="56" t="inlineStr">
        <is>
          <t>P002</t>
        </is>
      </c>
      <c r="J94" s="56" t="inlineStr">
        <is>
          <t>Phone Case</t>
        </is>
      </c>
      <c r="K94" s="56" t="inlineStr">
        <is>
          <t>Accessories</t>
        </is>
      </c>
      <c r="L94" s="56" t="inlineStr">
        <is>
          <t>Guangzhou Cases Ltd.</t>
        </is>
      </c>
      <c r="M94" s="56" t="n">
        <v>16.71</v>
      </c>
      <c r="N94" s="56" t="n">
        <v>1.98</v>
      </c>
      <c r="O94" s="56" t="n">
        <v>1.9</v>
      </c>
      <c r="P94" s="56" t="n">
        <v>0.03</v>
      </c>
      <c r="Q94" s="56" t="n">
        <v>9.01</v>
      </c>
      <c r="R94" s="56" t="n">
        <v>2</v>
      </c>
      <c r="S94" s="56">
        <f>IF(AC94="Cancelled",0,M94*R94)</f>
        <v/>
      </c>
      <c r="T94" s="56">
        <f>IF(AC94="Cancelled",0,N94*R94)</f>
        <v/>
      </c>
      <c r="U94" s="56">
        <f>IF(AC94="Cancelled",0,O94*R94)</f>
        <v/>
      </c>
      <c r="V94" s="56">
        <f>IF(AC94="Cancelled",0,ROUND(P94*S94,2))</f>
        <v/>
      </c>
      <c r="W94" s="56" t="inlineStr">
        <is>
          <t>Yes</t>
        </is>
      </c>
      <c r="X94" s="56" t="n">
        <v>28.74</v>
      </c>
      <c r="Y94" s="56">
        <f>IF(AC94="Cancelled",0,T94+U94+V94+Q94+X94)</f>
        <v/>
      </c>
      <c r="Z94" s="56">
        <f>IF(AC94="Cancelled",-Q94,S94-Y94)</f>
        <v/>
      </c>
      <c r="AA94" s="56">
        <f>IF(OR(AC94="Cancelled",S94=0),0,Z94/S94)</f>
        <v/>
      </c>
      <c r="AB94" s="56">
        <f>IFERROR(IF(Q94=0,0,S94/Q94),0)</f>
        <v/>
      </c>
      <c r="AC94" s="56" t="inlineStr">
        <is>
          <t>Refunded</t>
        </is>
      </c>
      <c r="AD94" s="56">
        <f>IF(Z94&lt;=0,"Low Profit",IF(Z94&gt;=50,"HighProfit","Medium Profit"))</f>
        <v/>
      </c>
      <c r="AE94" s="56">
        <f>TEXT(B94,"mmmm")</f>
        <v/>
      </c>
    </row>
    <row r="95" ht="14.25" customHeight="1" s="57">
      <c r="A95" s="56" t="inlineStr">
        <is>
          <t>ORD-00209</t>
        </is>
      </c>
      <c r="B95" s="116" t="n">
        <v>45742</v>
      </c>
      <c r="C95" s="56" t="n">
        <v>2025</v>
      </c>
      <c r="D95" s="56" t="n">
        <v>3</v>
      </c>
      <c r="E95" s="56" t="inlineStr">
        <is>
          <t>UAE</t>
        </is>
      </c>
      <c r="F95" s="56" t="inlineStr">
        <is>
          <t>Dubai</t>
        </is>
      </c>
      <c r="G95" s="56" t="inlineStr">
        <is>
          <t>Meta Ads</t>
        </is>
      </c>
      <c r="H95" s="56" t="inlineStr">
        <is>
          <t>Summer Sale</t>
        </is>
      </c>
      <c r="I95" s="56" t="inlineStr">
        <is>
          <t>P005</t>
        </is>
      </c>
      <c r="J95" s="56" t="inlineStr">
        <is>
          <t>Mini Printer</t>
        </is>
      </c>
      <c r="K95" s="56" t="inlineStr">
        <is>
          <t>Electronics</t>
        </is>
      </c>
      <c r="L95" s="56" t="inlineStr">
        <is>
          <t>Shenzhen Print Tech</t>
        </is>
      </c>
      <c r="M95" s="56" t="n">
        <v>55.35</v>
      </c>
      <c r="N95" s="56" t="n">
        <v>23.15</v>
      </c>
      <c r="O95" s="56" t="n">
        <v>6.64</v>
      </c>
      <c r="P95" s="56" t="n">
        <v>0.03</v>
      </c>
      <c r="Q95" s="56" t="n">
        <v>30.19</v>
      </c>
      <c r="R95" s="56" t="n">
        <v>3</v>
      </c>
      <c r="S95" s="56">
        <f>IF(AC95="Cancelled",0,M95*R95)</f>
        <v/>
      </c>
      <c r="T95" s="56">
        <f>IF(AC95="Cancelled",0,N95*R95)</f>
        <v/>
      </c>
      <c r="U95" s="56">
        <f>IF(AC95="Cancelled",0,O95*R95)</f>
        <v/>
      </c>
      <c r="V95" s="56">
        <f>IF(AC95="Cancelled",0,ROUND(P95*S95,2))</f>
        <v/>
      </c>
      <c r="W95" s="56" t="inlineStr">
        <is>
          <t>No</t>
        </is>
      </c>
      <c r="X95" s="56" t="n">
        <v>0</v>
      </c>
      <c r="Y95" s="56">
        <f>IF(AC95="Cancelled",0,T95+U95+V95+Q95+X95)</f>
        <v/>
      </c>
      <c r="Z95" s="56">
        <f>IF(AC95="Cancelled",-Q95,S95-Y95)</f>
        <v/>
      </c>
      <c r="AA95" s="56">
        <f>IF(OR(AC95="Cancelled",S95=0),0,Z95/S95)</f>
        <v/>
      </c>
      <c r="AB95" s="56">
        <f>IFERROR(IF(Q95=0,0,S95/Q95),0)</f>
        <v/>
      </c>
      <c r="AC95" s="56" t="inlineStr">
        <is>
          <t>Delivered</t>
        </is>
      </c>
      <c r="AD95" s="56">
        <f>IF(Z95&lt;=0,"Low Profit",IF(Z95&gt;=50,"HighProfit","Medium Profit"))</f>
        <v/>
      </c>
      <c r="AE95" s="56">
        <f>TEXT(B95,"mmmm")</f>
        <v/>
      </c>
    </row>
    <row r="96" ht="14.25" customHeight="1" s="57">
      <c r="A96" s="56" t="inlineStr">
        <is>
          <t>ORD-00280</t>
        </is>
      </c>
      <c r="B96" s="116" t="n">
        <v>45743</v>
      </c>
      <c r="C96" s="56" t="n">
        <v>2025</v>
      </c>
      <c r="D96" s="56" t="n">
        <v>3</v>
      </c>
      <c r="E96" s="56" t="inlineStr">
        <is>
          <t>Saudi Arabia</t>
        </is>
      </c>
      <c r="F96" s="56" t="inlineStr">
        <is>
          <t>Jeddah</t>
        </is>
      </c>
      <c r="G96" s="56" t="inlineStr">
        <is>
          <t>Email</t>
        </is>
      </c>
      <c r="H96" s="56" t="inlineStr">
        <is>
          <t>Bundle Promo</t>
        </is>
      </c>
      <c r="I96" s="56" t="inlineStr">
        <is>
          <t>P005</t>
        </is>
      </c>
      <c r="J96" s="56" t="inlineStr">
        <is>
          <t>Mini Printer</t>
        </is>
      </c>
      <c r="K96" s="56" t="inlineStr">
        <is>
          <t>Electronics</t>
        </is>
      </c>
      <c r="L96" s="56" t="inlineStr">
        <is>
          <t>Shenzhen Print Tech</t>
        </is>
      </c>
      <c r="M96" s="56" t="n">
        <v>64.25</v>
      </c>
      <c r="N96" s="56" t="n">
        <v>21.97</v>
      </c>
      <c r="O96" s="56" t="n">
        <v>6.33</v>
      </c>
      <c r="P96" s="56" t="n">
        <v>0.03</v>
      </c>
      <c r="Q96" s="56" t="n">
        <v>6.01</v>
      </c>
      <c r="R96" s="56" t="n">
        <v>1</v>
      </c>
      <c r="S96" s="56">
        <f>IF(AC96="Cancelled",0,M96*R96)</f>
        <v/>
      </c>
      <c r="T96" s="56">
        <f>IF(AC96="Cancelled",0,N96*R96)</f>
        <v/>
      </c>
      <c r="U96" s="56">
        <f>IF(AC96="Cancelled",0,O96*R96)</f>
        <v/>
      </c>
      <c r="V96" s="56">
        <f>IF(AC96="Cancelled",0,ROUND(P96*S96,2))</f>
        <v/>
      </c>
      <c r="W96" s="56" t="inlineStr">
        <is>
          <t>No</t>
        </is>
      </c>
      <c r="X96" s="56" t="n">
        <v>0</v>
      </c>
      <c r="Y96" s="56">
        <f>IF(AC96="Cancelled",0,T96+U96+V96+Q96+X96)</f>
        <v/>
      </c>
      <c r="Z96" s="56">
        <f>IF(AC96="Cancelled",-Q96,S96-Y96)</f>
        <v/>
      </c>
      <c r="AA96" s="56">
        <f>IF(OR(AC96="Cancelled",S96=0),0,Z96/S96)</f>
        <v/>
      </c>
      <c r="AB96" s="56">
        <f>IFERROR(IF(Q96=0,0,S96/Q96),0)</f>
        <v/>
      </c>
      <c r="AC96" s="56" t="inlineStr">
        <is>
          <t>Delivered</t>
        </is>
      </c>
      <c r="AD96" s="56">
        <f>IF(Z96&lt;=0,"Low Profit",IF(Z96&gt;=50,"HighProfit","Medium Profit"))</f>
        <v/>
      </c>
      <c r="AE96" s="56">
        <f>TEXT(B96,"mmmm")</f>
        <v/>
      </c>
    </row>
    <row r="97" ht="14.25" customHeight="1" s="57">
      <c r="A97" s="56" t="inlineStr">
        <is>
          <t>ORD-00276</t>
        </is>
      </c>
      <c r="B97" s="116" t="n">
        <v>45744</v>
      </c>
      <c r="C97" s="56" t="n">
        <v>2025</v>
      </c>
      <c r="D97" s="56" t="n">
        <v>3</v>
      </c>
      <c r="E97" s="56" t="inlineStr">
        <is>
          <t>Saudi Arabia</t>
        </is>
      </c>
      <c r="F97" s="56" t="inlineStr">
        <is>
          <t>Riyadh</t>
        </is>
      </c>
      <c r="G97" s="56" t="inlineStr">
        <is>
          <t>TikTok Ads</t>
        </is>
      </c>
      <c r="H97" s="56" t="inlineStr">
        <is>
          <t>Bundle Promo</t>
        </is>
      </c>
      <c r="I97" s="56" t="inlineStr">
        <is>
          <t>P003</t>
        </is>
      </c>
      <c r="J97" s="56" t="inlineStr">
        <is>
          <t>LED Strip Lights</t>
        </is>
      </c>
      <c r="K97" s="56" t="inlineStr">
        <is>
          <t>Home Decor</t>
        </is>
      </c>
      <c r="L97" s="56" t="inlineStr">
        <is>
          <t>Yiwu Lighting Factory</t>
        </is>
      </c>
      <c r="M97" s="56" t="n">
        <v>22.57</v>
      </c>
      <c r="N97" s="56" t="n">
        <v>6.23</v>
      </c>
      <c r="O97" s="56" t="n">
        <v>3.45</v>
      </c>
      <c r="P97" s="56" t="n">
        <v>0.03</v>
      </c>
      <c r="Q97" s="56" t="n">
        <v>8.34</v>
      </c>
      <c r="R97" s="56" t="n">
        <v>2</v>
      </c>
      <c r="S97" s="56">
        <f>IF(AC97="Cancelled",0,M97*R97)</f>
        <v/>
      </c>
      <c r="T97" s="56">
        <f>IF(AC97="Cancelled",0,N97*R97)</f>
        <v/>
      </c>
      <c r="U97" s="56">
        <f>IF(AC97="Cancelled",0,O97*R97)</f>
        <v/>
      </c>
      <c r="V97" s="56">
        <f>IF(AC97="Cancelled",0,ROUND(P97*S97,2))</f>
        <v/>
      </c>
      <c r="W97" s="56" t="inlineStr">
        <is>
          <t>Yes</t>
        </is>
      </c>
      <c r="X97" s="56" t="n">
        <v>26.08</v>
      </c>
      <c r="Y97" s="56">
        <f>IF(AC97="Cancelled",0,T97+U97+V97+Q97+X97)</f>
        <v/>
      </c>
      <c r="Z97" s="56">
        <f>IF(AC97="Cancelled",-Q97,S97-Y97)</f>
        <v/>
      </c>
      <c r="AA97" s="56">
        <f>IF(OR(AC97="Cancelled",S97=0),0,Z97/S97)</f>
        <v/>
      </c>
      <c r="AB97" s="56">
        <f>IFERROR(IF(Q97=0,0,S97/Q97),0)</f>
        <v/>
      </c>
      <c r="AC97" s="56" t="inlineStr">
        <is>
          <t>Refunded</t>
        </is>
      </c>
      <c r="AD97" s="56">
        <f>IF(Z97&lt;=0,"Low Profit",IF(Z97&gt;=50,"HighProfit","Medium Profit"))</f>
        <v/>
      </c>
      <c r="AE97" s="56">
        <f>TEXT(B97,"mmmm")</f>
        <v/>
      </c>
    </row>
    <row r="98" ht="14.25" customHeight="1" s="57">
      <c r="A98" s="56" t="inlineStr">
        <is>
          <t>ORD-00499</t>
        </is>
      </c>
      <c r="B98" s="116" t="n">
        <v>45744</v>
      </c>
      <c r="C98" s="56" t="n">
        <v>2025</v>
      </c>
      <c r="D98" s="56" t="n">
        <v>3</v>
      </c>
      <c r="E98" s="56" t="inlineStr">
        <is>
          <t>UAE</t>
        </is>
      </c>
      <c r="F98" s="56" t="inlineStr">
        <is>
          <t>Abu Dhabi</t>
        </is>
      </c>
      <c r="G98" s="56" t="inlineStr">
        <is>
          <t>TikTok Ads</t>
        </is>
      </c>
      <c r="H98" s="56" t="inlineStr">
        <is>
          <t>Retargeting</t>
        </is>
      </c>
      <c r="I98" s="56" t="inlineStr">
        <is>
          <t>P007</t>
        </is>
      </c>
      <c r="J98" s="56" t="inlineStr">
        <is>
          <t>Pet Grooming Glove</t>
        </is>
      </c>
      <c r="K98" s="56" t="inlineStr">
        <is>
          <t>Pets</t>
        </is>
      </c>
      <c r="L98" s="56" t="inlineStr">
        <is>
          <t>Yiwu Pet Products</t>
        </is>
      </c>
      <c r="M98" s="56" t="n">
        <v>21.22</v>
      </c>
      <c r="N98" s="56" t="n">
        <v>3.57</v>
      </c>
      <c r="O98" s="56" t="n">
        <v>2.58</v>
      </c>
      <c r="P98" s="56" t="n">
        <v>0.03</v>
      </c>
      <c r="Q98" s="56" t="n">
        <v>5.63</v>
      </c>
      <c r="R98" s="56" t="n">
        <v>1</v>
      </c>
      <c r="S98" s="56">
        <f>IF(AC98="Cancelled",0,M98*R98)</f>
        <v/>
      </c>
      <c r="T98" s="56">
        <f>IF(AC98="Cancelled",0,N98*R98)</f>
        <v/>
      </c>
      <c r="U98" s="56">
        <f>IF(AC98="Cancelled",0,O98*R98)</f>
        <v/>
      </c>
      <c r="V98" s="56">
        <f>IF(AC98="Cancelled",0,ROUND(P98*S98,2))</f>
        <v/>
      </c>
      <c r="W98" s="56" t="inlineStr">
        <is>
          <t>Yes</t>
        </is>
      </c>
      <c r="X98" s="56" t="n">
        <v>11.72</v>
      </c>
      <c r="Y98" s="56">
        <f>IF(AC98="Cancelled",0,T98+U98+V98+Q98+X98)</f>
        <v/>
      </c>
      <c r="Z98" s="56">
        <f>IF(AC98="Cancelled",-Q98,S98-Y98)</f>
        <v/>
      </c>
      <c r="AA98" s="56">
        <f>IF(OR(AC98="Cancelled",S98=0),0,Z98/S98)</f>
        <v/>
      </c>
      <c r="AB98" s="56">
        <f>IFERROR(IF(Q98=0,0,S98/Q98),0)</f>
        <v/>
      </c>
      <c r="AC98" s="56" t="inlineStr">
        <is>
          <t>Refunded</t>
        </is>
      </c>
      <c r="AD98" s="56">
        <f>IF(Z98&lt;=0,"Low Profit",IF(Z98&gt;=50,"HighProfit","Medium Profit"))</f>
        <v/>
      </c>
      <c r="AE98" s="56">
        <f>TEXT(B98,"mmmm")</f>
        <v/>
      </c>
    </row>
    <row r="99" ht="14.25" customHeight="1" s="57">
      <c r="A99" s="56" t="inlineStr">
        <is>
          <t>ORD-00154</t>
        </is>
      </c>
      <c r="B99" s="116" t="n">
        <v>45745</v>
      </c>
      <c r="C99" s="56" t="n">
        <v>2025</v>
      </c>
      <c r="D99" s="56" t="n">
        <v>3</v>
      </c>
      <c r="E99" s="56" t="inlineStr">
        <is>
          <t>UAE</t>
        </is>
      </c>
      <c r="F99" s="56" t="inlineStr">
        <is>
          <t>Sharjah</t>
        </is>
      </c>
      <c r="G99" s="56" t="inlineStr">
        <is>
          <t>Email</t>
        </is>
      </c>
      <c r="H99" s="56" t="inlineStr">
        <is>
          <t>New Creative A/B</t>
        </is>
      </c>
      <c r="I99" s="56" t="inlineStr">
        <is>
          <t>P003</t>
        </is>
      </c>
      <c r="J99" s="56" t="inlineStr">
        <is>
          <t>LED Strip Lights</t>
        </is>
      </c>
      <c r="K99" s="56" t="inlineStr">
        <is>
          <t>Home Decor</t>
        </is>
      </c>
      <c r="L99" s="56" t="inlineStr">
        <is>
          <t>Yiwu Lighting Factory</t>
        </is>
      </c>
      <c r="M99" s="56" t="n">
        <v>27.08</v>
      </c>
      <c r="N99" s="56" t="n">
        <v>6.08</v>
      </c>
      <c r="O99" s="56" t="n">
        <v>3.43</v>
      </c>
      <c r="P99" s="56" t="n">
        <v>0.03</v>
      </c>
      <c r="Q99" s="56" t="n">
        <v>3.76</v>
      </c>
      <c r="R99" s="56" t="n">
        <v>2</v>
      </c>
      <c r="S99" s="56">
        <f>IF(AC99="Cancelled",0,M99*R99)</f>
        <v/>
      </c>
      <c r="T99" s="56">
        <f>IF(AC99="Cancelled",0,N99*R99)</f>
        <v/>
      </c>
      <c r="U99" s="56">
        <f>IF(AC99="Cancelled",0,O99*R99)</f>
        <v/>
      </c>
      <c r="V99" s="56">
        <f>IF(AC99="Cancelled",0,ROUND(P99*S99,2))</f>
        <v/>
      </c>
      <c r="W99" s="56" t="inlineStr">
        <is>
          <t>No</t>
        </is>
      </c>
      <c r="X99" s="56" t="n">
        <v>0</v>
      </c>
      <c r="Y99" s="56">
        <f>IF(AC99="Cancelled",0,T99+U99+V99+Q99+X99)</f>
        <v/>
      </c>
      <c r="Z99" s="56">
        <f>IF(AC99="Cancelled",-Q99,S99-Y99)</f>
        <v/>
      </c>
      <c r="AA99" s="56">
        <f>IF(OR(AC99="Cancelled",S99=0),0,Z99/S99)</f>
        <v/>
      </c>
      <c r="AB99" s="56">
        <f>IFERROR(IF(Q99=0,0,S99/Q99),0)</f>
        <v/>
      </c>
      <c r="AC99" s="56" t="inlineStr">
        <is>
          <t>Delivered</t>
        </is>
      </c>
      <c r="AD99" s="56">
        <f>IF(Z99&lt;=0,"Low Profit",IF(Z99&gt;=50,"HighProfit","Medium Profit"))</f>
        <v/>
      </c>
      <c r="AE99" s="56">
        <f>TEXT(B99,"mmmm")</f>
        <v/>
      </c>
    </row>
    <row r="100" ht="14.25" customHeight="1" s="57">
      <c r="A100" s="56" t="inlineStr">
        <is>
          <t>ORD-00169</t>
        </is>
      </c>
      <c r="B100" s="116" t="n">
        <v>45746</v>
      </c>
      <c r="C100" s="56" t="n">
        <v>2025</v>
      </c>
      <c r="D100" s="56" t="n">
        <v>3</v>
      </c>
      <c r="E100" s="56" t="inlineStr">
        <is>
          <t>Oman</t>
        </is>
      </c>
      <c r="F100" s="56" t="inlineStr">
        <is>
          <t>Muscat</t>
        </is>
      </c>
      <c r="G100" s="56" t="inlineStr">
        <is>
          <t>Meta Ads</t>
        </is>
      </c>
      <c r="H100" s="56" t="inlineStr">
        <is>
          <t>Summer Sale</t>
        </is>
      </c>
      <c r="I100" s="56" t="inlineStr">
        <is>
          <t>P008</t>
        </is>
      </c>
      <c r="J100" s="56" t="inlineStr">
        <is>
          <t>Portable Blender</t>
        </is>
      </c>
      <c r="K100" s="56" t="inlineStr">
        <is>
          <t>Kitchen</t>
        </is>
      </c>
      <c r="L100" s="56" t="inlineStr">
        <is>
          <t>Foshan Appliances</t>
        </is>
      </c>
      <c r="M100" s="56" t="n">
        <v>50.59</v>
      </c>
      <c r="N100" s="56" t="n">
        <v>17.08</v>
      </c>
      <c r="O100" s="56" t="n">
        <v>6.64</v>
      </c>
      <c r="P100" s="56" t="n">
        <v>0.03</v>
      </c>
      <c r="Q100" s="56" t="n">
        <v>7.8</v>
      </c>
      <c r="R100" s="56" t="n">
        <v>1</v>
      </c>
      <c r="S100" s="56">
        <f>IF(AC100="Cancelled",0,M100*R100)</f>
        <v/>
      </c>
      <c r="T100" s="56">
        <f>IF(AC100="Cancelled",0,N100*R100)</f>
        <v/>
      </c>
      <c r="U100" s="56">
        <f>IF(AC100="Cancelled",0,O100*R100)</f>
        <v/>
      </c>
      <c r="V100" s="56">
        <f>IF(AC100="Cancelled",0,ROUND(P100*S100,2))</f>
        <v/>
      </c>
      <c r="W100" s="56" t="inlineStr">
        <is>
          <t>No</t>
        </is>
      </c>
      <c r="X100" s="56" t="n">
        <v>0</v>
      </c>
      <c r="Y100" s="56">
        <f>IF(AC100="Cancelled",0,T100+U100+V100+Q100+X100)</f>
        <v/>
      </c>
      <c r="Z100" s="56">
        <f>IF(AC100="Cancelled",-Q100,S100-Y100)</f>
        <v/>
      </c>
      <c r="AA100" s="56">
        <f>IF(OR(AC100="Cancelled",S100=0),0,Z100/S100)</f>
        <v/>
      </c>
      <c r="AB100" s="56">
        <f>IFERROR(IF(Q100=0,0,S100/Q100),0)</f>
        <v/>
      </c>
      <c r="AC100" s="56" t="inlineStr">
        <is>
          <t>Delivered</t>
        </is>
      </c>
      <c r="AD100" s="56">
        <f>IF(Z100&lt;=0,"Low Profit",IF(Z100&gt;=50,"HighProfit","Medium Profit"))</f>
        <v/>
      </c>
      <c r="AE100" s="56">
        <f>TEXT(B100,"mmmm")</f>
        <v/>
      </c>
    </row>
    <row r="101" ht="14.25" customHeight="1" s="57">
      <c r="A101" s="56" t="inlineStr">
        <is>
          <t>ORD-00183</t>
        </is>
      </c>
      <c r="B101" s="116" t="n">
        <v>45746</v>
      </c>
      <c r="C101" s="56" t="n">
        <v>2025</v>
      </c>
      <c r="D101" s="56" t="n">
        <v>3</v>
      </c>
      <c r="E101" s="56" t="inlineStr">
        <is>
          <t>UAE</t>
        </is>
      </c>
      <c r="F101" s="56" t="inlineStr">
        <is>
          <t>Sharjah</t>
        </is>
      </c>
      <c r="G101" s="56" t="inlineStr">
        <is>
          <t>TikTok Ads</t>
        </is>
      </c>
      <c r="H101" s="56" t="inlineStr">
        <is>
          <t>Summer Sale</t>
        </is>
      </c>
      <c r="I101" s="56" t="inlineStr">
        <is>
          <t>P009</t>
        </is>
      </c>
      <c r="J101" s="56" t="inlineStr">
        <is>
          <t>Car Vacuum Cleaner</t>
        </is>
      </c>
      <c r="K101" s="56" t="inlineStr">
        <is>
          <t>Automotive</t>
        </is>
      </c>
      <c r="L101" s="56" t="inlineStr">
        <is>
          <t>Dongguan Auto Tools</t>
        </is>
      </c>
      <c r="M101" s="56" t="n">
        <v>46.27</v>
      </c>
      <c r="N101" s="56" t="n">
        <v>14.57</v>
      </c>
      <c r="O101" s="56" t="n">
        <v>7.28</v>
      </c>
      <c r="P101" s="56" t="n">
        <v>0.03</v>
      </c>
      <c r="Q101" s="56" t="n">
        <v>4.85</v>
      </c>
      <c r="R101" s="56" t="n">
        <v>1</v>
      </c>
      <c r="S101" s="56">
        <f>IF(AC101="Cancelled",0,M101*R101)</f>
        <v/>
      </c>
      <c r="T101" s="56">
        <f>IF(AC101="Cancelled",0,N101*R101)</f>
        <v/>
      </c>
      <c r="U101" s="56">
        <f>IF(AC101="Cancelled",0,O101*R101)</f>
        <v/>
      </c>
      <c r="V101" s="56">
        <f>IF(AC101="Cancelled",0,ROUND(P101*S101,2))</f>
        <v/>
      </c>
      <c r="W101" s="56" t="inlineStr">
        <is>
          <t>No</t>
        </is>
      </c>
      <c r="X101" s="56" t="n">
        <v>0</v>
      </c>
      <c r="Y101" s="56">
        <f>IF(AC101="Cancelled",0,T101+U101+V101+Q101+X101)</f>
        <v/>
      </c>
      <c r="Z101" s="56">
        <f>IF(AC101="Cancelled",-Q101,S101-Y101)</f>
        <v/>
      </c>
      <c r="AA101" s="56">
        <f>IF(OR(AC101="Cancelled",S101=0),0,Z101/S101)</f>
        <v/>
      </c>
      <c r="AB101" s="56">
        <f>IFERROR(IF(Q101=0,0,S101/Q101),0)</f>
        <v/>
      </c>
      <c r="AC101" s="56" t="inlineStr">
        <is>
          <t>Delivered</t>
        </is>
      </c>
      <c r="AD101" s="56">
        <f>IF(Z101&lt;=0,"Low Profit",IF(Z101&gt;=50,"HighProfit","Medium Profit"))</f>
        <v/>
      </c>
      <c r="AE101" s="56">
        <f>TEXT(B101,"mmmm")</f>
        <v/>
      </c>
    </row>
    <row r="102" ht="14.25" customHeight="1" s="57">
      <c r="A102" s="56" t="inlineStr">
        <is>
          <t>ORD-00434</t>
        </is>
      </c>
      <c r="B102" s="116" t="n">
        <v>45746</v>
      </c>
      <c r="C102" s="56" t="n">
        <v>2025</v>
      </c>
      <c r="D102" s="56" t="n">
        <v>3</v>
      </c>
      <c r="E102" s="56" t="inlineStr">
        <is>
          <t>UAE</t>
        </is>
      </c>
      <c r="F102" s="56" t="inlineStr">
        <is>
          <t>Dubai</t>
        </is>
      </c>
      <c r="G102" s="56" t="inlineStr">
        <is>
          <t>Meta Ads</t>
        </is>
      </c>
      <c r="H102" s="56" t="inlineStr">
        <is>
          <t>Launch Test</t>
        </is>
      </c>
      <c r="I102" s="56" t="inlineStr">
        <is>
          <t>P002</t>
        </is>
      </c>
      <c r="J102" s="56" t="inlineStr">
        <is>
          <t>Phone Case</t>
        </is>
      </c>
      <c r="K102" s="56" t="inlineStr">
        <is>
          <t>Accessories</t>
        </is>
      </c>
      <c r="L102" s="56" t="inlineStr">
        <is>
          <t>Guangzhou Cases Ltd.</t>
        </is>
      </c>
      <c r="M102" s="56" t="n">
        <v>15.55</v>
      </c>
      <c r="N102" s="56" t="n">
        <v>2.09</v>
      </c>
      <c r="O102" s="56" t="n">
        <v>2.26</v>
      </c>
      <c r="P102" s="56" t="n">
        <v>0.03</v>
      </c>
      <c r="Q102" s="56" t="n">
        <v>7.17</v>
      </c>
      <c r="R102" s="56" t="n">
        <v>2</v>
      </c>
      <c r="S102" s="56">
        <f>IF(AC102="Cancelled",0,M102*R102)</f>
        <v/>
      </c>
      <c r="T102" s="56">
        <f>IF(AC102="Cancelled",0,N102*R102)</f>
        <v/>
      </c>
      <c r="U102" s="56">
        <f>IF(AC102="Cancelled",0,O102*R102)</f>
        <v/>
      </c>
      <c r="V102" s="56">
        <f>IF(AC102="Cancelled",0,ROUND(P102*S102,2))</f>
        <v/>
      </c>
      <c r="W102" s="56" t="inlineStr">
        <is>
          <t>No</t>
        </is>
      </c>
      <c r="X102" s="56" t="n">
        <v>0</v>
      </c>
      <c r="Y102" s="56">
        <f>IF(AC102="Cancelled",0,T102+U102+V102+Q102+X102)</f>
        <v/>
      </c>
      <c r="Z102" s="56">
        <f>IF(AC102="Cancelled",-Q102,S102-Y102)</f>
        <v/>
      </c>
      <c r="AA102" s="56">
        <f>IF(OR(AC102="Cancelled",S102=0),0,Z102/S102)</f>
        <v/>
      </c>
      <c r="AB102" s="56">
        <f>IFERROR(IF(Q102=0,0,S102/Q102),0)</f>
        <v/>
      </c>
      <c r="AC102" s="56" t="inlineStr">
        <is>
          <t>Delivered</t>
        </is>
      </c>
      <c r="AD102" s="56">
        <f>IF(Z102&lt;=0,"Low Profit",IF(Z102&gt;=50,"HighProfit","Medium Profit"))</f>
        <v/>
      </c>
      <c r="AE102" s="56">
        <f>TEXT(B102,"mmmm")</f>
        <v/>
      </c>
    </row>
    <row r="103" ht="14.25" customHeight="1" s="57">
      <c r="A103" s="56" t="inlineStr">
        <is>
          <t>ORD-00083</t>
        </is>
      </c>
      <c r="B103" s="116" t="n">
        <v>45749</v>
      </c>
      <c r="C103" s="56" t="n">
        <v>2025</v>
      </c>
      <c r="D103" s="56" t="n">
        <v>4</v>
      </c>
      <c r="E103" s="56" t="inlineStr">
        <is>
          <t>UAE</t>
        </is>
      </c>
      <c r="F103" s="56" t="inlineStr">
        <is>
          <t>Abu Dhabi</t>
        </is>
      </c>
      <c r="G103" s="56" t="inlineStr">
        <is>
          <t>TikTok Ads</t>
        </is>
      </c>
      <c r="H103" s="56" t="inlineStr">
        <is>
          <t>Launch Test</t>
        </is>
      </c>
      <c r="I103" s="56" t="inlineStr">
        <is>
          <t>P009</t>
        </is>
      </c>
      <c r="J103" s="56" t="inlineStr">
        <is>
          <t>Car Vacuum Cleaner</t>
        </is>
      </c>
      <c r="K103" s="56" t="inlineStr">
        <is>
          <t>Automotive</t>
        </is>
      </c>
      <c r="L103" s="56" t="inlineStr">
        <is>
          <t>Dongguan Auto Tools</t>
        </is>
      </c>
      <c r="M103" s="56" t="n">
        <v>48.41</v>
      </c>
      <c r="N103" s="56" t="n">
        <v>15.06</v>
      </c>
      <c r="O103" s="56" t="n">
        <v>6.36</v>
      </c>
      <c r="P103" s="56" t="n">
        <v>0.03</v>
      </c>
      <c r="Q103" s="56" t="n">
        <v>12.97</v>
      </c>
      <c r="R103" s="56" t="n">
        <v>2</v>
      </c>
      <c r="S103" s="56">
        <f>IF(AC103="Cancelled",0,M103*R103)</f>
        <v/>
      </c>
      <c r="T103" s="56">
        <f>IF(AC103="Cancelled",0,N103*R103)</f>
        <v/>
      </c>
      <c r="U103" s="56">
        <f>IF(AC103="Cancelled",0,O103*R103)</f>
        <v/>
      </c>
      <c r="V103" s="56">
        <f>IF(AC103="Cancelled",0,ROUND(P103*S103,2))</f>
        <v/>
      </c>
      <c r="W103" s="56" t="inlineStr">
        <is>
          <t>No</t>
        </is>
      </c>
      <c r="X103" s="56" t="n">
        <v>0</v>
      </c>
      <c r="Y103" s="56">
        <f>IF(AC103="Cancelled",0,T103+U103+V103+Q103+X103)</f>
        <v/>
      </c>
      <c r="Z103" s="56">
        <f>IF(AC103="Cancelled",-Q103,S103-Y103)</f>
        <v/>
      </c>
      <c r="AA103" s="56">
        <f>IF(OR(AC103="Cancelled",S103=0),0,Z103/S103)</f>
        <v/>
      </c>
      <c r="AB103" s="56">
        <f>IFERROR(IF(Q103=0,0,S103/Q103),0)</f>
        <v/>
      </c>
      <c r="AC103" s="56" t="inlineStr">
        <is>
          <t>Delivered</t>
        </is>
      </c>
      <c r="AD103" s="56">
        <f>IF(Z103&lt;=0,"Low Profit",IF(Z103&gt;=50,"HighProfit","Medium Profit"))</f>
        <v/>
      </c>
      <c r="AE103" s="56">
        <f>TEXT(B103,"mmmm")</f>
        <v/>
      </c>
    </row>
    <row r="104" ht="14.25" customHeight="1" s="57">
      <c r="A104" s="56" t="inlineStr">
        <is>
          <t>ORD-00439</t>
        </is>
      </c>
      <c r="B104" s="116" t="n">
        <v>45750</v>
      </c>
      <c r="C104" s="56" t="n">
        <v>2025</v>
      </c>
      <c r="D104" s="56" t="n">
        <v>4</v>
      </c>
      <c r="E104" s="56" t="inlineStr">
        <is>
          <t>UAE</t>
        </is>
      </c>
      <c r="F104" s="56" t="inlineStr">
        <is>
          <t>Dubai</t>
        </is>
      </c>
      <c r="G104" s="56" t="inlineStr">
        <is>
          <t>Organic Search</t>
        </is>
      </c>
      <c r="H104" s="56" t="inlineStr">
        <is>
          <t>New Creative A/B</t>
        </is>
      </c>
      <c r="I104" s="56" t="inlineStr">
        <is>
          <t>P010</t>
        </is>
      </c>
      <c r="J104" s="56" t="inlineStr">
        <is>
          <t>Smart Water Bottle</t>
        </is>
      </c>
      <c r="K104" s="56" t="inlineStr">
        <is>
          <t>Lifestyle</t>
        </is>
      </c>
      <c r="L104" s="56" t="inlineStr">
        <is>
          <t>Shenzhen Smart Home</t>
        </is>
      </c>
      <c r="M104" s="56" t="n">
        <v>32.23</v>
      </c>
      <c r="N104" s="56" t="n">
        <v>9.9</v>
      </c>
      <c r="O104" s="56" t="n">
        <v>3.66</v>
      </c>
      <c r="P104" s="56" t="n">
        <v>0.03</v>
      </c>
      <c r="Q104" s="56" t="n">
        <v>0</v>
      </c>
      <c r="R104" s="56" t="n">
        <v>1</v>
      </c>
      <c r="S104" s="56">
        <f>IF(AC104="Cancelled",0,M104*R104)</f>
        <v/>
      </c>
      <c r="T104" s="56">
        <f>IF(AC104="Cancelled",0,N104*R104)</f>
        <v/>
      </c>
      <c r="U104" s="56">
        <f>IF(AC104="Cancelled",0,O104*R104)</f>
        <v/>
      </c>
      <c r="V104" s="56">
        <f>IF(AC104="Cancelled",0,ROUND(P104*S104,2))</f>
        <v/>
      </c>
      <c r="W104" s="56" t="inlineStr">
        <is>
          <t>No</t>
        </is>
      </c>
      <c r="X104" s="56" t="n">
        <v>0</v>
      </c>
      <c r="Y104" s="56">
        <f>IF(AC104="Cancelled",0,T104+U104+V104+Q104+X104)</f>
        <v/>
      </c>
      <c r="Z104" s="56">
        <f>IF(AC104="Cancelled",-Q104,S104-Y104)</f>
        <v/>
      </c>
      <c r="AA104" s="56">
        <f>IF(OR(AC104="Cancelled",S104=0),0,Z104/S104)</f>
        <v/>
      </c>
      <c r="AB104" s="56">
        <f>IFERROR(IF(Q104=0,0,S104/Q104),0)</f>
        <v/>
      </c>
      <c r="AC104" s="56" t="inlineStr">
        <is>
          <t>Delivered</t>
        </is>
      </c>
      <c r="AD104" s="56">
        <f>IF(Z104&lt;=0,"Low Profit",IF(Z104&gt;=50,"HighProfit","Medium Profit"))</f>
        <v/>
      </c>
      <c r="AE104" s="56">
        <f>TEXT(B104,"mmmm")</f>
        <v/>
      </c>
    </row>
    <row r="105" ht="14.25" customHeight="1" s="57">
      <c r="A105" s="56" t="inlineStr">
        <is>
          <t>ORD-00369</t>
        </is>
      </c>
      <c r="B105" s="116" t="n">
        <v>45751</v>
      </c>
      <c r="C105" s="56" t="n">
        <v>2025</v>
      </c>
      <c r="D105" s="56" t="n">
        <v>4</v>
      </c>
      <c r="E105" s="56" t="inlineStr">
        <is>
          <t>Qatar</t>
        </is>
      </c>
      <c r="F105" s="56" t="inlineStr">
        <is>
          <t>Doha</t>
        </is>
      </c>
      <c r="G105" s="56" t="inlineStr">
        <is>
          <t>Google Ads</t>
        </is>
      </c>
      <c r="H105" s="56" t="inlineStr">
        <is>
          <t>Launch Test</t>
        </is>
      </c>
      <c r="I105" s="56" t="inlineStr">
        <is>
          <t>P001</t>
        </is>
      </c>
      <c r="J105" s="56" t="inlineStr">
        <is>
          <t>Wireless Earbuds</t>
        </is>
      </c>
      <c r="K105" s="56" t="inlineStr">
        <is>
          <t>Electronics</t>
        </is>
      </c>
      <c r="L105" s="56" t="inlineStr">
        <is>
          <t>Shenzhen Audio Co.</t>
        </is>
      </c>
      <c r="M105" s="56" t="n">
        <v>43.94</v>
      </c>
      <c r="N105" s="56" t="n">
        <v>8.82</v>
      </c>
      <c r="O105" s="56" t="n">
        <v>4.01</v>
      </c>
      <c r="P105" s="56" t="n">
        <v>0.03</v>
      </c>
      <c r="Q105" s="56" t="n">
        <v>3.96</v>
      </c>
      <c r="R105" s="56" t="n">
        <v>1</v>
      </c>
      <c r="S105" s="56">
        <f>IF(AC105="Cancelled",0,M105*R105)</f>
        <v/>
      </c>
      <c r="T105" s="56">
        <f>IF(AC105="Cancelled",0,N105*R105)</f>
        <v/>
      </c>
      <c r="U105" s="56">
        <f>IF(AC105="Cancelled",0,O105*R105)</f>
        <v/>
      </c>
      <c r="V105" s="56">
        <f>IF(AC105="Cancelled",0,ROUND(P105*S105,2))</f>
        <v/>
      </c>
      <c r="W105" s="56" t="inlineStr">
        <is>
          <t>No</t>
        </is>
      </c>
      <c r="X105" s="56" t="n">
        <v>0</v>
      </c>
      <c r="Y105" s="56">
        <f>IF(AC105="Cancelled",0,T105+U105+V105+Q105+X105)</f>
        <v/>
      </c>
      <c r="Z105" s="56">
        <f>IF(AC105="Cancelled",-Q105,S105-Y105)</f>
        <v/>
      </c>
      <c r="AA105" s="56">
        <f>IF(OR(AC105="Cancelled",S105=0),0,Z105/S105)</f>
        <v/>
      </c>
      <c r="AB105" s="56">
        <f>IFERROR(IF(Q105=0,0,S105/Q105),0)</f>
        <v/>
      </c>
      <c r="AC105" s="56" t="inlineStr">
        <is>
          <t>Cancelled</t>
        </is>
      </c>
      <c r="AD105" s="56">
        <f>IF(Z105&lt;=0,"Low Profit",IF(Z105&gt;=50,"HighProfit","Medium Profit"))</f>
        <v/>
      </c>
      <c r="AE105" s="56">
        <f>TEXT(B105,"mmmm")</f>
        <v/>
      </c>
    </row>
    <row r="106" ht="14.25" customHeight="1" s="57">
      <c r="A106" s="56" t="inlineStr">
        <is>
          <t>ORD-00385</t>
        </is>
      </c>
      <c r="B106" s="116" t="n">
        <v>45752</v>
      </c>
      <c r="C106" s="56" t="n">
        <v>2025</v>
      </c>
      <c r="D106" s="56" t="n">
        <v>4</v>
      </c>
      <c r="E106" s="56" t="inlineStr">
        <is>
          <t>Qatar</t>
        </is>
      </c>
      <c r="F106" s="56" t="inlineStr">
        <is>
          <t>Doha</t>
        </is>
      </c>
      <c r="G106" s="56" t="inlineStr">
        <is>
          <t>Meta Ads</t>
        </is>
      </c>
      <c r="H106" s="56" t="inlineStr">
        <is>
          <t>Retargeting</t>
        </is>
      </c>
      <c r="I106" s="56" t="inlineStr">
        <is>
          <t>P001</t>
        </is>
      </c>
      <c r="J106" s="56" t="inlineStr">
        <is>
          <t>Wireless Earbuds</t>
        </is>
      </c>
      <c r="K106" s="56" t="inlineStr">
        <is>
          <t>Electronics</t>
        </is>
      </c>
      <c r="L106" s="56" t="inlineStr">
        <is>
          <t>Shenzhen Audio Co.</t>
        </is>
      </c>
      <c r="M106" s="56" t="n">
        <v>38.49</v>
      </c>
      <c r="N106" s="56" t="n">
        <v>8.65</v>
      </c>
      <c r="O106" s="56" t="n">
        <v>3.87</v>
      </c>
      <c r="P106" s="56" t="n">
        <v>0.03</v>
      </c>
      <c r="Q106" s="56" t="n">
        <v>2.22</v>
      </c>
      <c r="R106" s="56" t="n">
        <v>1</v>
      </c>
      <c r="S106" s="56">
        <f>IF(AC106="Cancelled",0,M106*R106)</f>
        <v/>
      </c>
      <c r="T106" s="56">
        <f>IF(AC106="Cancelled",0,N106*R106)</f>
        <v/>
      </c>
      <c r="U106" s="56">
        <f>IF(AC106="Cancelled",0,O106*R106)</f>
        <v/>
      </c>
      <c r="V106" s="56">
        <f>IF(AC106="Cancelled",0,ROUND(P106*S106,2))</f>
        <v/>
      </c>
      <c r="W106" s="56" t="inlineStr">
        <is>
          <t>No</t>
        </is>
      </c>
      <c r="X106" s="56" t="n">
        <v>0</v>
      </c>
      <c r="Y106" s="56">
        <f>IF(AC106="Cancelled",0,T106+U106+V106+Q106+X106)</f>
        <v/>
      </c>
      <c r="Z106" s="56">
        <f>IF(AC106="Cancelled",-Q106,S106-Y106)</f>
        <v/>
      </c>
      <c r="AA106" s="56">
        <f>IF(OR(AC106="Cancelled",S106=0),0,Z106/S106)</f>
        <v/>
      </c>
      <c r="AB106" s="56">
        <f>IFERROR(IF(Q106=0,0,S106/Q106),0)</f>
        <v/>
      </c>
      <c r="AC106" s="56" t="inlineStr">
        <is>
          <t>Delivered</t>
        </is>
      </c>
      <c r="AD106" s="56">
        <f>IF(Z106&lt;=0,"Low Profit",IF(Z106&gt;=50,"HighProfit","Medium Profit"))</f>
        <v/>
      </c>
      <c r="AE106" s="56">
        <f>TEXT(B106,"mmmm")</f>
        <v/>
      </c>
    </row>
    <row r="107" ht="14.25" customHeight="1" s="57">
      <c r="A107" s="56" t="inlineStr">
        <is>
          <t>ORD-00039</t>
        </is>
      </c>
      <c r="B107" s="116" t="n">
        <v>45753</v>
      </c>
      <c r="C107" s="56" t="n">
        <v>2025</v>
      </c>
      <c r="D107" s="56" t="n">
        <v>4</v>
      </c>
      <c r="E107" s="56" t="inlineStr">
        <is>
          <t>Oman</t>
        </is>
      </c>
      <c r="F107" s="56" t="inlineStr">
        <is>
          <t>Muscat</t>
        </is>
      </c>
      <c r="G107" s="56" t="inlineStr">
        <is>
          <t>Meta Ads</t>
        </is>
      </c>
      <c r="H107" s="56" t="inlineStr">
        <is>
          <t>Bundle Promo</t>
        </is>
      </c>
      <c r="I107" s="56" t="inlineStr">
        <is>
          <t>P001</t>
        </is>
      </c>
      <c r="J107" s="56" t="inlineStr">
        <is>
          <t>Wireless Earbuds</t>
        </is>
      </c>
      <c r="K107" s="56" t="inlineStr">
        <is>
          <t>Electronics</t>
        </is>
      </c>
      <c r="L107" s="56" t="inlineStr">
        <is>
          <t>Shenzhen Audio Co.</t>
        </is>
      </c>
      <c r="M107" s="56" t="n">
        <v>39.2</v>
      </c>
      <c r="N107" s="56" t="n">
        <v>8.15</v>
      </c>
      <c r="O107" s="56" t="n">
        <v>3.87</v>
      </c>
      <c r="P107" s="56" t="n">
        <v>0.03</v>
      </c>
      <c r="Q107" s="56" t="n">
        <v>5.35</v>
      </c>
      <c r="R107" s="56" t="n">
        <v>2</v>
      </c>
      <c r="S107" s="56">
        <f>IF(AC107="Cancelled",0,M107*R107)</f>
        <v/>
      </c>
      <c r="T107" s="56">
        <f>IF(AC107="Cancelled",0,N107*R107)</f>
        <v/>
      </c>
      <c r="U107" s="56">
        <f>IF(AC107="Cancelled",0,O107*R107)</f>
        <v/>
      </c>
      <c r="V107" s="56">
        <f>IF(AC107="Cancelled",0,ROUND(P107*S107,2))</f>
        <v/>
      </c>
      <c r="W107" s="56" t="inlineStr">
        <is>
          <t>No</t>
        </is>
      </c>
      <c r="X107" s="56" t="n">
        <v>0</v>
      </c>
      <c r="Y107" s="56">
        <f>IF(AC107="Cancelled",0,T107+U107+V107+Q107+X107)</f>
        <v/>
      </c>
      <c r="Z107" s="56">
        <f>IF(AC107="Cancelled",-Q107,S107-Y107)</f>
        <v/>
      </c>
      <c r="AA107" s="56">
        <f>IF(OR(AC107="Cancelled",S107=0),0,Z107/S107)</f>
        <v/>
      </c>
      <c r="AB107" s="56">
        <f>IFERROR(IF(Q107=0,0,S107/Q107),0)</f>
        <v/>
      </c>
      <c r="AC107" s="56" t="inlineStr">
        <is>
          <t>Delivered</t>
        </is>
      </c>
      <c r="AD107" s="56">
        <f>IF(Z107&lt;=0,"Low Profit",IF(Z107&gt;=50,"HighProfit","Medium Profit"))</f>
        <v/>
      </c>
      <c r="AE107" s="56">
        <f>TEXT(B107,"mmmm")</f>
        <v/>
      </c>
    </row>
    <row r="108" ht="14.25" customHeight="1" s="57">
      <c r="A108" s="56" t="inlineStr">
        <is>
          <t>ORD-00152</t>
        </is>
      </c>
      <c r="B108" s="116" t="n">
        <v>45753</v>
      </c>
      <c r="C108" s="56" t="n">
        <v>2025</v>
      </c>
      <c r="D108" s="56" t="n">
        <v>4</v>
      </c>
      <c r="E108" s="56" t="inlineStr">
        <is>
          <t>UAE</t>
        </is>
      </c>
      <c r="F108" s="56" t="inlineStr">
        <is>
          <t>Dubai</t>
        </is>
      </c>
      <c r="G108" s="56" t="inlineStr">
        <is>
          <t>TikTok Ads</t>
        </is>
      </c>
      <c r="H108" s="56" t="inlineStr">
        <is>
          <t>Summer Sale</t>
        </is>
      </c>
      <c r="I108" s="56" t="inlineStr">
        <is>
          <t>P006</t>
        </is>
      </c>
      <c r="J108" s="56" t="inlineStr">
        <is>
          <t>Posture Corrector</t>
        </is>
      </c>
      <c r="K108" s="56" t="inlineStr">
        <is>
          <t>Fitness</t>
        </is>
      </c>
      <c r="L108" s="56" t="inlineStr">
        <is>
          <t>Hangzhou Health Gear</t>
        </is>
      </c>
      <c r="M108" s="56" t="n">
        <v>34.54</v>
      </c>
      <c r="N108" s="56" t="n">
        <v>8.58</v>
      </c>
      <c r="O108" s="56" t="n">
        <v>4.57</v>
      </c>
      <c r="P108" s="56" t="n">
        <v>0.03</v>
      </c>
      <c r="Q108" s="56" t="n">
        <v>1.8</v>
      </c>
      <c r="R108" s="56" t="n">
        <v>1</v>
      </c>
      <c r="S108" s="56">
        <f>IF(AC108="Cancelled",0,M108*R108)</f>
        <v/>
      </c>
      <c r="T108" s="56">
        <f>IF(AC108="Cancelled",0,N108*R108)</f>
        <v/>
      </c>
      <c r="U108" s="56">
        <f>IF(AC108="Cancelled",0,O108*R108)</f>
        <v/>
      </c>
      <c r="V108" s="56">
        <f>IF(AC108="Cancelled",0,ROUND(P108*S108,2))</f>
        <v/>
      </c>
      <c r="W108" s="56" t="inlineStr">
        <is>
          <t>No</t>
        </is>
      </c>
      <c r="X108" s="56" t="n">
        <v>0</v>
      </c>
      <c r="Y108" s="56">
        <f>IF(AC108="Cancelled",0,T108+U108+V108+Q108+X108)</f>
        <v/>
      </c>
      <c r="Z108" s="56">
        <f>IF(AC108="Cancelled",-Q108,S108-Y108)</f>
        <v/>
      </c>
      <c r="AA108" s="56">
        <f>IF(OR(AC108="Cancelled",S108=0),0,Z108/S108)</f>
        <v/>
      </c>
      <c r="AB108" s="56">
        <f>IFERROR(IF(Q108=0,0,S108/Q108),0)</f>
        <v/>
      </c>
      <c r="AC108" s="56" t="inlineStr">
        <is>
          <t>Delivered</t>
        </is>
      </c>
      <c r="AD108" s="56">
        <f>IF(Z108&lt;=0,"Low Profit",IF(Z108&gt;=50,"HighProfit","Medium Profit"))</f>
        <v/>
      </c>
      <c r="AE108" s="56">
        <f>TEXT(B108,"mmmm")</f>
        <v/>
      </c>
    </row>
    <row r="109" ht="14.25" customHeight="1" s="57">
      <c r="A109" s="56" t="inlineStr">
        <is>
          <t>ORD-00310</t>
        </is>
      </c>
      <c r="B109" s="116" t="n">
        <v>45754</v>
      </c>
      <c r="C109" s="56" t="n">
        <v>2025</v>
      </c>
      <c r="D109" s="56" t="n">
        <v>4</v>
      </c>
      <c r="E109" s="56" t="inlineStr">
        <is>
          <t>Saudi Arabia</t>
        </is>
      </c>
      <c r="F109" s="56" t="inlineStr">
        <is>
          <t>Riyadh</t>
        </is>
      </c>
      <c r="G109" s="56" t="inlineStr">
        <is>
          <t>TikTok Ads</t>
        </is>
      </c>
      <c r="H109" s="56" t="inlineStr">
        <is>
          <t>Retargeting</t>
        </is>
      </c>
      <c r="I109" s="56" t="inlineStr">
        <is>
          <t>P009</t>
        </is>
      </c>
      <c r="J109" s="56" t="inlineStr">
        <is>
          <t>Car Vacuum Cleaner</t>
        </is>
      </c>
      <c r="K109" s="56" t="inlineStr">
        <is>
          <t>Automotive</t>
        </is>
      </c>
      <c r="L109" s="56" t="inlineStr">
        <is>
          <t>Dongguan Auto Tools</t>
        </is>
      </c>
      <c r="M109" s="56" t="n">
        <v>45.71</v>
      </c>
      <c r="N109" s="56" t="n">
        <v>14.04</v>
      </c>
      <c r="O109" s="56" t="n">
        <v>6.73</v>
      </c>
      <c r="P109" s="56" t="n">
        <v>0.03</v>
      </c>
      <c r="Q109" s="56" t="n">
        <v>20.32</v>
      </c>
      <c r="R109" s="56" t="n">
        <v>2</v>
      </c>
      <c r="S109" s="56">
        <f>IF(AC109="Cancelled",0,M109*R109)</f>
        <v/>
      </c>
      <c r="T109" s="56">
        <f>IF(AC109="Cancelled",0,N109*R109)</f>
        <v/>
      </c>
      <c r="U109" s="56">
        <f>IF(AC109="Cancelled",0,O109*R109)</f>
        <v/>
      </c>
      <c r="V109" s="56">
        <f>IF(AC109="Cancelled",0,ROUND(P109*S109,2))</f>
        <v/>
      </c>
      <c r="W109" s="56" t="inlineStr">
        <is>
          <t>No</t>
        </is>
      </c>
      <c r="X109" s="56" t="n">
        <v>0</v>
      </c>
      <c r="Y109" s="56">
        <f>IF(AC109="Cancelled",0,T109+U109+V109+Q109+X109)</f>
        <v/>
      </c>
      <c r="Z109" s="56">
        <f>IF(AC109="Cancelled",-Q109,S109-Y109)</f>
        <v/>
      </c>
      <c r="AA109" s="56">
        <f>IF(OR(AC109="Cancelled",S109=0),0,Z109/S109)</f>
        <v/>
      </c>
      <c r="AB109" s="56">
        <f>IFERROR(IF(Q109=0,0,S109/Q109),0)</f>
        <v/>
      </c>
      <c r="AC109" s="56" t="inlineStr">
        <is>
          <t>Delivered</t>
        </is>
      </c>
      <c r="AD109" s="56">
        <f>IF(Z109&lt;=0,"Low Profit",IF(Z109&gt;=50,"HighProfit","Medium Profit"))</f>
        <v/>
      </c>
      <c r="AE109" s="56">
        <f>TEXT(B109,"mmmm")</f>
        <v/>
      </c>
    </row>
    <row r="110" ht="14.25" customHeight="1" s="57">
      <c r="A110" s="56" t="inlineStr">
        <is>
          <t>ORD-00119</t>
        </is>
      </c>
      <c r="B110" s="116" t="n">
        <v>45755</v>
      </c>
      <c r="C110" s="56" t="n">
        <v>2025</v>
      </c>
      <c r="D110" s="56" t="n">
        <v>4</v>
      </c>
      <c r="E110" s="56" t="inlineStr">
        <is>
          <t>Saudi Arabia</t>
        </is>
      </c>
      <c r="F110" s="56" t="inlineStr">
        <is>
          <t>Jeddah</t>
        </is>
      </c>
      <c r="G110" s="56" t="inlineStr">
        <is>
          <t>TikTok Ads</t>
        </is>
      </c>
      <c r="H110" s="56" t="inlineStr">
        <is>
          <t>Launch Test</t>
        </is>
      </c>
      <c r="I110" s="56" t="inlineStr">
        <is>
          <t>P001</t>
        </is>
      </c>
      <c r="J110" s="56" t="inlineStr">
        <is>
          <t>Wireless Earbuds</t>
        </is>
      </c>
      <c r="K110" s="56" t="inlineStr">
        <is>
          <t>Electronics</t>
        </is>
      </c>
      <c r="L110" s="56" t="inlineStr">
        <is>
          <t>Shenzhen Audio Co.</t>
        </is>
      </c>
      <c r="M110" s="56" t="n">
        <v>44.43</v>
      </c>
      <c r="N110" s="56" t="n">
        <v>9.109999999999999</v>
      </c>
      <c r="O110" s="56" t="n">
        <v>4.41</v>
      </c>
      <c r="P110" s="56" t="n">
        <v>0.03</v>
      </c>
      <c r="Q110" s="56" t="n">
        <v>10.26</v>
      </c>
      <c r="R110" s="56" t="n">
        <v>1</v>
      </c>
      <c r="S110" s="56">
        <f>IF(AC110="Cancelled",0,M110*R110)</f>
        <v/>
      </c>
      <c r="T110" s="56">
        <f>IF(AC110="Cancelled",0,N110*R110)</f>
        <v/>
      </c>
      <c r="U110" s="56">
        <f>IF(AC110="Cancelled",0,O110*R110)</f>
        <v/>
      </c>
      <c r="V110" s="56">
        <f>IF(AC110="Cancelled",0,ROUND(P110*S110,2))</f>
        <v/>
      </c>
      <c r="W110" s="56" t="inlineStr">
        <is>
          <t>No</t>
        </is>
      </c>
      <c r="X110" s="56" t="n">
        <v>0</v>
      </c>
      <c r="Y110" s="56">
        <f>IF(AC110="Cancelled",0,T110+U110+V110+Q110+X110)</f>
        <v/>
      </c>
      <c r="Z110" s="56">
        <f>IF(AC110="Cancelled",-Q110,S110-Y110)</f>
        <v/>
      </c>
      <c r="AA110" s="56">
        <f>IF(OR(AC110="Cancelled",S110=0),0,Z110/S110)</f>
        <v/>
      </c>
      <c r="AB110" s="56">
        <f>IFERROR(IF(Q110=0,0,S110/Q110),0)</f>
        <v/>
      </c>
      <c r="AC110" s="56" t="inlineStr">
        <is>
          <t>Delivered</t>
        </is>
      </c>
      <c r="AD110" s="56">
        <f>IF(Z110&lt;=0,"Low Profit",IF(Z110&gt;=50,"HighProfit","Medium Profit"))</f>
        <v/>
      </c>
      <c r="AE110" s="56">
        <f>TEXT(B110,"mmmm")</f>
        <v/>
      </c>
    </row>
    <row r="111" ht="14.25" customHeight="1" s="57">
      <c r="A111" s="56" t="inlineStr">
        <is>
          <t>ORD-00362</t>
        </is>
      </c>
      <c r="B111" s="116" t="n">
        <v>45757</v>
      </c>
      <c r="C111" s="56" t="n">
        <v>2025</v>
      </c>
      <c r="D111" s="56" t="n">
        <v>4</v>
      </c>
      <c r="E111" s="56" t="inlineStr">
        <is>
          <t>Qatar</t>
        </is>
      </c>
      <c r="F111" s="56" t="inlineStr">
        <is>
          <t>Doha</t>
        </is>
      </c>
      <c r="G111" s="56" t="inlineStr">
        <is>
          <t>Meta Ads</t>
        </is>
      </c>
      <c r="H111" s="56" t="inlineStr">
        <is>
          <t>Summer Sale</t>
        </is>
      </c>
      <c r="I111" s="56" t="inlineStr">
        <is>
          <t>P003</t>
        </is>
      </c>
      <c r="J111" s="56" t="inlineStr">
        <is>
          <t>LED Strip Lights</t>
        </is>
      </c>
      <c r="K111" s="56" t="inlineStr">
        <is>
          <t>Home Decor</t>
        </is>
      </c>
      <c r="L111" s="56" t="inlineStr">
        <is>
          <t>Yiwu Lighting Factory</t>
        </is>
      </c>
      <c r="M111" s="56" t="n">
        <v>23.14</v>
      </c>
      <c r="N111" s="56" t="n">
        <v>5.74</v>
      </c>
      <c r="O111" s="56" t="n">
        <v>3.26</v>
      </c>
      <c r="P111" s="56" t="n">
        <v>0.03</v>
      </c>
      <c r="Q111" s="56" t="n">
        <v>2.43</v>
      </c>
      <c r="R111" s="56" t="n">
        <v>1</v>
      </c>
      <c r="S111" s="56">
        <f>IF(AC111="Cancelled",0,M111*R111)</f>
        <v/>
      </c>
      <c r="T111" s="56">
        <f>IF(AC111="Cancelled",0,N111*R111)</f>
        <v/>
      </c>
      <c r="U111" s="56">
        <f>IF(AC111="Cancelled",0,O111*R111)</f>
        <v/>
      </c>
      <c r="V111" s="56">
        <f>IF(AC111="Cancelled",0,ROUND(P111*S111,2))</f>
        <v/>
      </c>
      <c r="W111" s="56" t="inlineStr">
        <is>
          <t>No</t>
        </is>
      </c>
      <c r="X111" s="56" t="n">
        <v>0</v>
      </c>
      <c r="Y111" s="56">
        <f>IF(AC111="Cancelled",0,T111+U111+V111+Q111+X111)</f>
        <v/>
      </c>
      <c r="Z111" s="56">
        <f>IF(AC111="Cancelled",-Q111,S111-Y111)</f>
        <v/>
      </c>
      <c r="AA111" s="56">
        <f>IF(OR(AC111="Cancelled",S111=0),0,Z111/S111)</f>
        <v/>
      </c>
      <c r="AB111" s="56">
        <f>IFERROR(IF(Q111=0,0,S111/Q111),0)</f>
        <v/>
      </c>
      <c r="AC111" s="56" t="inlineStr">
        <is>
          <t>Delivered</t>
        </is>
      </c>
      <c r="AD111" s="56">
        <f>IF(Z111&lt;=0,"Low Profit",IF(Z111&gt;=50,"HighProfit","Medium Profit"))</f>
        <v/>
      </c>
      <c r="AE111" s="56">
        <f>TEXT(B111,"mmmm")</f>
        <v/>
      </c>
    </row>
    <row r="112" ht="14.25" customHeight="1" s="57">
      <c r="A112" s="56" t="inlineStr">
        <is>
          <t>ORD-00491</t>
        </is>
      </c>
      <c r="B112" s="116" t="n">
        <v>45757</v>
      </c>
      <c r="C112" s="56" t="n">
        <v>2025</v>
      </c>
      <c r="D112" s="56" t="n">
        <v>4</v>
      </c>
      <c r="E112" s="56" t="inlineStr">
        <is>
          <t>Kuwait</t>
        </is>
      </c>
      <c r="F112" s="56" t="inlineStr">
        <is>
          <t>Kuwait City</t>
        </is>
      </c>
      <c r="G112" s="56" t="inlineStr">
        <is>
          <t>Google Ads</t>
        </is>
      </c>
      <c r="H112" s="56" t="inlineStr">
        <is>
          <t>Summer Sale</t>
        </is>
      </c>
      <c r="I112" s="56" t="inlineStr">
        <is>
          <t>P010</t>
        </is>
      </c>
      <c r="J112" s="56" t="inlineStr">
        <is>
          <t>Smart Water Bottle</t>
        </is>
      </c>
      <c r="K112" s="56" t="inlineStr">
        <is>
          <t>Lifestyle</t>
        </is>
      </c>
      <c r="L112" s="56" t="inlineStr">
        <is>
          <t>Shenzhen Smart Home</t>
        </is>
      </c>
      <c r="M112" s="56" t="n">
        <v>33.64</v>
      </c>
      <c r="N112" s="56" t="n">
        <v>10.52</v>
      </c>
      <c r="O112" s="56" t="n">
        <v>4.44</v>
      </c>
      <c r="P112" s="56" t="n">
        <v>0.03</v>
      </c>
      <c r="Q112" s="56" t="n">
        <v>7.97</v>
      </c>
      <c r="R112" s="56" t="n">
        <v>1</v>
      </c>
      <c r="S112" s="56">
        <f>IF(AC112="Cancelled",0,M112*R112)</f>
        <v/>
      </c>
      <c r="T112" s="56">
        <f>IF(AC112="Cancelled",0,N112*R112)</f>
        <v/>
      </c>
      <c r="U112" s="56">
        <f>IF(AC112="Cancelled",0,O112*R112)</f>
        <v/>
      </c>
      <c r="V112" s="56">
        <f>IF(AC112="Cancelled",0,ROUND(P112*S112,2))</f>
        <v/>
      </c>
      <c r="W112" s="56" t="inlineStr">
        <is>
          <t>No</t>
        </is>
      </c>
      <c r="X112" s="56" t="n">
        <v>0</v>
      </c>
      <c r="Y112" s="56">
        <f>IF(AC112="Cancelled",0,T112+U112+V112+Q112+X112)</f>
        <v/>
      </c>
      <c r="Z112" s="56">
        <f>IF(AC112="Cancelled",-Q112,S112-Y112)</f>
        <v/>
      </c>
      <c r="AA112" s="56">
        <f>IF(OR(AC112="Cancelled",S112=0),0,Z112/S112)</f>
        <v/>
      </c>
      <c r="AB112" s="56">
        <f>IFERROR(IF(Q112=0,0,S112/Q112),0)</f>
        <v/>
      </c>
      <c r="AC112" s="56" t="inlineStr">
        <is>
          <t>Delivered</t>
        </is>
      </c>
      <c r="AD112" s="56">
        <f>IF(Z112&lt;=0,"Low Profit",IF(Z112&gt;=50,"HighProfit","Medium Profit"))</f>
        <v/>
      </c>
      <c r="AE112" s="56">
        <f>TEXT(B112,"mmmm")</f>
        <v/>
      </c>
    </row>
    <row r="113" ht="14.25" customHeight="1" s="57">
      <c r="A113" s="56" t="inlineStr">
        <is>
          <t>ORD-00367</t>
        </is>
      </c>
      <c r="B113" s="116" t="n">
        <v>45758</v>
      </c>
      <c r="C113" s="56" t="n">
        <v>2025</v>
      </c>
      <c r="D113" s="56" t="n">
        <v>4</v>
      </c>
      <c r="E113" s="56" t="inlineStr">
        <is>
          <t>UAE</t>
        </is>
      </c>
      <c r="F113" s="56" t="inlineStr">
        <is>
          <t>Dubai</t>
        </is>
      </c>
      <c r="G113" s="56" t="inlineStr">
        <is>
          <t>Organic Search</t>
        </is>
      </c>
      <c r="H113" s="56" t="inlineStr">
        <is>
          <t>Retargeting</t>
        </is>
      </c>
      <c r="I113" s="56" t="inlineStr">
        <is>
          <t>P007</t>
        </is>
      </c>
      <c r="J113" s="56" t="inlineStr">
        <is>
          <t>Pet Grooming Glove</t>
        </is>
      </c>
      <c r="K113" s="56" t="inlineStr">
        <is>
          <t>Pets</t>
        </is>
      </c>
      <c r="L113" s="56" t="inlineStr">
        <is>
          <t>Yiwu Pet Products</t>
        </is>
      </c>
      <c r="M113" s="56" t="n">
        <v>19.04</v>
      </c>
      <c r="N113" s="56" t="n">
        <v>3.66</v>
      </c>
      <c r="O113" s="56" t="n">
        <v>2.49</v>
      </c>
      <c r="P113" s="56" t="n">
        <v>0.03</v>
      </c>
      <c r="Q113" s="56" t="n">
        <v>0</v>
      </c>
      <c r="R113" s="56" t="n">
        <v>2</v>
      </c>
      <c r="S113" s="56">
        <f>IF(AC113="Cancelled",0,M113*R113)</f>
        <v/>
      </c>
      <c r="T113" s="56">
        <f>IF(AC113="Cancelled",0,N113*R113)</f>
        <v/>
      </c>
      <c r="U113" s="56">
        <f>IF(AC113="Cancelled",0,O113*R113)</f>
        <v/>
      </c>
      <c r="V113" s="56">
        <f>IF(AC113="Cancelled",0,ROUND(P113*S113,2))</f>
        <v/>
      </c>
      <c r="W113" s="56" t="inlineStr">
        <is>
          <t>No</t>
        </is>
      </c>
      <c r="X113" s="56" t="n">
        <v>0</v>
      </c>
      <c r="Y113" s="56">
        <f>IF(AC113="Cancelled",0,T113+U113+V113+Q113+X113)</f>
        <v/>
      </c>
      <c r="Z113" s="56">
        <f>IF(AC113="Cancelled",-Q113,S113-Y113)</f>
        <v/>
      </c>
      <c r="AA113" s="56">
        <f>IF(OR(AC113="Cancelled",S113=0),0,Z113/S113)</f>
        <v/>
      </c>
      <c r="AB113" s="56">
        <f>IFERROR(IF(Q113=0,0,S113/Q113),0)</f>
        <v/>
      </c>
      <c r="AC113" s="56" t="inlineStr">
        <is>
          <t>Delivered</t>
        </is>
      </c>
      <c r="AD113" s="56">
        <f>IF(Z113&lt;=0,"Low Profit",IF(Z113&gt;=50,"HighProfit","Medium Profit"))</f>
        <v/>
      </c>
      <c r="AE113" s="56">
        <f>TEXT(B113,"mmmm")</f>
        <v/>
      </c>
    </row>
    <row r="114" ht="14.25" customHeight="1" s="57">
      <c r="A114" s="56" t="inlineStr">
        <is>
          <t>ORD-00077</t>
        </is>
      </c>
      <c r="B114" s="116" t="n">
        <v>45759</v>
      </c>
      <c r="C114" s="56" t="n">
        <v>2025</v>
      </c>
      <c r="D114" s="56" t="n">
        <v>4</v>
      </c>
      <c r="E114" s="56" t="inlineStr">
        <is>
          <t>UAE</t>
        </is>
      </c>
      <c r="F114" s="56" t="inlineStr">
        <is>
          <t>Abu Dhabi</t>
        </is>
      </c>
      <c r="G114" s="56" t="inlineStr">
        <is>
          <t>Influencer</t>
        </is>
      </c>
      <c r="H114" s="56" t="inlineStr">
        <is>
          <t>Summer Sale</t>
        </is>
      </c>
      <c r="I114" s="56" t="inlineStr">
        <is>
          <t>P006</t>
        </is>
      </c>
      <c r="J114" s="56" t="inlineStr">
        <is>
          <t>Posture Corrector</t>
        </is>
      </c>
      <c r="K114" s="56" t="inlineStr">
        <is>
          <t>Fitness</t>
        </is>
      </c>
      <c r="L114" s="56" t="inlineStr">
        <is>
          <t>Hangzhou Health Gear</t>
        </is>
      </c>
      <c r="M114" s="56" t="n">
        <v>37.52</v>
      </c>
      <c r="N114" s="56" t="n">
        <v>9.35</v>
      </c>
      <c r="O114" s="56" t="n">
        <v>4.17</v>
      </c>
      <c r="P114" s="56" t="n">
        <v>0.03</v>
      </c>
      <c r="Q114" s="56" t="n">
        <v>3.54</v>
      </c>
      <c r="R114" s="56" t="n">
        <v>1</v>
      </c>
      <c r="S114" s="56">
        <f>IF(AC114="Cancelled",0,M114*R114)</f>
        <v/>
      </c>
      <c r="T114" s="56">
        <f>IF(AC114="Cancelled",0,N114*R114)</f>
        <v/>
      </c>
      <c r="U114" s="56">
        <f>IF(AC114="Cancelled",0,O114*R114)</f>
        <v/>
      </c>
      <c r="V114" s="56">
        <f>IF(AC114="Cancelled",0,ROUND(P114*S114,2))</f>
        <v/>
      </c>
      <c r="W114" s="56" t="inlineStr">
        <is>
          <t>No</t>
        </is>
      </c>
      <c r="X114" s="56" t="n">
        <v>0</v>
      </c>
      <c r="Y114" s="56">
        <f>IF(AC114="Cancelled",0,T114+U114+V114+Q114+X114)</f>
        <v/>
      </c>
      <c r="Z114" s="56">
        <f>IF(AC114="Cancelled",-Q114,S114-Y114)</f>
        <v/>
      </c>
      <c r="AA114" s="56">
        <f>IF(OR(AC114="Cancelled",S114=0),0,Z114/S114)</f>
        <v/>
      </c>
      <c r="AB114" s="56">
        <f>IFERROR(IF(Q114=0,0,S114/Q114),0)</f>
        <v/>
      </c>
      <c r="AC114" s="56" t="inlineStr">
        <is>
          <t>Delivered</t>
        </is>
      </c>
      <c r="AD114" s="56">
        <f>IF(Z114&lt;=0,"Low Profit",IF(Z114&gt;=50,"HighProfit","Medium Profit"))</f>
        <v/>
      </c>
      <c r="AE114" s="56">
        <f>TEXT(B114,"mmmm")</f>
        <v/>
      </c>
    </row>
    <row r="115" ht="14.25" customHeight="1" s="57">
      <c r="A115" s="56" t="inlineStr">
        <is>
          <t>ORD-00266</t>
        </is>
      </c>
      <c r="B115" s="116" t="n">
        <v>45764</v>
      </c>
      <c r="C115" s="56" t="n">
        <v>2025</v>
      </c>
      <c r="D115" s="56" t="n">
        <v>4</v>
      </c>
      <c r="E115" s="56" t="inlineStr">
        <is>
          <t>Kuwait</t>
        </is>
      </c>
      <c r="F115" s="56" t="inlineStr">
        <is>
          <t>Kuwait City</t>
        </is>
      </c>
      <c r="G115" s="56" t="inlineStr">
        <is>
          <t>TikTok Ads</t>
        </is>
      </c>
      <c r="H115" s="56" t="inlineStr">
        <is>
          <t>Retargeting</t>
        </is>
      </c>
      <c r="I115" s="56" t="inlineStr">
        <is>
          <t>P006</t>
        </is>
      </c>
      <c r="J115" s="56" t="inlineStr">
        <is>
          <t>Posture Corrector</t>
        </is>
      </c>
      <c r="K115" s="56" t="inlineStr">
        <is>
          <t>Fitness</t>
        </is>
      </c>
      <c r="L115" s="56" t="inlineStr">
        <is>
          <t>Hangzhou Health Gear</t>
        </is>
      </c>
      <c r="M115" s="56" t="n">
        <v>32.24</v>
      </c>
      <c r="N115" s="56" t="n">
        <v>8.890000000000001</v>
      </c>
      <c r="O115" s="56" t="n">
        <v>4.59</v>
      </c>
      <c r="P115" s="56" t="n">
        <v>0.03</v>
      </c>
      <c r="Q115" s="56" t="n">
        <v>20.35</v>
      </c>
      <c r="R115" s="56" t="n">
        <v>2</v>
      </c>
      <c r="S115" s="56">
        <f>IF(AC115="Cancelled",0,M115*R115)</f>
        <v/>
      </c>
      <c r="T115" s="56">
        <f>IF(AC115="Cancelled",0,N115*R115)</f>
        <v/>
      </c>
      <c r="U115" s="56">
        <f>IF(AC115="Cancelled",0,O115*R115)</f>
        <v/>
      </c>
      <c r="V115" s="56">
        <f>IF(AC115="Cancelled",0,ROUND(P115*S115,2))</f>
        <v/>
      </c>
      <c r="W115" s="56" t="inlineStr">
        <is>
          <t>No</t>
        </is>
      </c>
      <c r="X115" s="56" t="n">
        <v>0</v>
      </c>
      <c r="Y115" s="56">
        <f>IF(AC115="Cancelled",0,T115+U115+V115+Q115+X115)</f>
        <v/>
      </c>
      <c r="Z115" s="56">
        <f>IF(AC115="Cancelled",-Q115,S115-Y115)</f>
        <v/>
      </c>
      <c r="AA115" s="56">
        <f>IF(OR(AC115="Cancelled",S115=0),0,Z115/S115)</f>
        <v/>
      </c>
      <c r="AB115" s="56">
        <f>IFERROR(IF(Q115=0,0,S115/Q115),0)</f>
        <v/>
      </c>
      <c r="AC115" s="56" t="inlineStr">
        <is>
          <t>Delivered</t>
        </is>
      </c>
      <c r="AD115" s="56">
        <f>IF(Z115&lt;=0,"Low Profit",IF(Z115&gt;=50,"HighProfit","Medium Profit"))</f>
        <v/>
      </c>
      <c r="AE115" s="56">
        <f>TEXT(B115,"mmmm")</f>
        <v/>
      </c>
    </row>
    <row r="116" ht="14.25" customHeight="1" s="57">
      <c r="A116" s="56" t="inlineStr">
        <is>
          <t>ORD-00382</t>
        </is>
      </c>
      <c r="B116" s="116" t="n">
        <v>45764</v>
      </c>
      <c r="C116" s="56" t="n">
        <v>2025</v>
      </c>
      <c r="D116" s="56" t="n">
        <v>4</v>
      </c>
      <c r="E116" s="56" t="inlineStr">
        <is>
          <t>Oman</t>
        </is>
      </c>
      <c r="F116" s="56" t="inlineStr">
        <is>
          <t>Muscat</t>
        </is>
      </c>
      <c r="G116" s="56" t="inlineStr">
        <is>
          <t>Meta Ads</t>
        </is>
      </c>
      <c r="H116" s="56" t="inlineStr">
        <is>
          <t>New Creative A/B</t>
        </is>
      </c>
      <c r="I116" s="56" t="inlineStr">
        <is>
          <t>P004</t>
        </is>
      </c>
      <c r="J116" s="56" t="inlineStr">
        <is>
          <t>Beauty Tool</t>
        </is>
      </c>
      <c r="K116" s="56" t="inlineStr">
        <is>
          <t>Beauty</t>
        </is>
      </c>
      <c r="L116" s="56" t="inlineStr">
        <is>
          <t>Ningbo Beauty Supply</t>
        </is>
      </c>
      <c r="M116" s="56" t="n">
        <v>28.39</v>
      </c>
      <c r="N116" s="56" t="n">
        <v>7.21</v>
      </c>
      <c r="O116" s="56" t="n">
        <v>4.9</v>
      </c>
      <c r="P116" s="56" t="n">
        <v>0.03</v>
      </c>
      <c r="Q116" s="56" t="n">
        <v>9.029999999999999</v>
      </c>
      <c r="R116" s="56" t="n">
        <v>2</v>
      </c>
      <c r="S116" s="56">
        <f>IF(AC116="Cancelled",0,M116*R116)</f>
        <v/>
      </c>
      <c r="T116" s="56">
        <f>IF(AC116="Cancelled",0,N116*R116)</f>
        <v/>
      </c>
      <c r="U116" s="56">
        <f>IF(AC116="Cancelled",0,O116*R116)</f>
        <v/>
      </c>
      <c r="V116" s="56">
        <f>IF(AC116="Cancelled",0,ROUND(P116*S116,2))</f>
        <v/>
      </c>
      <c r="W116" s="56" t="inlineStr">
        <is>
          <t>No</t>
        </is>
      </c>
      <c r="X116" s="56" t="n">
        <v>0</v>
      </c>
      <c r="Y116" s="56">
        <f>IF(AC116="Cancelled",0,T116+U116+V116+Q116+X116)</f>
        <v/>
      </c>
      <c r="Z116" s="56">
        <f>IF(AC116="Cancelled",-Q116,S116-Y116)</f>
        <v/>
      </c>
      <c r="AA116" s="56">
        <f>IF(OR(AC116="Cancelled",S116=0),0,Z116/S116)</f>
        <v/>
      </c>
      <c r="AB116" s="56">
        <f>IFERROR(IF(Q116=0,0,S116/Q116),0)</f>
        <v/>
      </c>
      <c r="AC116" s="56" t="inlineStr">
        <is>
          <t>Delivered</t>
        </is>
      </c>
      <c r="AD116" s="56">
        <f>IF(Z116&lt;=0,"Low Profit",IF(Z116&gt;=50,"HighProfit","Medium Profit"))</f>
        <v/>
      </c>
      <c r="AE116" s="56">
        <f>TEXT(B116,"mmmm")</f>
        <v/>
      </c>
    </row>
    <row r="117" ht="14.25" customHeight="1" s="57">
      <c r="A117" s="56" t="inlineStr">
        <is>
          <t>ORD-00018</t>
        </is>
      </c>
      <c r="B117" s="116" t="n">
        <v>45765</v>
      </c>
      <c r="C117" s="56" t="n">
        <v>2025</v>
      </c>
      <c r="D117" s="56" t="n">
        <v>4</v>
      </c>
      <c r="E117" s="56" t="inlineStr">
        <is>
          <t>Kuwait</t>
        </is>
      </c>
      <c r="F117" s="56" t="inlineStr">
        <is>
          <t>Kuwait City</t>
        </is>
      </c>
      <c r="G117" s="56" t="inlineStr">
        <is>
          <t>Organic Search</t>
        </is>
      </c>
      <c r="H117" s="56" t="inlineStr">
        <is>
          <t>Launch Test</t>
        </is>
      </c>
      <c r="I117" s="56" t="inlineStr">
        <is>
          <t>P007</t>
        </is>
      </c>
      <c r="J117" s="56" t="inlineStr">
        <is>
          <t>Pet Grooming Glove</t>
        </is>
      </c>
      <c r="K117" s="56" t="inlineStr">
        <is>
          <t>Pets</t>
        </is>
      </c>
      <c r="L117" s="56" t="inlineStr">
        <is>
          <t>Yiwu Pet Products</t>
        </is>
      </c>
      <c r="M117" s="56" t="n">
        <v>20.86</v>
      </c>
      <c r="N117" s="56" t="n">
        <v>3.36</v>
      </c>
      <c r="O117" s="56" t="n">
        <v>2.51</v>
      </c>
      <c r="P117" s="56" t="n">
        <v>0.03</v>
      </c>
      <c r="Q117" s="56" t="n">
        <v>0</v>
      </c>
      <c r="R117" s="56" t="n">
        <v>2</v>
      </c>
      <c r="S117" s="56">
        <f>IF(AC117="Cancelled",0,M117*R117)</f>
        <v/>
      </c>
      <c r="T117" s="56">
        <f>IF(AC117="Cancelled",0,N117*R117)</f>
        <v/>
      </c>
      <c r="U117" s="56">
        <f>IF(AC117="Cancelled",0,O117*R117)</f>
        <v/>
      </c>
      <c r="V117" s="56">
        <f>IF(AC117="Cancelled",0,ROUND(P117*S117,2))</f>
        <v/>
      </c>
      <c r="W117" s="56" t="inlineStr">
        <is>
          <t>No</t>
        </is>
      </c>
      <c r="X117" s="56" t="n">
        <v>0</v>
      </c>
      <c r="Y117" s="56">
        <f>IF(AC117="Cancelled",0,T117+U117+V117+Q117+X117)</f>
        <v/>
      </c>
      <c r="Z117" s="56">
        <f>IF(AC117="Cancelled",-Q117,S117-Y117)</f>
        <v/>
      </c>
      <c r="AA117" s="56">
        <f>IF(OR(AC117="Cancelled",S117=0),0,Z117/S117)</f>
        <v/>
      </c>
      <c r="AB117" s="56">
        <f>IFERROR(IF(Q117=0,0,S117/Q117),0)</f>
        <v/>
      </c>
      <c r="AC117" s="56" t="inlineStr">
        <is>
          <t>Delivered</t>
        </is>
      </c>
      <c r="AD117" s="56">
        <f>IF(Z117&lt;=0,"Low Profit",IF(Z117&gt;=50,"HighProfit","Medium Profit"))</f>
        <v/>
      </c>
      <c r="AE117" s="56">
        <f>TEXT(B117,"mmmm")</f>
        <v/>
      </c>
    </row>
    <row r="118" ht="14.25" customHeight="1" s="57">
      <c r="A118" s="56" t="inlineStr">
        <is>
          <t>ORD-00255</t>
        </is>
      </c>
      <c r="B118" s="116" t="n">
        <v>45765</v>
      </c>
      <c r="C118" s="56" t="n">
        <v>2025</v>
      </c>
      <c r="D118" s="56" t="n">
        <v>4</v>
      </c>
      <c r="E118" s="56" t="inlineStr">
        <is>
          <t>Qatar</t>
        </is>
      </c>
      <c r="F118" s="56" t="inlineStr">
        <is>
          <t>Doha</t>
        </is>
      </c>
      <c r="G118" s="56" t="inlineStr">
        <is>
          <t>Organic Search</t>
        </is>
      </c>
      <c r="H118" s="56" t="inlineStr">
        <is>
          <t>Bundle Promo</t>
        </is>
      </c>
      <c r="I118" s="56" t="inlineStr">
        <is>
          <t>P007</t>
        </is>
      </c>
      <c r="J118" s="56" t="inlineStr">
        <is>
          <t>Pet Grooming Glove</t>
        </is>
      </c>
      <c r="K118" s="56" t="inlineStr">
        <is>
          <t>Pets</t>
        </is>
      </c>
      <c r="L118" s="56" t="inlineStr">
        <is>
          <t>Yiwu Pet Products</t>
        </is>
      </c>
      <c r="M118" s="56" t="n">
        <v>21.68</v>
      </c>
      <c r="N118" s="56" t="n">
        <v>3.69</v>
      </c>
      <c r="O118" s="56" t="n">
        <v>2.64</v>
      </c>
      <c r="P118" s="56" t="n">
        <v>0.03</v>
      </c>
      <c r="Q118" s="56" t="n">
        <v>0</v>
      </c>
      <c r="R118" s="56" t="n">
        <v>1</v>
      </c>
      <c r="S118" s="56">
        <f>IF(AC118="Cancelled",0,M118*R118)</f>
        <v/>
      </c>
      <c r="T118" s="56">
        <f>IF(AC118="Cancelled",0,N118*R118)</f>
        <v/>
      </c>
      <c r="U118" s="56">
        <f>IF(AC118="Cancelled",0,O118*R118)</f>
        <v/>
      </c>
      <c r="V118" s="56">
        <f>IF(AC118="Cancelled",0,ROUND(P118*S118,2))</f>
        <v/>
      </c>
      <c r="W118" s="56" t="inlineStr">
        <is>
          <t>No</t>
        </is>
      </c>
      <c r="X118" s="56" t="n">
        <v>0</v>
      </c>
      <c r="Y118" s="56">
        <f>IF(AC118="Cancelled",0,T118+U118+V118+Q118+X118)</f>
        <v/>
      </c>
      <c r="Z118" s="56">
        <f>IF(AC118="Cancelled",-Q118,S118-Y118)</f>
        <v/>
      </c>
      <c r="AA118" s="56">
        <f>IF(OR(AC118="Cancelled",S118=0),0,Z118/S118)</f>
        <v/>
      </c>
      <c r="AB118" s="56">
        <f>IFERROR(IF(Q118=0,0,S118/Q118),0)</f>
        <v/>
      </c>
      <c r="AC118" s="56" t="inlineStr">
        <is>
          <t>Delivered</t>
        </is>
      </c>
      <c r="AD118" s="56">
        <f>IF(Z118&lt;=0,"Low Profit",IF(Z118&gt;=50,"HighProfit","Medium Profit"))</f>
        <v/>
      </c>
      <c r="AE118" s="56">
        <f>TEXT(B118,"mmmm")</f>
        <v/>
      </c>
    </row>
    <row r="119" ht="14.25" customHeight="1" s="57">
      <c r="A119" s="56" t="inlineStr">
        <is>
          <t>ORD-00286</t>
        </is>
      </c>
      <c r="B119" s="116" t="n">
        <v>45765</v>
      </c>
      <c r="C119" s="56" t="n">
        <v>2025</v>
      </c>
      <c r="D119" s="56" t="n">
        <v>4</v>
      </c>
      <c r="E119" s="56" t="inlineStr">
        <is>
          <t>UAE</t>
        </is>
      </c>
      <c r="F119" s="56" t="inlineStr">
        <is>
          <t>Sharjah</t>
        </is>
      </c>
      <c r="G119" s="56" t="inlineStr">
        <is>
          <t>TikTok Ads</t>
        </is>
      </c>
      <c r="H119" s="56" t="inlineStr">
        <is>
          <t>Summer Sale</t>
        </is>
      </c>
      <c r="I119" s="56" t="inlineStr">
        <is>
          <t>P005</t>
        </is>
      </c>
      <c r="J119" s="56" t="inlineStr">
        <is>
          <t>Mini Printer</t>
        </is>
      </c>
      <c r="K119" s="56" t="inlineStr">
        <is>
          <t>Electronics</t>
        </is>
      </c>
      <c r="L119" s="56" t="inlineStr">
        <is>
          <t>Shenzhen Print Tech</t>
        </is>
      </c>
      <c r="M119" s="56" t="n">
        <v>65.31999999999999</v>
      </c>
      <c r="N119" s="56" t="n">
        <v>22.49</v>
      </c>
      <c r="O119" s="56" t="n">
        <v>7.33</v>
      </c>
      <c r="P119" s="56" t="n">
        <v>0.03</v>
      </c>
      <c r="Q119" s="56" t="n">
        <v>3.43</v>
      </c>
      <c r="R119" s="56" t="n">
        <v>1</v>
      </c>
      <c r="S119" s="56">
        <f>IF(AC119="Cancelled",0,M119*R119)</f>
        <v/>
      </c>
      <c r="T119" s="56">
        <f>IF(AC119="Cancelled",0,N119*R119)</f>
        <v/>
      </c>
      <c r="U119" s="56">
        <f>IF(AC119="Cancelled",0,O119*R119)</f>
        <v/>
      </c>
      <c r="V119" s="56">
        <f>IF(AC119="Cancelled",0,ROUND(P119*S119,2))</f>
        <v/>
      </c>
      <c r="W119" s="56" t="inlineStr">
        <is>
          <t>No</t>
        </is>
      </c>
      <c r="X119" s="56" t="n">
        <v>0</v>
      </c>
      <c r="Y119" s="56">
        <f>IF(AC119="Cancelled",0,T119+U119+V119+Q119+X119)</f>
        <v/>
      </c>
      <c r="Z119" s="56">
        <f>IF(AC119="Cancelled",-Q119,S119-Y119)</f>
        <v/>
      </c>
      <c r="AA119" s="56">
        <f>IF(OR(AC119="Cancelled",S119=0),0,Z119/S119)</f>
        <v/>
      </c>
      <c r="AB119" s="56">
        <f>IFERROR(IF(Q119=0,0,S119/Q119),0)</f>
        <v/>
      </c>
      <c r="AC119" s="56" t="inlineStr">
        <is>
          <t>Delivered</t>
        </is>
      </c>
      <c r="AD119" s="56">
        <f>IF(Z119&lt;=0,"Low Profit",IF(Z119&gt;=50,"HighProfit","Medium Profit"))</f>
        <v/>
      </c>
      <c r="AE119" s="56">
        <f>TEXT(B119,"mmmm")</f>
        <v/>
      </c>
    </row>
    <row r="120" ht="14.25" customHeight="1" s="57">
      <c r="A120" s="56" t="inlineStr">
        <is>
          <t>ORD-00335</t>
        </is>
      </c>
      <c r="B120" s="116" t="n">
        <v>45766</v>
      </c>
      <c r="C120" s="56" t="n">
        <v>2025</v>
      </c>
      <c r="D120" s="56" t="n">
        <v>4</v>
      </c>
      <c r="E120" s="56" t="inlineStr">
        <is>
          <t>Saudi Arabia</t>
        </is>
      </c>
      <c r="F120" s="56" t="inlineStr">
        <is>
          <t>Jeddah</t>
        </is>
      </c>
      <c r="G120" s="56" t="inlineStr">
        <is>
          <t>Influencer</t>
        </is>
      </c>
      <c r="H120" s="56" t="inlineStr">
        <is>
          <t>Bundle Promo</t>
        </is>
      </c>
      <c r="I120" s="56" t="inlineStr">
        <is>
          <t>P001</t>
        </is>
      </c>
      <c r="J120" s="56" t="inlineStr">
        <is>
          <t>Wireless Earbuds</t>
        </is>
      </c>
      <c r="K120" s="56" t="inlineStr">
        <is>
          <t>Electronics</t>
        </is>
      </c>
      <c r="L120" s="56" t="inlineStr">
        <is>
          <t>Shenzhen Audio Co.</t>
        </is>
      </c>
      <c r="M120" s="56" t="n">
        <v>37.9</v>
      </c>
      <c r="N120" s="56" t="n">
        <v>8.31</v>
      </c>
      <c r="O120" s="56" t="n">
        <v>4.26</v>
      </c>
      <c r="P120" s="56" t="n">
        <v>0.03</v>
      </c>
      <c r="Q120" s="56" t="n">
        <v>17.11</v>
      </c>
      <c r="R120" s="56" t="n">
        <v>2</v>
      </c>
      <c r="S120" s="56">
        <f>IF(AC120="Cancelled",0,M120*R120)</f>
        <v/>
      </c>
      <c r="T120" s="56">
        <f>IF(AC120="Cancelled",0,N120*R120)</f>
        <v/>
      </c>
      <c r="U120" s="56">
        <f>IF(AC120="Cancelled",0,O120*R120)</f>
        <v/>
      </c>
      <c r="V120" s="56">
        <f>IF(AC120="Cancelled",0,ROUND(P120*S120,2))</f>
        <v/>
      </c>
      <c r="W120" s="56" t="inlineStr">
        <is>
          <t>No</t>
        </is>
      </c>
      <c r="X120" s="56" t="n">
        <v>0</v>
      </c>
      <c r="Y120" s="56">
        <f>IF(AC120="Cancelled",0,T120+U120+V120+Q120+X120)</f>
        <v/>
      </c>
      <c r="Z120" s="56">
        <f>IF(AC120="Cancelled",-Q120,S120-Y120)</f>
        <v/>
      </c>
      <c r="AA120" s="56">
        <f>IF(OR(AC120="Cancelled",S120=0),0,Z120/S120)</f>
        <v/>
      </c>
      <c r="AB120" s="56">
        <f>IFERROR(IF(Q120=0,0,S120/Q120),0)</f>
        <v/>
      </c>
      <c r="AC120" s="56" t="inlineStr">
        <is>
          <t>Delivered</t>
        </is>
      </c>
      <c r="AD120" s="56">
        <f>IF(Z120&lt;=0,"Low Profit",IF(Z120&gt;=50,"HighProfit","Medium Profit"))</f>
        <v/>
      </c>
      <c r="AE120" s="56">
        <f>TEXT(B120,"mmmm")</f>
        <v/>
      </c>
    </row>
    <row r="121" ht="14.25" customHeight="1" s="57">
      <c r="A121" s="56" t="inlineStr">
        <is>
          <t>ORD-00333</t>
        </is>
      </c>
      <c r="B121" s="116" t="n">
        <v>45768</v>
      </c>
      <c r="C121" s="56" t="n">
        <v>2025</v>
      </c>
      <c r="D121" s="56" t="n">
        <v>4</v>
      </c>
      <c r="E121" s="56" t="inlineStr">
        <is>
          <t>Saudi Arabia</t>
        </is>
      </c>
      <c r="F121" s="56" t="inlineStr">
        <is>
          <t>Jeddah</t>
        </is>
      </c>
      <c r="G121" s="56" t="inlineStr">
        <is>
          <t>Meta Ads</t>
        </is>
      </c>
      <c r="H121" s="56" t="inlineStr">
        <is>
          <t>Bundle Promo</t>
        </is>
      </c>
      <c r="I121" s="56" t="inlineStr">
        <is>
          <t>P005</t>
        </is>
      </c>
      <c r="J121" s="56" t="inlineStr">
        <is>
          <t>Mini Printer</t>
        </is>
      </c>
      <c r="K121" s="56" t="inlineStr">
        <is>
          <t>Electronics</t>
        </is>
      </c>
      <c r="L121" s="56" t="inlineStr">
        <is>
          <t>Shenzhen Print Tech</t>
        </is>
      </c>
      <c r="M121" s="56" t="n">
        <v>63.39</v>
      </c>
      <c r="N121" s="56" t="n">
        <v>23.22</v>
      </c>
      <c r="O121" s="56" t="n">
        <v>7.46</v>
      </c>
      <c r="P121" s="56" t="n">
        <v>0.03</v>
      </c>
      <c r="Q121" s="56" t="n">
        <v>13.41</v>
      </c>
      <c r="R121" s="56" t="n">
        <v>3</v>
      </c>
      <c r="S121" s="56">
        <f>IF(AC121="Cancelled",0,M121*R121)</f>
        <v/>
      </c>
      <c r="T121" s="56">
        <f>IF(AC121="Cancelled",0,N121*R121)</f>
        <v/>
      </c>
      <c r="U121" s="56">
        <f>IF(AC121="Cancelled",0,O121*R121)</f>
        <v/>
      </c>
      <c r="V121" s="56">
        <f>IF(AC121="Cancelled",0,ROUND(P121*S121,2))</f>
        <v/>
      </c>
      <c r="W121" s="56" t="inlineStr">
        <is>
          <t>No</t>
        </is>
      </c>
      <c r="X121" s="56" t="n">
        <v>0</v>
      </c>
      <c r="Y121" s="56">
        <f>IF(AC121="Cancelled",0,T121+U121+V121+Q121+X121)</f>
        <v/>
      </c>
      <c r="Z121" s="56">
        <f>IF(AC121="Cancelled",-Q121,S121-Y121)</f>
        <v/>
      </c>
      <c r="AA121" s="56">
        <f>IF(OR(AC121="Cancelled",S121=0),0,Z121/S121)</f>
        <v/>
      </c>
      <c r="AB121" s="56">
        <f>IFERROR(IF(Q121=0,0,S121/Q121),0)</f>
        <v/>
      </c>
      <c r="AC121" s="56" t="inlineStr">
        <is>
          <t>Delivered</t>
        </is>
      </c>
      <c r="AD121" s="56">
        <f>IF(Z121&lt;=0,"Low Profit",IF(Z121&gt;=50,"HighProfit","Medium Profit"))</f>
        <v/>
      </c>
      <c r="AE121" s="56">
        <f>TEXT(B121,"mmmm")</f>
        <v/>
      </c>
    </row>
    <row r="122" ht="14.25" customHeight="1" s="57">
      <c r="A122" s="56" t="inlineStr">
        <is>
          <t>ORD-00345</t>
        </is>
      </c>
      <c r="B122" s="116" t="n">
        <v>45770</v>
      </c>
      <c r="C122" s="56" t="n">
        <v>2025</v>
      </c>
      <c r="D122" s="56" t="n">
        <v>4</v>
      </c>
      <c r="E122" s="56" t="inlineStr">
        <is>
          <t>Saudi Arabia</t>
        </is>
      </c>
      <c r="F122" s="56" t="inlineStr">
        <is>
          <t>Riyadh</t>
        </is>
      </c>
      <c r="G122" s="56" t="inlineStr">
        <is>
          <t>TikTok Ads</t>
        </is>
      </c>
      <c r="H122" s="56" t="inlineStr">
        <is>
          <t>New Creative A/B</t>
        </is>
      </c>
      <c r="I122" s="56" t="inlineStr">
        <is>
          <t>P007</t>
        </is>
      </c>
      <c r="J122" s="56" t="inlineStr">
        <is>
          <t>Pet Grooming Glove</t>
        </is>
      </c>
      <c r="K122" s="56" t="inlineStr">
        <is>
          <t>Pets</t>
        </is>
      </c>
      <c r="L122" s="56" t="inlineStr">
        <is>
          <t>Yiwu Pet Products</t>
        </is>
      </c>
      <c r="M122" s="56" t="n">
        <v>21.71</v>
      </c>
      <c r="N122" s="56" t="n">
        <v>3.61</v>
      </c>
      <c r="O122" s="56" t="n">
        <v>2.77</v>
      </c>
      <c r="P122" s="56" t="n">
        <v>0.03</v>
      </c>
      <c r="Q122" s="56" t="n">
        <v>17.42</v>
      </c>
      <c r="R122" s="56" t="n">
        <v>2</v>
      </c>
      <c r="S122" s="56">
        <f>IF(AC122="Cancelled",0,M122*R122)</f>
        <v/>
      </c>
      <c r="T122" s="56">
        <f>IF(AC122="Cancelled",0,N122*R122)</f>
        <v/>
      </c>
      <c r="U122" s="56">
        <f>IF(AC122="Cancelled",0,O122*R122)</f>
        <v/>
      </c>
      <c r="V122" s="56">
        <f>IF(AC122="Cancelled",0,ROUND(P122*S122,2))</f>
        <v/>
      </c>
      <c r="W122" s="56" t="inlineStr">
        <is>
          <t>No</t>
        </is>
      </c>
      <c r="X122" s="56" t="n">
        <v>0</v>
      </c>
      <c r="Y122" s="56">
        <f>IF(AC122="Cancelled",0,T122+U122+V122+Q122+X122)</f>
        <v/>
      </c>
      <c r="Z122" s="56">
        <f>IF(AC122="Cancelled",-Q122,S122-Y122)</f>
        <v/>
      </c>
      <c r="AA122" s="56">
        <f>IF(OR(AC122="Cancelled",S122=0),0,Z122/S122)</f>
        <v/>
      </c>
      <c r="AB122" s="56">
        <f>IFERROR(IF(Q122=0,0,S122/Q122),0)</f>
        <v/>
      </c>
      <c r="AC122" s="56" t="inlineStr">
        <is>
          <t>Delivered</t>
        </is>
      </c>
      <c r="AD122" s="56">
        <f>IF(Z122&lt;=0,"Low Profit",IF(Z122&gt;=50,"HighProfit","Medium Profit"))</f>
        <v/>
      </c>
      <c r="AE122" s="56">
        <f>TEXT(B122,"mmmm")</f>
        <v/>
      </c>
    </row>
    <row r="123" ht="14.25" customHeight="1" s="57">
      <c r="A123" s="56" t="inlineStr">
        <is>
          <t>ORD-00425</t>
        </is>
      </c>
      <c r="B123" s="116" t="n">
        <v>45770</v>
      </c>
      <c r="C123" s="56" t="n">
        <v>2025</v>
      </c>
      <c r="D123" s="56" t="n">
        <v>4</v>
      </c>
      <c r="E123" s="56" t="inlineStr">
        <is>
          <t>Oman</t>
        </is>
      </c>
      <c r="F123" s="56" t="inlineStr">
        <is>
          <t>Muscat</t>
        </is>
      </c>
      <c r="G123" s="56" t="inlineStr">
        <is>
          <t>Meta Ads</t>
        </is>
      </c>
      <c r="H123" s="56" t="inlineStr">
        <is>
          <t>Retargeting</t>
        </is>
      </c>
      <c r="I123" s="56" t="inlineStr">
        <is>
          <t>P008</t>
        </is>
      </c>
      <c r="J123" s="56" t="inlineStr">
        <is>
          <t>Portable Blender</t>
        </is>
      </c>
      <c r="K123" s="56" t="inlineStr">
        <is>
          <t>Kitchen</t>
        </is>
      </c>
      <c r="L123" s="56" t="inlineStr">
        <is>
          <t>Foshan Appliances</t>
        </is>
      </c>
      <c r="M123" s="56" t="n">
        <v>47.47</v>
      </c>
      <c r="N123" s="56" t="n">
        <v>15.46</v>
      </c>
      <c r="O123" s="56" t="n">
        <v>6.81</v>
      </c>
      <c r="P123" s="56" t="n">
        <v>0.03</v>
      </c>
      <c r="Q123" s="56" t="n">
        <v>19.52</v>
      </c>
      <c r="R123" s="56" t="n">
        <v>3</v>
      </c>
      <c r="S123" s="56">
        <f>IF(AC123="Cancelled",0,M123*R123)</f>
        <v/>
      </c>
      <c r="T123" s="56">
        <f>IF(AC123="Cancelled",0,N123*R123)</f>
        <v/>
      </c>
      <c r="U123" s="56">
        <f>IF(AC123="Cancelled",0,O123*R123)</f>
        <v/>
      </c>
      <c r="V123" s="56">
        <f>IF(AC123="Cancelled",0,ROUND(P123*S123,2))</f>
        <v/>
      </c>
      <c r="W123" s="56" t="inlineStr">
        <is>
          <t>No</t>
        </is>
      </c>
      <c r="X123" s="56" t="n">
        <v>0</v>
      </c>
      <c r="Y123" s="56">
        <f>IF(AC123="Cancelled",0,T123+U123+V123+Q123+X123)</f>
        <v/>
      </c>
      <c r="Z123" s="56">
        <f>IF(AC123="Cancelled",-Q123,S123-Y123)</f>
        <v/>
      </c>
      <c r="AA123" s="56">
        <f>IF(OR(AC123="Cancelled",S123=0),0,Z123/S123)</f>
        <v/>
      </c>
      <c r="AB123" s="56">
        <f>IFERROR(IF(Q123=0,0,S123/Q123),0)</f>
        <v/>
      </c>
      <c r="AC123" s="56" t="inlineStr">
        <is>
          <t>Delivered</t>
        </is>
      </c>
      <c r="AD123" s="56">
        <f>IF(Z123&lt;=0,"Low Profit",IF(Z123&gt;=50,"HighProfit","Medium Profit"))</f>
        <v/>
      </c>
      <c r="AE123" s="56">
        <f>TEXT(B123,"mmmm")</f>
        <v/>
      </c>
    </row>
    <row r="124" ht="14.25" customHeight="1" s="57">
      <c r="A124" s="56" t="inlineStr">
        <is>
          <t>ORD-00226</t>
        </is>
      </c>
      <c r="B124" s="116" t="n">
        <v>45771</v>
      </c>
      <c r="C124" s="56" t="n">
        <v>2025</v>
      </c>
      <c r="D124" s="56" t="n">
        <v>4</v>
      </c>
      <c r="E124" s="56" t="inlineStr">
        <is>
          <t>UAE</t>
        </is>
      </c>
      <c r="F124" s="56" t="inlineStr">
        <is>
          <t>Sharjah</t>
        </is>
      </c>
      <c r="G124" s="56" t="inlineStr">
        <is>
          <t>Google Ads</t>
        </is>
      </c>
      <c r="H124" s="56" t="inlineStr">
        <is>
          <t>Bundle Promo</t>
        </is>
      </c>
      <c r="I124" s="56" t="inlineStr">
        <is>
          <t>P002</t>
        </is>
      </c>
      <c r="J124" s="56" t="inlineStr">
        <is>
          <t>Phone Case</t>
        </is>
      </c>
      <c r="K124" s="56" t="inlineStr">
        <is>
          <t>Accessories</t>
        </is>
      </c>
      <c r="L124" s="56" t="inlineStr">
        <is>
          <t>Guangzhou Cases Ltd.</t>
        </is>
      </c>
      <c r="M124" s="56" t="n">
        <v>15.07</v>
      </c>
      <c r="N124" s="56" t="n">
        <v>2</v>
      </c>
      <c r="O124" s="56" t="n">
        <v>1.8</v>
      </c>
      <c r="P124" s="56" t="n">
        <v>0.03</v>
      </c>
      <c r="Q124" s="56" t="n">
        <v>9.710000000000001</v>
      </c>
      <c r="R124" s="56" t="n">
        <v>1</v>
      </c>
      <c r="S124" s="56">
        <f>IF(AC124="Cancelled",0,M124*R124)</f>
        <v/>
      </c>
      <c r="T124" s="56">
        <f>IF(AC124="Cancelled",0,N124*R124)</f>
        <v/>
      </c>
      <c r="U124" s="56">
        <f>IF(AC124="Cancelled",0,O124*R124)</f>
        <v/>
      </c>
      <c r="V124" s="56">
        <f>IF(AC124="Cancelled",0,ROUND(P124*S124,2))</f>
        <v/>
      </c>
      <c r="W124" s="56" t="inlineStr">
        <is>
          <t>No</t>
        </is>
      </c>
      <c r="X124" s="56" t="n">
        <v>0</v>
      </c>
      <c r="Y124" s="56">
        <f>IF(AC124="Cancelled",0,T124+U124+V124+Q124+X124)</f>
        <v/>
      </c>
      <c r="Z124" s="56">
        <f>IF(AC124="Cancelled",-Q124,S124-Y124)</f>
        <v/>
      </c>
      <c r="AA124" s="56">
        <f>IF(OR(AC124="Cancelled",S124=0),0,Z124/S124)</f>
        <v/>
      </c>
      <c r="AB124" s="56">
        <f>IFERROR(IF(Q124=0,0,S124/Q124),0)</f>
        <v/>
      </c>
      <c r="AC124" s="56" t="inlineStr">
        <is>
          <t>Delivered</t>
        </is>
      </c>
      <c r="AD124" s="56">
        <f>IF(Z124&lt;=0,"Low Profit",IF(Z124&gt;=50,"HighProfit","Medium Profit"))</f>
        <v/>
      </c>
      <c r="AE124" s="56">
        <f>TEXT(B124,"mmmm")</f>
        <v/>
      </c>
    </row>
    <row r="125" ht="14.25" customHeight="1" s="57">
      <c r="A125" s="56" t="inlineStr">
        <is>
          <t>ORD-00254</t>
        </is>
      </c>
      <c r="B125" s="116" t="n">
        <v>45772</v>
      </c>
      <c r="C125" s="56" t="n">
        <v>2025</v>
      </c>
      <c r="D125" s="56" t="n">
        <v>4</v>
      </c>
      <c r="E125" s="56" t="inlineStr">
        <is>
          <t>Saudi Arabia</t>
        </is>
      </c>
      <c r="F125" s="56" t="inlineStr">
        <is>
          <t>Jeddah</t>
        </is>
      </c>
      <c r="G125" s="56" t="inlineStr">
        <is>
          <t>Email</t>
        </is>
      </c>
      <c r="H125" s="56" t="inlineStr">
        <is>
          <t>Bundle Promo</t>
        </is>
      </c>
      <c r="I125" s="56" t="inlineStr">
        <is>
          <t>P004</t>
        </is>
      </c>
      <c r="J125" s="56" t="inlineStr">
        <is>
          <t>Beauty Tool</t>
        </is>
      </c>
      <c r="K125" s="56" t="inlineStr">
        <is>
          <t>Beauty</t>
        </is>
      </c>
      <c r="L125" s="56" t="inlineStr">
        <is>
          <t>Ningbo Beauty Supply</t>
        </is>
      </c>
      <c r="M125" s="56" t="n">
        <v>32.83</v>
      </c>
      <c r="N125" s="56" t="n">
        <v>7.29</v>
      </c>
      <c r="O125" s="56" t="n">
        <v>4.4</v>
      </c>
      <c r="P125" s="56" t="n">
        <v>0.03</v>
      </c>
      <c r="Q125" s="56" t="n">
        <v>18.42</v>
      </c>
      <c r="R125" s="56" t="n">
        <v>2</v>
      </c>
      <c r="S125" s="56">
        <f>IF(AC125="Cancelled",0,M125*R125)</f>
        <v/>
      </c>
      <c r="T125" s="56">
        <f>IF(AC125="Cancelled",0,N125*R125)</f>
        <v/>
      </c>
      <c r="U125" s="56">
        <f>IF(AC125="Cancelled",0,O125*R125)</f>
        <v/>
      </c>
      <c r="V125" s="56">
        <f>IF(AC125="Cancelled",0,ROUND(P125*S125,2))</f>
        <v/>
      </c>
      <c r="W125" s="56" t="inlineStr">
        <is>
          <t>No</t>
        </is>
      </c>
      <c r="X125" s="56" t="n">
        <v>0</v>
      </c>
      <c r="Y125" s="56">
        <f>IF(AC125="Cancelled",0,T125+U125+V125+Q125+X125)</f>
        <v/>
      </c>
      <c r="Z125" s="56">
        <f>IF(AC125="Cancelled",-Q125,S125-Y125)</f>
        <v/>
      </c>
      <c r="AA125" s="56">
        <f>IF(OR(AC125="Cancelled",S125=0),0,Z125/S125)</f>
        <v/>
      </c>
      <c r="AB125" s="56">
        <f>IFERROR(IF(Q125=0,0,S125/Q125),0)</f>
        <v/>
      </c>
      <c r="AC125" s="56" t="inlineStr">
        <is>
          <t>Delivered</t>
        </is>
      </c>
      <c r="AD125" s="56">
        <f>IF(Z125&lt;=0,"Low Profit",IF(Z125&gt;=50,"HighProfit","Medium Profit"))</f>
        <v/>
      </c>
      <c r="AE125" s="56">
        <f>TEXT(B125,"mmmm")</f>
        <v/>
      </c>
    </row>
    <row r="126" ht="14.25" customHeight="1" s="57">
      <c r="A126" s="56" t="inlineStr">
        <is>
          <t>ORD-00407</t>
        </is>
      </c>
      <c r="B126" s="116" t="n">
        <v>45772</v>
      </c>
      <c r="C126" s="56" t="n">
        <v>2025</v>
      </c>
      <c r="D126" s="56" t="n">
        <v>4</v>
      </c>
      <c r="E126" s="56" t="inlineStr">
        <is>
          <t>UAE</t>
        </is>
      </c>
      <c r="F126" s="56" t="inlineStr">
        <is>
          <t>Abu Dhabi</t>
        </is>
      </c>
      <c r="G126" s="56" t="inlineStr">
        <is>
          <t>Organic Search</t>
        </is>
      </c>
      <c r="H126" s="56" t="inlineStr">
        <is>
          <t>Summer Sale</t>
        </is>
      </c>
      <c r="I126" s="56" t="inlineStr">
        <is>
          <t>P008</t>
        </is>
      </c>
      <c r="J126" s="56" t="inlineStr">
        <is>
          <t>Portable Blender</t>
        </is>
      </c>
      <c r="K126" s="56" t="inlineStr">
        <is>
          <t>Kitchen</t>
        </is>
      </c>
      <c r="L126" s="56" t="inlineStr">
        <is>
          <t>Foshan Appliances</t>
        </is>
      </c>
      <c r="M126" s="56" t="n">
        <v>51.64</v>
      </c>
      <c r="N126" s="56" t="n">
        <v>16.29</v>
      </c>
      <c r="O126" s="56" t="n">
        <v>6.23</v>
      </c>
      <c r="P126" s="56" t="n">
        <v>0.03</v>
      </c>
      <c r="Q126" s="56" t="n">
        <v>0</v>
      </c>
      <c r="R126" s="56" t="n">
        <v>1</v>
      </c>
      <c r="S126" s="56">
        <f>IF(AC126="Cancelled",0,M126*R126)</f>
        <v/>
      </c>
      <c r="T126" s="56">
        <f>IF(AC126="Cancelled",0,N126*R126)</f>
        <v/>
      </c>
      <c r="U126" s="56">
        <f>IF(AC126="Cancelled",0,O126*R126)</f>
        <v/>
      </c>
      <c r="V126" s="56">
        <f>IF(AC126="Cancelled",0,ROUND(P126*S126,2))</f>
        <v/>
      </c>
      <c r="W126" s="56" t="inlineStr">
        <is>
          <t>No</t>
        </is>
      </c>
      <c r="X126" s="56" t="n">
        <v>0</v>
      </c>
      <c r="Y126" s="56">
        <f>IF(AC126="Cancelled",0,T126+U126+V126+Q126+X126)</f>
        <v/>
      </c>
      <c r="Z126" s="56">
        <f>IF(AC126="Cancelled",-Q126,S126-Y126)</f>
        <v/>
      </c>
      <c r="AA126" s="56">
        <f>IF(OR(AC126="Cancelled",S126=0),0,Z126/S126)</f>
        <v/>
      </c>
      <c r="AB126" s="56">
        <f>IFERROR(IF(Q126=0,0,S126/Q126),0)</f>
        <v/>
      </c>
      <c r="AC126" s="56" t="inlineStr">
        <is>
          <t>Delivered</t>
        </is>
      </c>
      <c r="AD126" s="56">
        <f>IF(Z126&lt;=0,"Low Profit",IF(Z126&gt;=50,"HighProfit","Medium Profit"))</f>
        <v/>
      </c>
      <c r="AE126" s="56">
        <f>TEXT(B126,"mmmm")</f>
        <v/>
      </c>
    </row>
    <row r="127" ht="14.25" customHeight="1" s="57">
      <c r="A127" s="56" t="inlineStr">
        <is>
          <t>ORD-00173</t>
        </is>
      </c>
      <c r="B127" s="116" t="n">
        <v>45775</v>
      </c>
      <c r="C127" s="56" t="n">
        <v>2025</v>
      </c>
      <c r="D127" s="56" t="n">
        <v>4</v>
      </c>
      <c r="E127" s="56" t="inlineStr">
        <is>
          <t>Saudi Arabia</t>
        </is>
      </c>
      <c r="F127" s="56" t="inlineStr">
        <is>
          <t>Jeddah</t>
        </is>
      </c>
      <c r="G127" s="56" t="inlineStr">
        <is>
          <t>Influencer</t>
        </is>
      </c>
      <c r="H127" s="56" t="inlineStr">
        <is>
          <t>New Creative A/B</t>
        </is>
      </c>
      <c r="I127" s="56" t="inlineStr">
        <is>
          <t>P010</t>
        </is>
      </c>
      <c r="J127" s="56" t="inlineStr">
        <is>
          <t>Smart Water Bottle</t>
        </is>
      </c>
      <c r="K127" s="56" t="inlineStr">
        <is>
          <t>Lifestyle</t>
        </is>
      </c>
      <c r="L127" s="56" t="inlineStr">
        <is>
          <t>Shenzhen Smart Home</t>
        </is>
      </c>
      <c r="M127" s="56" t="n">
        <v>30.38</v>
      </c>
      <c r="N127" s="56" t="n">
        <v>10.49</v>
      </c>
      <c r="O127" s="56" t="n">
        <v>4.21</v>
      </c>
      <c r="P127" s="56" t="n">
        <v>0.03</v>
      </c>
      <c r="Q127" s="56" t="n">
        <v>5.29</v>
      </c>
      <c r="R127" s="56" t="n">
        <v>2</v>
      </c>
      <c r="S127" s="56">
        <f>IF(AC127="Cancelled",0,M127*R127)</f>
        <v/>
      </c>
      <c r="T127" s="56">
        <f>IF(AC127="Cancelled",0,N127*R127)</f>
        <v/>
      </c>
      <c r="U127" s="56">
        <f>IF(AC127="Cancelled",0,O127*R127)</f>
        <v/>
      </c>
      <c r="V127" s="56">
        <f>IF(AC127="Cancelled",0,ROUND(P127*S127,2))</f>
        <v/>
      </c>
      <c r="W127" s="56" t="inlineStr">
        <is>
          <t>No</t>
        </is>
      </c>
      <c r="X127" s="56" t="n">
        <v>0</v>
      </c>
      <c r="Y127" s="56">
        <f>IF(AC127="Cancelled",0,T127+U127+V127+Q127+X127)</f>
        <v/>
      </c>
      <c r="Z127" s="56">
        <f>IF(AC127="Cancelled",-Q127,S127-Y127)</f>
        <v/>
      </c>
      <c r="AA127" s="56">
        <f>IF(OR(AC127="Cancelled",S127=0),0,Z127/S127)</f>
        <v/>
      </c>
      <c r="AB127" s="56">
        <f>IFERROR(IF(Q127=0,0,S127/Q127),0)</f>
        <v/>
      </c>
      <c r="AC127" s="56" t="inlineStr">
        <is>
          <t>Delivered</t>
        </is>
      </c>
      <c r="AD127" s="56">
        <f>IF(Z127&lt;=0,"Low Profit",IF(Z127&gt;=50,"HighProfit","Medium Profit"))</f>
        <v/>
      </c>
      <c r="AE127" s="56">
        <f>TEXT(B127,"mmmm")</f>
        <v/>
      </c>
    </row>
    <row r="128" ht="14.25" customHeight="1" s="57">
      <c r="A128" s="56" t="inlineStr">
        <is>
          <t>ORD-00346</t>
        </is>
      </c>
      <c r="B128" s="116" t="n">
        <v>45777</v>
      </c>
      <c r="C128" s="56" t="n">
        <v>2025</v>
      </c>
      <c r="D128" s="56" t="n">
        <v>4</v>
      </c>
      <c r="E128" s="56" t="inlineStr">
        <is>
          <t>Qatar</t>
        </is>
      </c>
      <c r="F128" s="56" t="inlineStr">
        <is>
          <t>Doha</t>
        </is>
      </c>
      <c r="G128" s="56" t="inlineStr">
        <is>
          <t>TikTok Ads</t>
        </is>
      </c>
      <c r="H128" s="56" t="inlineStr">
        <is>
          <t>Summer Sale</t>
        </is>
      </c>
      <c r="I128" s="56" t="inlineStr">
        <is>
          <t>P010</t>
        </is>
      </c>
      <c r="J128" s="56" t="inlineStr">
        <is>
          <t>Smart Water Bottle</t>
        </is>
      </c>
      <c r="K128" s="56" t="inlineStr">
        <is>
          <t>Lifestyle</t>
        </is>
      </c>
      <c r="L128" s="56" t="inlineStr">
        <is>
          <t>Shenzhen Smart Home</t>
        </is>
      </c>
      <c r="M128" s="56" t="n">
        <v>32.39</v>
      </c>
      <c r="N128" s="56" t="n">
        <v>10.39</v>
      </c>
      <c r="O128" s="56" t="n">
        <v>3.74</v>
      </c>
      <c r="P128" s="56" t="n">
        <v>0.03</v>
      </c>
      <c r="Q128" s="56" t="n">
        <v>9.52</v>
      </c>
      <c r="R128" s="56" t="n">
        <v>1</v>
      </c>
      <c r="S128" s="56">
        <f>IF(AC128="Cancelled",0,M128*R128)</f>
        <v/>
      </c>
      <c r="T128" s="56">
        <f>IF(AC128="Cancelled",0,N128*R128)</f>
        <v/>
      </c>
      <c r="U128" s="56">
        <f>IF(AC128="Cancelled",0,O128*R128)</f>
        <v/>
      </c>
      <c r="V128" s="56">
        <f>IF(AC128="Cancelled",0,ROUND(P128*S128,2))</f>
        <v/>
      </c>
      <c r="W128" s="56" t="inlineStr">
        <is>
          <t>No</t>
        </is>
      </c>
      <c r="X128" s="56" t="n">
        <v>0</v>
      </c>
      <c r="Y128" s="56">
        <f>IF(AC128="Cancelled",0,T128+U128+V128+Q128+X128)</f>
        <v/>
      </c>
      <c r="Z128" s="56">
        <f>IF(AC128="Cancelled",-Q128,S128-Y128)</f>
        <v/>
      </c>
      <c r="AA128" s="56">
        <f>IF(OR(AC128="Cancelled",S128=0),0,Z128/S128)</f>
        <v/>
      </c>
      <c r="AB128" s="56">
        <f>IFERROR(IF(Q128=0,0,S128/Q128),0)</f>
        <v/>
      </c>
      <c r="AC128" s="56" t="inlineStr">
        <is>
          <t>Delivered</t>
        </is>
      </c>
      <c r="AD128" s="56">
        <f>IF(Z128&lt;=0,"Low Profit",IF(Z128&gt;=50,"HighProfit","Medium Profit"))</f>
        <v/>
      </c>
      <c r="AE128" s="56">
        <f>TEXT(B128,"mmmm")</f>
        <v/>
      </c>
    </row>
    <row r="129" ht="14.25" customHeight="1" s="57">
      <c r="A129" s="56" t="inlineStr">
        <is>
          <t>ORD-00404</t>
        </is>
      </c>
      <c r="B129" s="116" t="n">
        <v>45777</v>
      </c>
      <c r="C129" s="56" t="n">
        <v>2025</v>
      </c>
      <c r="D129" s="56" t="n">
        <v>4</v>
      </c>
      <c r="E129" s="56" t="inlineStr">
        <is>
          <t>UAE</t>
        </is>
      </c>
      <c r="F129" s="56" t="inlineStr">
        <is>
          <t>Dubai</t>
        </is>
      </c>
      <c r="G129" s="56" t="inlineStr">
        <is>
          <t>Meta Ads</t>
        </is>
      </c>
      <c r="H129" s="56" t="inlineStr">
        <is>
          <t>Summer Sale</t>
        </is>
      </c>
      <c r="I129" s="56" t="inlineStr">
        <is>
          <t>P005</t>
        </is>
      </c>
      <c r="J129" s="56" t="inlineStr">
        <is>
          <t>Mini Printer</t>
        </is>
      </c>
      <c r="K129" s="56" t="inlineStr">
        <is>
          <t>Electronics</t>
        </is>
      </c>
      <c r="L129" s="56" t="inlineStr">
        <is>
          <t>Shenzhen Print Tech</t>
        </is>
      </c>
      <c r="M129" s="56" t="n">
        <v>61.31</v>
      </c>
      <c r="N129" s="56" t="n">
        <v>21.33</v>
      </c>
      <c r="O129" s="56" t="n">
        <v>6.99</v>
      </c>
      <c r="P129" s="56" t="n">
        <v>0.03</v>
      </c>
      <c r="Q129" s="56" t="n">
        <v>17.59</v>
      </c>
      <c r="R129" s="56" t="n">
        <v>2</v>
      </c>
      <c r="S129" s="56">
        <f>IF(AC129="Cancelled",0,M129*R129)</f>
        <v/>
      </c>
      <c r="T129" s="56">
        <f>IF(AC129="Cancelled",0,N129*R129)</f>
        <v/>
      </c>
      <c r="U129" s="56">
        <f>IF(AC129="Cancelled",0,O129*R129)</f>
        <v/>
      </c>
      <c r="V129" s="56">
        <f>IF(AC129="Cancelled",0,ROUND(P129*S129,2))</f>
        <v/>
      </c>
      <c r="W129" s="56" t="inlineStr">
        <is>
          <t>No</t>
        </is>
      </c>
      <c r="X129" s="56" t="n">
        <v>0</v>
      </c>
      <c r="Y129" s="56">
        <f>IF(AC129="Cancelled",0,T129+U129+V129+Q129+X129)</f>
        <v/>
      </c>
      <c r="Z129" s="56">
        <f>IF(AC129="Cancelled",-Q129,S129-Y129)</f>
        <v/>
      </c>
      <c r="AA129" s="56">
        <f>IF(OR(AC129="Cancelled",S129=0),0,Z129/S129)</f>
        <v/>
      </c>
      <c r="AB129" s="56">
        <f>IFERROR(IF(Q129=0,0,S129/Q129),0)</f>
        <v/>
      </c>
      <c r="AC129" s="56" t="inlineStr">
        <is>
          <t>Delivered</t>
        </is>
      </c>
      <c r="AD129" s="56">
        <f>IF(Z129&lt;=0,"Low Profit",IF(Z129&gt;=50,"HighProfit","Medium Profit"))</f>
        <v/>
      </c>
      <c r="AE129" s="56">
        <f>TEXT(B129,"mmmm")</f>
        <v/>
      </c>
    </row>
    <row r="130" ht="14.25" customHeight="1" s="57">
      <c r="A130" s="56" t="inlineStr">
        <is>
          <t>ORD-00210</t>
        </is>
      </c>
      <c r="B130" s="116" t="n">
        <v>45779</v>
      </c>
      <c r="C130" s="56" t="n">
        <v>2025</v>
      </c>
      <c r="D130" s="56" t="n">
        <v>5</v>
      </c>
      <c r="E130" s="56" t="inlineStr">
        <is>
          <t>Saudi Arabia</t>
        </is>
      </c>
      <c r="F130" s="56" t="inlineStr">
        <is>
          <t>Riyadh</t>
        </is>
      </c>
      <c r="G130" s="56" t="inlineStr">
        <is>
          <t>Influencer</t>
        </is>
      </c>
      <c r="H130" s="56" t="inlineStr">
        <is>
          <t>Bundle Promo</t>
        </is>
      </c>
      <c r="I130" s="56" t="inlineStr">
        <is>
          <t>P009</t>
        </is>
      </c>
      <c r="J130" s="56" t="inlineStr">
        <is>
          <t>Car Vacuum Cleaner</t>
        </is>
      </c>
      <c r="K130" s="56" t="inlineStr">
        <is>
          <t>Automotive</t>
        </is>
      </c>
      <c r="L130" s="56" t="inlineStr">
        <is>
          <t>Dongguan Auto Tools</t>
        </is>
      </c>
      <c r="M130" s="56" t="n">
        <v>43.76</v>
      </c>
      <c r="N130" s="56" t="n">
        <v>14.95</v>
      </c>
      <c r="O130" s="56" t="n">
        <v>7.4</v>
      </c>
      <c r="P130" s="56" t="n">
        <v>0.03</v>
      </c>
      <c r="Q130" s="56" t="n">
        <v>16.24</v>
      </c>
      <c r="R130" s="56" t="n">
        <v>2</v>
      </c>
      <c r="S130" s="56">
        <f>IF(AC130="Cancelled",0,M130*R130)</f>
        <v/>
      </c>
      <c r="T130" s="56">
        <f>IF(AC130="Cancelled",0,N130*R130)</f>
        <v/>
      </c>
      <c r="U130" s="56">
        <f>IF(AC130="Cancelled",0,O130*R130)</f>
        <v/>
      </c>
      <c r="V130" s="56">
        <f>IF(AC130="Cancelled",0,ROUND(P130*S130,2))</f>
        <v/>
      </c>
      <c r="W130" s="56" t="inlineStr">
        <is>
          <t>No</t>
        </is>
      </c>
      <c r="X130" s="56" t="n">
        <v>0</v>
      </c>
      <c r="Y130" s="56">
        <f>IF(AC130="Cancelled",0,T130+U130+V130+Q130+X130)</f>
        <v/>
      </c>
      <c r="Z130" s="56">
        <f>IF(AC130="Cancelled",-Q130,S130-Y130)</f>
        <v/>
      </c>
      <c r="AA130" s="56">
        <f>IF(OR(AC130="Cancelled",S130=0),0,Z130/S130)</f>
        <v/>
      </c>
      <c r="AB130" s="56">
        <f>IFERROR(IF(Q130=0,0,S130/Q130),0)</f>
        <v/>
      </c>
      <c r="AC130" s="56" t="inlineStr">
        <is>
          <t>Delivered</t>
        </is>
      </c>
      <c r="AD130" s="56">
        <f>IF(Z130&lt;=0,"Low Profit",IF(Z130&gt;=50,"HighProfit","Medium Profit"))</f>
        <v/>
      </c>
      <c r="AE130" s="56">
        <f>TEXT(B130,"mmmm")</f>
        <v/>
      </c>
    </row>
    <row r="131" ht="14.25" customHeight="1" s="57">
      <c r="A131" s="56" t="inlineStr">
        <is>
          <t>ORD-00408</t>
        </is>
      </c>
      <c r="B131" s="116" t="n">
        <v>45780</v>
      </c>
      <c r="C131" s="56" t="n">
        <v>2025</v>
      </c>
      <c r="D131" s="56" t="n">
        <v>5</v>
      </c>
      <c r="E131" s="56" t="inlineStr">
        <is>
          <t>Oman</t>
        </is>
      </c>
      <c r="F131" s="56" t="inlineStr">
        <is>
          <t>Muscat</t>
        </is>
      </c>
      <c r="G131" s="56" t="inlineStr">
        <is>
          <t>Google Ads</t>
        </is>
      </c>
      <c r="H131" s="56" t="inlineStr">
        <is>
          <t>New Creative A/B</t>
        </is>
      </c>
      <c r="I131" s="56" t="inlineStr">
        <is>
          <t>P007</t>
        </is>
      </c>
      <c r="J131" s="56" t="inlineStr">
        <is>
          <t>Pet Grooming Glove</t>
        </is>
      </c>
      <c r="K131" s="56" t="inlineStr">
        <is>
          <t>Pets</t>
        </is>
      </c>
      <c r="L131" s="56" t="inlineStr">
        <is>
          <t>Yiwu Pet Products</t>
        </is>
      </c>
      <c r="M131" s="56" t="n">
        <v>21.59</v>
      </c>
      <c r="N131" s="56" t="n">
        <v>3.36</v>
      </c>
      <c r="O131" s="56" t="n">
        <v>2.37</v>
      </c>
      <c r="P131" s="56" t="n">
        <v>0.03</v>
      </c>
      <c r="Q131" s="56" t="n">
        <v>8.220000000000001</v>
      </c>
      <c r="R131" s="56" t="n">
        <v>1</v>
      </c>
      <c r="S131" s="56">
        <f>IF(AC131="Cancelled",0,M131*R131)</f>
        <v/>
      </c>
      <c r="T131" s="56">
        <f>IF(AC131="Cancelled",0,N131*R131)</f>
        <v/>
      </c>
      <c r="U131" s="56">
        <f>IF(AC131="Cancelled",0,O131*R131)</f>
        <v/>
      </c>
      <c r="V131" s="56">
        <f>IF(AC131="Cancelled",0,ROUND(P131*S131,2))</f>
        <v/>
      </c>
      <c r="W131" s="56" t="inlineStr">
        <is>
          <t>No</t>
        </is>
      </c>
      <c r="X131" s="56" t="n">
        <v>0</v>
      </c>
      <c r="Y131" s="56">
        <f>IF(AC131="Cancelled",0,T131+U131+V131+Q131+X131)</f>
        <v/>
      </c>
      <c r="Z131" s="56">
        <f>IF(AC131="Cancelled",-Q131,S131-Y131)</f>
        <v/>
      </c>
      <c r="AA131" s="56">
        <f>IF(OR(AC131="Cancelled",S131=0),0,Z131/S131)</f>
        <v/>
      </c>
      <c r="AB131" s="56">
        <f>IFERROR(IF(Q131=0,0,S131/Q131),0)</f>
        <v/>
      </c>
      <c r="AC131" s="56" t="inlineStr">
        <is>
          <t>Delivered</t>
        </is>
      </c>
      <c r="AD131" s="56">
        <f>IF(Z131&lt;=0,"Low Profit",IF(Z131&gt;=50,"HighProfit","Medium Profit"))</f>
        <v/>
      </c>
      <c r="AE131" s="56">
        <f>TEXT(B131,"mmmm")</f>
        <v/>
      </c>
    </row>
    <row r="132" ht="14.25" customHeight="1" s="57">
      <c r="A132" s="56" t="inlineStr">
        <is>
          <t>ORD-00023</t>
        </is>
      </c>
      <c r="B132" s="116" t="n">
        <v>45781</v>
      </c>
      <c r="C132" s="56" t="n">
        <v>2025</v>
      </c>
      <c r="D132" s="56" t="n">
        <v>5</v>
      </c>
      <c r="E132" s="56" t="inlineStr">
        <is>
          <t>UAE</t>
        </is>
      </c>
      <c r="F132" s="56" t="inlineStr">
        <is>
          <t>Abu Dhabi</t>
        </is>
      </c>
      <c r="G132" s="56" t="inlineStr">
        <is>
          <t>Google Ads</t>
        </is>
      </c>
      <c r="H132" s="56" t="inlineStr">
        <is>
          <t>New Creative A/B</t>
        </is>
      </c>
      <c r="I132" s="56" t="inlineStr">
        <is>
          <t>P003</t>
        </is>
      </c>
      <c r="J132" s="56" t="inlineStr">
        <is>
          <t>LED Strip Lights</t>
        </is>
      </c>
      <c r="K132" s="56" t="inlineStr">
        <is>
          <t>Home Decor</t>
        </is>
      </c>
      <c r="L132" s="56" t="inlineStr">
        <is>
          <t>Yiwu Lighting Factory</t>
        </is>
      </c>
      <c r="M132" s="56" t="n">
        <v>22.78</v>
      </c>
      <c r="N132" s="56" t="n">
        <v>6.14</v>
      </c>
      <c r="O132" s="56" t="n">
        <v>3.21</v>
      </c>
      <c r="P132" s="56" t="n">
        <v>0.03</v>
      </c>
      <c r="Q132" s="56" t="n">
        <v>5.01</v>
      </c>
      <c r="R132" s="56" t="n">
        <v>1</v>
      </c>
      <c r="S132" s="56">
        <f>IF(AC132="Cancelled",0,M132*R132)</f>
        <v/>
      </c>
      <c r="T132" s="56">
        <f>IF(AC132="Cancelled",0,N132*R132)</f>
        <v/>
      </c>
      <c r="U132" s="56">
        <f>IF(AC132="Cancelled",0,O132*R132)</f>
        <v/>
      </c>
      <c r="V132" s="56">
        <f>IF(AC132="Cancelled",0,ROUND(P132*S132,2))</f>
        <v/>
      </c>
      <c r="W132" s="56" t="inlineStr">
        <is>
          <t>No</t>
        </is>
      </c>
      <c r="X132" s="56" t="n">
        <v>0</v>
      </c>
      <c r="Y132" s="56">
        <f>IF(AC132="Cancelled",0,T132+U132+V132+Q132+X132)</f>
        <v/>
      </c>
      <c r="Z132" s="56">
        <f>IF(AC132="Cancelled",-Q132,S132-Y132)</f>
        <v/>
      </c>
      <c r="AA132" s="56">
        <f>IF(OR(AC132="Cancelled",S132=0),0,Z132/S132)</f>
        <v/>
      </c>
      <c r="AB132" s="56">
        <f>IFERROR(IF(Q132=0,0,S132/Q132),0)</f>
        <v/>
      </c>
      <c r="AC132" s="56" t="inlineStr">
        <is>
          <t>Delivered</t>
        </is>
      </c>
      <c r="AD132" s="56">
        <f>IF(Z132&lt;=0,"Low Profit",IF(Z132&gt;=50,"HighProfit","Medium Profit"))</f>
        <v/>
      </c>
      <c r="AE132" s="56">
        <f>TEXT(B132,"mmmm")</f>
        <v/>
      </c>
    </row>
    <row r="133" ht="14.25" customHeight="1" s="57">
      <c r="A133" s="56" t="inlineStr">
        <is>
          <t>ORD-00110</t>
        </is>
      </c>
      <c r="B133" s="116" t="n">
        <v>45781</v>
      </c>
      <c r="C133" s="56" t="n">
        <v>2025</v>
      </c>
      <c r="D133" s="56" t="n">
        <v>5</v>
      </c>
      <c r="E133" s="56" t="inlineStr">
        <is>
          <t>UAE</t>
        </is>
      </c>
      <c r="F133" s="56" t="inlineStr">
        <is>
          <t>Sharjah</t>
        </is>
      </c>
      <c r="G133" s="56" t="inlineStr">
        <is>
          <t>Google Ads</t>
        </is>
      </c>
      <c r="H133" s="56" t="inlineStr">
        <is>
          <t>New Creative A/B</t>
        </is>
      </c>
      <c r="I133" s="56" t="inlineStr">
        <is>
          <t>P002</t>
        </is>
      </c>
      <c r="J133" s="56" t="inlineStr">
        <is>
          <t>Phone Case</t>
        </is>
      </c>
      <c r="K133" s="56" t="inlineStr">
        <is>
          <t>Accessories</t>
        </is>
      </c>
      <c r="L133" s="56" t="inlineStr">
        <is>
          <t>Guangzhou Cases Ltd.</t>
        </is>
      </c>
      <c r="M133" s="56" t="n">
        <v>15.5</v>
      </c>
      <c r="N133" s="56" t="n">
        <v>2.1</v>
      </c>
      <c r="O133" s="56" t="n">
        <v>2.16</v>
      </c>
      <c r="P133" s="56" t="n">
        <v>0.03</v>
      </c>
      <c r="Q133" s="56" t="n">
        <v>16.92</v>
      </c>
      <c r="R133" s="56" t="n">
        <v>2</v>
      </c>
      <c r="S133" s="56">
        <f>IF(AC133="Cancelled",0,M133*R133)</f>
        <v/>
      </c>
      <c r="T133" s="56">
        <f>IF(AC133="Cancelled",0,N133*R133)</f>
        <v/>
      </c>
      <c r="U133" s="56">
        <f>IF(AC133="Cancelled",0,O133*R133)</f>
        <v/>
      </c>
      <c r="V133" s="56">
        <f>IF(AC133="Cancelled",0,ROUND(P133*S133,2))</f>
        <v/>
      </c>
      <c r="W133" s="56" t="inlineStr">
        <is>
          <t>No</t>
        </is>
      </c>
      <c r="X133" s="56" t="n">
        <v>0</v>
      </c>
      <c r="Y133" s="56">
        <f>IF(AC133="Cancelled",0,T133+U133+V133+Q133+X133)</f>
        <v/>
      </c>
      <c r="Z133" s="56">
        <f>IF(AC133="Cancelled",-Q133,S133-Y133)</f>
        <v/>
      </c>
      <c r="AA133" s="56">
        <f>IF(OR(AC133="Cancelled",S133=0),0,Z133/S133)</f>
        <v/>
      </c>
      <c r="AB133" s="56">
        <f>IFERROR(IF(Q133=0,0,S133/Q133),0)</f>
        <v/>
      </c>
      <c r="AC133" s="56" t="inlineStr">
        <is>
          <t>Delivered</t>
        </is>
      </c>
      <c r="AD133" s="56">
        <f>IF(Z133&lt;=0,"Low Profit",IF(Z133&gt;=50,"HighProfit","Medium Profit"))</f>
        <v/>
      </c>
      <c r="AE133" s="56">
        <f>TEXT(B133,"mmmm")</f>
        <v/>
      </c>
    </row>
    <row r="134" ht="14.25" customHeight="1" s="57">
      <c r="A134" s="56" t="inlineStr">
        <is>
          <t>ORD-00117</t>
        </is>
      </c>
      <c r="B134" s="116" t="n">
        <v>45781</v>
      </c>
      <c r="C134" s="56" t="n">
        <v>2025</v>
      </c>
      <c r="D134" s="56" t="n">
        <v>5</v>
      </c>
      <c r="E134" s="56" t="inlineStr">
        <is>
          <t>Saudi Arabia</t>
        </is>
      </c>
      <c r="F134" s="56" t="inlineStr">
        <is>
          <t>Jeddah</t>
        </is>
      </c>
      <c r="G134" s="56" t="inlineStr">
        <is>
          <t>Influencer</t>
        </is>
      </c>
      <c r="H134" s="56" t="inlineStr">
        <is>
          <t>Summer Sale</t>
        </is>
      </c>
      <c r="I134" s="56" t="inlineStr">
        <is>
          <t>P001</t>
        </is>
      </c>
      <c r="J134" s="56" t="inlineStr">
        <is>
          <t>Wireless Earbuds</t>
        </is>
      </c>
      <c r="K134" s="56" t="inlineStr">
        <is>
          <t>Electronics</t>
        </is>
      </c>
      <c r="L134" s="56" t="inlineStr">
        <is>
          <t>Shenzhen Audio Co.</t>
        </is>
      </c>
      <c r="M134" s="56" t="n">
        <v>36.56</v>
      </c>
      <c r="N134" s="56" t="n">
        <v>8.859999999999999</v>
      </c>
      <c r="O134" s="56" t="n">
        <v>4.33</v>
      </c>
      <c r="P134" s="56" t="n">
        <v>0.03</v>
      </c>
      <c r="Q134" s="56" t="n">
        <v>8.52</v>
      </c>
      <c r="R134" s="56" t="n">
        <v>1</v>
      </c>
      <c r="S134" s="56">
        <f>IF(AC134="Cancelled",0,M134*R134)</f>
        <v/>
      </c>
      <c r="T134" s="56">
        <f>IF(AC134="Cancelled",0,N134*R134)</f>
        <v/>
      </c>
      <c r="U134" s="56">
        <f>IF(AC134="Cancelled",0,O134*R134)</f>
        <v/>
      </c>
      <c r="V134" s="56">
        <f>IF(AC134="Cancelled",0,ROUND(P134*S134,2))</f>
        <v/>
      </c>
      <c r="W134" s="56" t="inlineStr">
        <is>
          <t>No</t>
        </is>
      </c>
      <c r="X134" s="56" t="n">
        <v>0</v>
      </c>
      <c r="Y134" s="56">
        <f>IF(AC134="Cancelled",0,T134+U134+V134+Q134+X134)</f>
        <v/>
      </c>
      <c r="Z134" s="56">
        <f>IF(AC134="Cancelled",-Q134,S134-Y134)</f>
        <v/>
      </c>
      <c r="AA134" s="56">
        <f>IF(OR(AC134="Cancelled",S134=0),0,Z134/S134)</f>
        <v/>
      </c>
      <c r="AB134" s="56">
        <f>IFERROR(IF(Q134=0,0,S134/Q134),0)</f>
        <v/>
      </c>
      <c r="AC134" s="56" t="inlineStr">
        <is>
          <t>Delivered</t>
        </is>
      </c>
      <c r="AD134" s="56">
        <f>IF(Z134&lt;=0,"Low Profit",IF(Z134&gt;=50,"HighProfit","Medium Profit"))</f>
        <v/>
      </c>
      <c r="AE134" s="56">
        <f>TEXT(B134,"mmmm")</f>
        <v/>
      </c>
    </row>
    <row r="135" ht="14.25" customHeight="1" s="57">
      <c r="A135" s="56" t="inlineStr">
        <is>
          <t>ORD-00157</t>
        </is>
      </c>
      <c r="B135" s="116" t="n">
        <v>45781</v>
      </c>
      <c r="C135" s="56" t="n">
        <v>2025</v>
      </c>
      <c r="D135" s="56" t="n">
        <v>5</v>
      </c>
      <c r="E135" s="56" t="inlineStr">
        <is>
          <t>Qatar</t>
        </is>
      </c>
      <c r="F135" s="56" t="inlineStr">
        <is>
          <t>Doha</t>
        </is>
      </c>
      <c r="G135" s="56" t="inlineStr">
        <is>
          <t>TikTok Ads</t>
        </is>
      </c>
      <c r="H135" s="56" t="inlineStr">
        <is>
          <t>New Creative A/B</t>
        </is>
      </c>
      <c r="I135" s="56" t="inlineStr">
        <is>
          <t>P007</t>
        </is>
      </c>
      <c r="J135" s="56" t="inlineStr">
        <is>
          <t>Pet Grooming Glove</t>
        </is>
      </c>
      <c r="K135" s="56" t="inlineStr">
        <is>
          <t>Pets</t>
        </is>
      </c>
      <c r="L135" s="56" t="inlineStr">
        <is>
          <t>Yiwu Pet Products</t>
        </is>
      </c>
      <c r="M135" s="56" t="n">
        <v>20.24</v>
      </c>
      <c r="N135" s="56" t="n">
        <v>3.65</v>
      </c>
      <c r="O135" s="56" t="n">
        <v>2.49</v>
      </c>
      <c r="P135" s="56" t="n">
        <v>0.03</v>
      </c>
      <c r="Q135" s="56" t="n">
        <v>19.16</v>
      </c>
      <c r="R135" s="56" t="n">
        <v>2</v>
      </c>
      <c r="S135" s="56">
        <f>IF(AC135="Cancelled",0,M135*R135)</f>
        <v/>
      </c>
      <c r="T135" s="56">
        <f>IF(AC135="Cancelled",0,N135*R135)</f>
        <v/>
      </c>
      <c r="U135" s="56">
        <f>IF(AC135="Cancelled",0,O135*R135)</f>
        <v/>
      </c>
      <c r="V135" s="56">
        <f>IF(AC135="Cancelled",0,ROUND(P135*S135,2))</f>
        <v/>
      </c>
      <c r="W135" s="56" t="inlineStr">
        <is>
          <t>No</t>
        </is>
      </c>
      <c r="X135" s="56" t="n">
        <v>0</v>
      </c>
      <c r="Y135" s="56">
        <f>IF(AC135="Cancelled",0,T135+U135+V135+Q135+X135)</f>
        <v/>
      </c>
      <c r="Z135" s="56">
        <f>IF(AC135="Cancelled",-Q135,S135-Y135)</f>
        <v/>
      </c>
      <c r="AA135" s="56">
        <f>IF(OR(AC135="Cancelled",S135=0),0,Z135/S135)</f>
        <v/>
      </c>
      <c r="AB135" s="56">
        <f>IFERROR(IF(Q135=0,0,S135/Q135),0)</f>
        <v/>
      </c>
      <c r="AC135" s="56" t="inlineStr">
        <is>
          <t>Delivered</t>
        </is>
      </c>
      <c r="AD135" s="56">
        <f>IF(Z135&lt;=0,"Low Profit",IF(Z135&gt;=50,"HighProfit","Medium Profit"))</f>
        <v/>
      </c>
      <c r="AE135" s="56">
        <f>TEXT(B135,"mmmm")</f>
        <v/>
      </c>
    </row>
    <row r="136" ht="14.25" customHeight="1" s="57">
      <c r="A136" s="56" t="inlineStr">
        <is>
          <t>ORD-00229</t>
        </is>
      </c>
      <c r="B136" s="116" t="n">
        <v>45782</v>
      </c>
      <c r="C136" s="56" t="n">
        <v>2025</v>
      </c>
      <c r="D136" s="56" t="n">
        <v>5</v>
      </c>
      <c r="E136" s="56" t="inlineStr">
        <is>
          <t>UAE</t>
        </is>
      </c>
      <c r="F136" s="56" t="inlineStr">
        <is>
          <t>Sharjah</t>
        </is>
      </c>
      <c r="G136" s="56" t="inlineStr">
        <is>
          <t>TikTok Ads</t>
        </is>
      </c>
      <c r="H136" s="56" t="inlineStr">
        <is>
          <t>New Creative A/B</t>
        </is>
      </c>
      <c r="I136" s="56" t="inlineStr">
        <is>
          <t>P006</t>
        </is>
      </c>
      <c r="J136" s="56" t="inlineStr">
        <is>
          <t>Posture Corrector</t>
        </is>
      </c>
      <c r="K136" s="56" t="inlineStr">
        <is>
          <t>Fitness</t>
        </is>
      </c>
      <c r="L136" s="56" t="inlineStr">
        <is>
          <t>Hangzhou Health Gear</t>
        </is>
      </c>
      <c r="M136" s="56" t="n">
        <v>34.53</v>
      </c>
      <c r="N136" s="56" t="n">
        <v>9.24</v>
      </c>
      <c r="O136" s="56" t="n">
        <v>3.62</v>
      </c>
      <c r="P136" s="56" t="n">
        <v>0.03</v>
      </c>
      <c r="Q136" s="56" t="n">
        <v>7.47</v>
      </c>
      <c r="R136" s="56" t="n">
        <v>1</v>
      </c>
      <c r="S136" s="56">
        <f>IF(AC136="Cancelled",0,M136*R136)</f>
        <v/>
      </c>
      <c r="T136" s="56">
        <f>IF(AC136="Cancelled",0,N136*R136)</f>
        <v/>
      </c>
      <c r="U136" s="56">
        <f>IF(AC136="Cancelled",0,O136*R136)</f>
        <v/>
      </c>
      <c r="V136" s="56">
        <f>IF(AC136="Cancelled",0,ROUND(P136*S136,2))</f>
        <v/>
      </c>
      <c r="W136" s="56" t="inlineStr">
        <is>
          <t>No</t>
        </is>
      </c>
      <c r="X136" s="56" t="n">
        <v>0</v>
      </c>
      <c r="Y136" s="56">
        <f>IF(AC136="Cancelled",0,T136+U136+V136+Q136+X136)</f>
        <v/>
      </c>
      <c r="Z136" s="56">
        <f>IF(AC136="Cancelled",-Q136,S136-Y136)</f>
        <v/>
      </c>
      <c r="AA136" s="56">
        <f>IF(OR(AC136="Cancelled",S136=0),0,Z136/S136)</f>
        <v/>
      </c>
      <c r="AB136" s="56">
        <f>IFERROR(IF(Q136=0,0,S136/Q136),0)</f>
        <v/>
      </c>
      <c r="AC136" s="56" t="inlineStr">
        <is>
          <t>Delivered</t>
        </is>
      </c>
      <c r="AD136" s="56">
        <f>IF(Z136&lt;=0,"Low Profit",IF(Z136&gt;=50,"HighProfit","Medium Profit"))</f>
        <v/>
      </c>
      <c r="AE136" s="56">
        <f>TEXT(B136,"mmmm")</f>
        <v/>
      </c>
    </row>
    <row r="137" ht="14.25" customHeight="1" s="57">
      <c r="A137" s="56" t="inlineStr">
        <is>
          <t>ORD-00438</t>
        </is>
      </c>
      <c r="B137" s="116" t="n">
        <v>45782</v>
      </c>
      <c r="C137" s="56" t="n">
        <v>2025</v>
      </c>
      <c r="D137" s="56" t="n">
        <v>5</v>
      </c>
      <c r="E137" s="56" t="inlineStr">
        <is>
          <t>Saudi Arabia</t>
        </is>
      </c>
      <c r="F137" s="56" t="inlineStr">
        <is>
          <t>Jeddah</t>
        </is>
      </c>
      <c r="G137" s="56" t="inlineStr">
        <is>
          <t>Organic Search</t>
        </is>
      </c>
      <c r="H137" s="56" t="inlineStr">
        <is>
          <t>New Creative A/B</t>
        </is>
      </c>
      <c r="I137" s="56" t="inlineStr">
        <is>
          <t>P006</t>
        </is>
      </c>
      <c r="J137" s="56" t="inlineStr">
        <is>
          <t>Posture Corrector</t>
        </is>
      </c>
      <c r="K137" s="56" t="inlineStr">
        <is>
          <t>Fitness</t>
        </is>
      </c>
      <c r="L137" s="56" t="inlineStr">
        <is>
          <t>Hangzhou Health Gear</t>
        </is>
      </c>
      <c r="M137" s="56" t="n">
        <v>38.32</v>
      </c>
      <c r="N137" s="56" t="n">
        <v>8.619999999999999</v>
      </c>
      <c r="O137" s="56" t="n">
        <v>4.04</v>
      </c>
      <c r="P137" s="56" t="n">
        <v>0.03</v>
      </c>
      <c r="Q137" s="56" t="n">
        <v>0</v>
      </c>
      <c r="R137" s="56" t="n">
        <v>1</v>
      </c>
      <c r="S137" s="56">
        <f>IF(AC137="Cancelled",0,M137*R137)</f>
        <v/>
      </c>
      <c r="T137" s="56">
        <f>IF(AC137="Cancelled",0,N137*R137)</f>
        <v/>
      </c>
      <c r="U137" s="56">
        <f>IF(AC137="Cancelled",0,O137*R137)</f>
        <v/>
      </c>
      <c r="V137" s="56">
        <f>IF(AC137="Cancelled",0,ROUND(P137*S137,2))</f>
        <v/>
      </c>
      <c r="W137" s="56" t="inlineStr">
        <is>
          <t>No</t>
        </is>
      </c>
      <c r="X137" s="56" t="n">
        <v>0</v>
      </c>
      <c r="Y137" s="56">
        <f>IF(AC137="Cancelled",0,T137+U137+V137+Q137+X137)</f>
        <v/>
      </c>
      <c r="Z137" s="56">
        <f>IF(AC137="Cancelled",-Q137,S137-Y137)</f>
        <v/>
      </c>
      <c r="AA137" s="56">
        <f>IF(OR(AC137="Cancelled",S137=0),0,Z137/S137)</f>
        <v/>
      </c>
      <c r="AB137" s="56">
        <f>IFERROR(IF(Q137=0,0,S137/Q137),0)</f>
        <v/>
      </c>
      <c r="AC137" s="56" t="inlineStr">
        <is>
          <t>Delivered</t>
        </is>
      </c>
      <c r="AD137" s="56">
        <f>IF(Z137&lt;=0,"Low Profit",IF(Z137&gt;=50,"HighProfit","Medium Profit"))</f>
        <v/>
      </c>
      <c r="AE137" s="56">
        <f>TEXT(B137,"mmmm")</f>
        <v/>
      </c>
    </row>
    <row r="138" ht="14.25" customHeight="1" s="57">
      <c r="A138" s="56" t="inlineStr">
        <is>
          <t>ORD-00147</t>
        </is>
      </c>
      <c r="B138" s="116" t="n">
        <v>45784</v>
      </c>
      <c r="C138" s="56" t="n">
        <v>2025</v>
      </c>
      <c r="D138" s="56" t="n">
        <v>5</v>
      </c>
      <c r="E138" s="56" t="inlineStr">
        <is>
          <t>Oman</t>
        </is>
      </c>
      <c r="F138" s="56" t="inlineStr">
        <is>
          <t>Muscat</t>
        </is>
      </c>
      <c r="G138" s="56" t="inlineStr">
        <is>
          <t>Influencer</t>
        </is>
      </c>
      <c r="H138" s="56" t="inlineStr">
        <is>
          <t>Summer Sale</t>
        </is>
      </c>
      <c r="I138" s="56" t="inlineStr">
        <is>
          <t>P009</t>
        </is>
      </c>
      <c r="J138" s="56" t="inlineStr">
        <is>
          <t>Car Vacuum Cleaner</t>
        </is>
      </c>
      <c r="K138" s="56" t="inlineStr">
        <is>
          <t>Automotive</t>
        </is>
      </c>
      <c r="L138" s="56" t="inlineStr">
        <is>
          <t>Dongguan Auto Tools</t>
        </is>
      </c>
      <c r="M138" s="56" t="n">
        <v>45.14</v>
      </c>
      <c r="N138" s="56" t="n">
        <v>14.11</v>
      </c>
      <c r="O138" s="56" t="n">
        <v>7.25</v>
      </c>
      <c r="P138" s="56" t="n">
        <v>0.03</v>
      </c>
      <c r="Q138" s="56" t="n">
        <v>3.93</v>
      </c>
      <c r="R138" s="56" t="n">
        <v>1</v>
      </c>
      <c r="S138" s="56">
        <f>IF(AC138="Cancelled",0,M138*R138)</f>
        <v/>
      </c>
      <c r="T138" s="56">
        <f>IF(AC138="Cancelled",0,N138*R138)</f>
        <v/>
      </c>
      <c r="U138" s="56">
        <f>IF(AC138="Cancelled",0,O138*R138)</f>
        <v/>
      </c>
      <c r="V138" s="56">
        <f>IF(AC138="Cancelled",0,ROUND(P138*S138,2))</f>
        <v/>
      </c>
      <c r="W138" s="56" t="inlineStr">
        <is>
          <t>No</t>
        </is>
      </c>
      <c r="X138" s="56" t="n">
        <v>0</v>
      </c>
      <c r="Y138" s="56">
        <f>IF(AC138="Cancelled",0,T138+U138+V138+Q138+X138)</f>
        <v/>
      </c>
      <c r="Z138" s="56">
        <f>IF(AC138="Cancelled",-Q138,S138-Y138)</f>
        <v/>
      </c>
      <c r="AA138" s="56">
        <f>IF(OR(AC138="Cancelled",S138=0),0,Z138/S138)</f>
        <v/>
      </c>
      <c r="AB138" s="56">
        <f>IFERROR(IF(Q138=0,0,S138/Q138),0)</f>
        <v/>
      </c>
      <c r="AC138" s="56" t="inlineStr">
        <is>
          <t>Delivered</t>
        </is>
      </c>
      <c r="AD138" s="56">
        <f>IF(Z138&lt;=0,"Low Profit",IF(Z138&gt;=50,"HighProfit","Medium Profit"))</f>
        <v/>
      </c>
      <c r="AE138" s="56">
        <f>TEXT(B138,"mmmm")</f>
        <v/>
      </c>
    </row>
    <row r="139" ht="14.25" customHeight="1" s="57">
      <c r="A139" s="56" t="inlineStr">
        <is>
          <t>ORD-00295</t>
        </is>
      </c>
      <c r="B139" s="116" t="n">
        <v>45784</v>
      </c>
      <c r="C139" s="56" t="n">
        <v>2025</v>
      </c>
      <c r="D139" s="56" t="n">
        <v>5</v>
      </c>
      <c r="E139" s="56" t="inlineStr">
        <is>
          <t>Qatar</t>
        </is>
      </c>
      <c r="F139" s="56" t="inlineStr">
        <is>
          <t>Doha</t>
        </is>
      </c>
      <c r="G139" s="56" t="inlineStr">
        <is>
          <t>Organic Search</t>
        </is>
      </c>
      <c r="H139" s="56" t="inlineStr">
        <is>
          <t>Summer Sale</t>
        </is>
      </c>
      <c r="I139" s="56" t="inlineStr">
        <is>
          <t>P006</t>
        </is>
      </c>
      <c r="J139" s="56" t="inlineStr">
        <is>
          <t>Posture Corrector</t>
        </is>
      </c>
      <c r="K139" s="56" t="inlineStr">
        <is>
          <t>Fitness</t>
        </is>
      </c>
      <c r="L139" s="56" t="inlineStr">
        <is>
          <t>Hangzhou Health Gear</t>
        </is>
      </c>
      <c r="M139" s="56" t="n">
        <v>36.54</v>
      </c>
      <c r="N139" s="56" t="n">
        <v>9.390000000000001</v>
      </c>
      <c r="O139" s="56" t="n">
        <v>3.91</v>
      </c>
      <c r="P139" s="56" t="n">
        <v>0.03</v>
      </c>
      <c r="Q139" s="56" t="n">
        <v>0</v>
      </c>
      <c r="R139" s="56" t="n">
        <v>1</v>
      </c>
      <c r="S139" s="56">
        <f>IF(AC139="Cancelled",0,M139*R139)</f>
        <v/>
      </c>
      <c r="T139" s="56">
        <f>IF(AC139="Cancelled",0,N139*R139)</f>
        <v/>
      </c>
      <c r="U139" s="56">
        <f>IF(AC139="Cancelled",0,O139*R139)</f>
        <v/>
      </c>
      <c r="V139" s="56">
        <f>IF(AC139="Cancelled",0,ROUND(P139*S139,2))</f>
        <v/>
      </c>
      <c r="W139" s="56" t="inlineStr">
        <is>
          <t>No</t>
        </is>
      </c>
      <c r="X139" s="56" t="n">
        <v>0</v>
      </c>
      <c r="Y139" s="56">
        <f>IF(AC139="Cancelled",0,T139+U139+V139+Q139+X139)</f>
        <v/>
      </c>
      <c r="Z139" s="56">
        <f>IF(AC139="Cancelled",-Q139,S139-Y139)</f>
        <v/>
      </c>
      <c r="AA139" s="56">
        <f>IF(OR(AC139="Cancelled",S139=0),0,Z139/S139)</f>
        <v/>
      </c>
      <c r="AB139" s="56">
        <f>IFERROR(IF(Q139=0,0,S139/Q139),0)</f>
        <v/>
      </c>
      <c r="AC139" s="56" t="inlineStr">
        <is>
          <t>Delivered</t>
        </is>
      </c>
      <c r="AD139" s="56">
        <f>IF(Z139&lt;=0,"Low Profit",IF(Z139&gt;=50,"HighProfit","Medium Profit"))</f>
        <v/>
      </c>
      <c r="AE139" s="56">
        <f>TEXT(B139,"mmmm")</f>
        <v/>
      </c>
    </row>
    <row r="140" ht="14.25" customHeight="1" s="57">
      <c r="A140" s="56" t="inlineStr">
        <is>
          <t>ORD-00421</t>
        </is>
      </c>
      <c r="B140" s="116" t="n">
        <v>45786</v>
      </c>
      <c r="C140" s="56" t="n">
        <v>2025</v>
      </c>
      <c r="D140" s="56" t="n">
        <v>5</v>
      </c>
      <c r="E140" s="56" t="inlineStr">
        <is>
          <t>Saudi Arabia</t>
        </is>
      </c>
      <c r="F140" s="56" t="inlineStr">
        <is>
          <t>Jeddah</t>
        </is>
      </c>
      <c r="G140" s="56" t="inlineStr">
        <is>
          <t>Influencer</t>
        </is>
      </c>
      <c r="H140" s="56" t="inlineStr">
        <is>
          <t>Launch Test</t>
        </is>
      </c>
      <c r="I140" s="56" t="inlineStr">
        <is>
          <t>P001</t>
        </is>
      </c>
      <c r="J140" s="56" t="inlineStr">
        <is>
          <t>Wireless Earbuds</t>
        </is>
      </c>
      <c r="K140" s="56" t="inlineStr">
        <is>
          <t>Electronics</t>
        </is>
      </c>
      <c r="L140" s="56" t="inlineStr">
        <is>
          <t>Shenzhen Audio Co.</t>
        </is>
      </c>
      <c r="M140" s="56" t="n">
        <v>40.87</v>
      </c>
      <c r="N140" s="56" t="n">
        <v>9.02</v>
      </c>
      <c r="O140" s="56" t="n">
        <v>4.05</v>
      </c>
      <c r="P140" s="56" t="n">
        <v>0.03</v>
      </c>
      <c r="Q140" s="56" t="n">
        <v>27.99</v>
      </c>
      <c r="R140" s="56" t="n">
        <v>3</v>
      </c>
      <c r="S140" s="56">
        <f>IF(AC140="Cancelled",0,M140*R140)</f>
        <v/>
      </c>
      <c r="T140" s="56">
        <f>IF(AC140="Cancelled",0,N140*R140)</f>
        <v/>
      </c>
      <c r="U140" s="56">
        <f>IF(AC140="Cancelled",0,O140*R140)</f>
        <v/>
      </c>
      <c r="V140" s="56">
        <f>IF(AC140="Cancelled",0,ROUND(P140*S140,2))</f>
        <v/>
      </c>
      <c r="W140" s="56" t="inlineStr">
        <is>
          <t>No</t>
        </is>
      </c>
      <c r="X140" s="56" t="n">
        <v>0</v>
      </c>
      <c r="Y140" s="56">
        <f>IF(AC140="Cancelled",0,T140+U140+V140+Q140+X140)</f>
        <v/>
      </c>
      <c r="Z140" s="56">
        <f>IF(AC140="Cancelled",-Q140,S140-Y140)</f>
        <v/>
      </c>
      <c r="AA140" s="56">
        <f>IF(OR(AC140="Cancelled",S140=0),0,Z140/S140)</f>
        <v/>
      </c>
      <c r="AB140" s="56">
        <f>IFERROR(IF(Q140=0,0,S140/Q140),0)</f>
        <v/>
      </c>
      <c r="AC140" s="56" t="inlineStr">
        <is>
          <t>Delivered</t>
        </is>
      </c>
      <c r="AD140" s="56">
        <f>IF(Z140&lt;=0,"Low Profit",IF(Z140&gt;=50,"HighProfit","Medium Profit"))</f>
        <v/>
      </c>
      <c r="AE140" s="56">
        <f>TEXT(B140,"mmmm")</f>
        <v/>
      </c>
    </row>
    <row r="141" ht="14.25" customHeight="1" s="57">
      <c r="A141" s="56" t="inlineStr">
        <is>
          <t>ORD-00449</t>
        </is>
      </c>
      <c r="B141" s="116" t="n">
        <v>45787</v>
      </c>
      <c r="C141" s="56" t="n">
        <v>2025</v>
      </c>
      <c r="D141" s="56" t="n">
        <v>5</v>
      </c>
      <c r="E141" s="56" t="inlineStr">
        <is>
          <t>UAE</t>
        </is>
      </c>
      <c r="F141" s="56" t="inlineStr">
        <is>
          <t>Sharjah</t>
        </is>
      </c>
      <c r="G141" s="56" t="inlineStr">
        <is>
          <t>Google Ads</t>
        </is>
      </c>
      <c r="H141" s="56" t="inlineStr">
        <is>
          <t>New Creative A/B</t>
        </is>
      </c>
      <c r="I141" s="56" t="inlineStr">
        <is>
          <t>P007</t>
        </is>
      </c>
      <c r="J141" s="56" t="inlineStr">
        <is>
          <t>Pet Grooming Glove</t>
        </is>
      </c>
      <c r="K141" s="56" t="inlineStr">
        <is>
          <t>Pets</t>
        </is>
      </c>
      <c r="L141" s="56" t="inlineStr">
        <is>
          <t>Yiwu Pet Products</t>
        </is>
      </c>
      <c r="M141" s="56" t="n">
        <v>18.84</v>
      </c>
      <c r="N141" s="56" t="n">
        <v>3.55</v>
      </c>
      <c r="O141" s="56" t="n">
        <v>2.41</v>
      </c>
      <c r="P141" s="56" t="n">
        <v>0.03</v>
      </c>
      <c r="Q141" s="56" t="n">
        <v>7.06</v>
      </c>
      <c r="R141" s="56" t="n">
        <v>1</v>
      </c>
      <c r="S141" s="56">
        <f>IF(AC141="Cancelled",0,M141*R141)</f>
        <v/>
      </c>
      <c r="T141" s="56">
        <f>IF(AC141="Cancelled",0,N141*R141)</f>
        <v/>
      </c>
      <c r="U141" s="56">
        <f>IF(AC141="Cancelled",0,O141*R141)</f>
        <v/>
      </c>
      <c r="V141" s="56">
        <f>IF(AC141="Cancelled",0,ROUND(P141*S141,2))</f>
        <v/>
      </c>
      <c r="W141" s="56" t="inlineStr">
        <is>
          <t>No</t>
        </is>
      </c>
      <c r="X141" s="56" t="n">
        <v>0</v>
      </c>
      <c r="Y141" s="56">
        <f>IF(AC141="Cancelled",0,T141+U141+V141+Q141+X141)</f>
        <v/>
      </c>
      <c r="Z141" s="56">
        <f>IF(AC141="Cancelled",-Q141,S141-Y141)</f>
        <v/>
      </c>
      <c r="AA141" s="56">
        <f>IF(OR(AC141="Cancelled",S141=0),0,Z141/S141)</f>
        <v/>
      </c>
      <c r="AB141" s="56">
        <f>IFERROR(IF(Q141=0,0,S141/Q141),0)</f>
        <v/>
      </c>
      <c r="AC141" s="56" t="inlineStr">
        <is>
          <t>Delivered</t>
        </is>
      </c>
      <c r="AD141" s="56">
        <f>IF(Z141&lt;=0,"Low Profit",IF(Z141&gt;=50,"HighProfit","Medium Profit"))</f>
        <v/>
      </c>
      <c r="AE141" s="56">
        <f>TEXT(B141,"mmmm")</f>
        <v/>
      </c>
    </row>
    <row r="142" ht="14.25" customHeight="1" s="57">
      <c r="A142" s="56" t="inlineStr">
        <is>
          <t>ORD-00380</t>
        </is>
      </c>
      <c r="B142" s="116" t="n">
        <v>45788</v>
      </c>
      <c r="C142" s="56" t="n">
        <v>2025</v>
      </c>
      <c r="D142" s="56" t="n">
        <v>5</v>
      </c>
      <c r="E142" s="56" t="inlineStr">
        <is>
          <t>Qatar</t>
        </is>
      </c>
      <c r="F142" s="56" t="inlineStr">
        <is>
          <t>Doha</t>
        </is>
      </c>
      <c r="G142" s="56" t="inlineStr">
        <is>
          <t>Meta Ads</t>
        </is>
      </c>
      <c r="H142" s="56" t="inlineStr">
        <is>
          <t>Summer Sale</t>
        </is>
      </c>
      <c r="I142" s="56" t="inlineStr">
        <is>
          <t>P009</t>
        </is>
      </c>
      <c r="J142" s="56" t="inlineStr">
        <is>
          <t>Car Vacuum Cleaner</t>
        </is>
      </c>
      <c r="K142" s="56" t="inlineStr">
        <is>
          <t>Automotive</t>
        </is>
      </c>
      <c r="L142" s="56" t="inlineStr">
        <is>
          <t>Dongguan Auto Tools</t>
        </is>
      </c>
      <c r="M142" s="56" t="n">
        <v>44.32</v>
      </c>
      <c r="N142" s="56" t="n">
        <v>13.91</v>
      </c>
      <c r="O142" s="56" t="n">
        <v>6.97</v>
      </c>
      <c r="P142" s="56" t="n">
        <v>0.03</v>
      </c>
      <c r="Q142" s="56" t="n">
        <v>15.93</v>
      </c>
      <c r="R142" s="56" t="n">
        <v>2</v>
      </c>
      <c r="S142" s="56">
        <f>IF(AC142="Cancelled",0,M142*R142)</f>
        <v/>
      </c>
      <c r="T142" s="56">
        <f>IF(AC142="Cancelled",0,N142*R142)</f>
        <v/>
      </c>
      <c r="U142" s="56">
        <f>IF(AC142="Cancelled",0,O142*R142)</f>
        <v/>
      </c>
      <c r="V142" s="56">
        <f>IF(AC142="Cancelled",0,ROUND(P142*S142,2))</f>
        <v/>
      </c>
      <c r="W142" s="56" t="inlineStr">
        <is>
          <t>No</t>
        </is>
      </c>
      <c r="X142" s="56" t="n">
        <v>0</v>
      </c>
      <c r="Y142" s="56">
        <f>IF(AC142="Cancelled",0,T142+U142+V142+Q142+X142)</f>
        <v/>
      </c>
      <c r="Z142" s="56">
        <f>IF(AC142="Cancelled",-Q142,S142-Y142)</f>
        <v/>
      </c>
      <c r="AA142" s="56">
        <f>IF(OR(AC142="Cancelled",S142=0),0,Z142/S142)</f>
        <v/>
      </c>
      <c r="AB142" s="56">
        <f>IFERROR(IF(Q142=0,0,S142/Q142),0)</f>
        <v/>
      </c>
      <c r="AC142" s="56" t="inlineStr">
        <is>
          <t>Delivered</t>
        </is>
      </c>
      <c r="AD142" s="56">
        <f>IF(Z142&lt;=0,"Low Profit",IF(Z142&gt;=50,"HighProfit","Medium Profit"))</f>
        <v/>
      </c>
      <c r="AE142" s="56">
        <f>TEXT(B142,"mmmm")</f>
        <v/>
      </c>
    </row>
    <row r="143" ht="14.25" customHeight="1" s="57">
      <c r="A143" s="56" t="inlineStr">
        <is>
          <t>ORD-00422</t>
        </is>
      </c>
      <c r="B143" s="116" t="n">
        <v>45788</v>
      </c>
      <c r="C143" s="56" t="n">
        <v>2025</v>
      </c>
      <c r="D143" s="56" t="n">
        <v>5</v>
      </c>
      <c r="E143" s="56" t="inlineStr">
        <is>
          <t>UAE</t>
        </is>
      </c>
      <c r="F143" s="56" t="inlineStr">
        <is>
          <t>Abu Dhabi</t>
        </is>
      </c>
      <c r="G143" s="56" t="inlineStr">
        <is>
          <t>Influencer</t>
        </is>
      </c>
      <c r="H143" s="56" t="inlineStr">
        <is>
          <t>Summer Sale</t>
        </is>
      </c>
      <c r="I143" s="56" t="inlineStr">
        <is>
          <t>P010</t>
        </is>
      </c>
      <c r="J143" s="56" t="inlineStr">
        <is>
          <t>Smart Water Bottle</t>
        </is>
      </c>
      <c r="K143" s="56" t="inlineStr">
        <is>
          <t>Lifestyle</t>
        </is>
      </c>
      <c r="L143" s="56" t="inlineStr">
        <is>
          <t>Shenzhen Smart Home</t>
        </is>
      </c>
      <c r="M143" s="56" t="n">
        <v>33.51</v>
      </c>
      <c r="N143" s="56" t="n">
        <v>9.68</v>
      </c>
      <c r="O143" s="56" t="n">
        <v>4.58</v>
      </c>
      <c r="P143" s="56" t="n">
        <v>0.03</v>
      </c>
      <c r="Q143" s="56" t="n">
        <v>5.31</v>
      </c>
      <c r="R143" s="56" t="n">
        <v>1</v>
      </c>
      <c r="S143" s="56">
        <f>IF(AC143="Cancelled",0,M143*R143)</f>
        <v/>
      </c>
      <c r="T143" s="56">
        <f>IF(AC143="Cancelled",0,N143*R143)</f>
        <v/>
      </c>
      <c r="U143" s="56">
        <f>IF(AC143="Cancelled",0,O143*R143)</f>
        <v/>
      </c>
      <c r="V143" s="56">
        <f>IF(AC143="Cancelled",0,ROUND(P143*S143,2))</f>
        <v/>
      </c>
      <c r="W143" s="56" t="inlineStr">
        <is>
          <t>No</t>
        </is>
      </c>
      <c r="X143" s="56" t="n">
        <v>0</v>
      </c>
      <c r="Y143" s="56">
        <f>IF(AC143="Cancelled",0,T143+U143+V143+Q143+X143)</f>
        <v/>
      </c>
      <c r="Z143" s="56">
        <f>IF(AC143="Cancelled",-Q143,S143-Y143)</f>
        <v/>
      </c>
      <c r="AA143" s="56">
        <f>IF(OR(AC143="Cancelled",S143=0),0,Z143/S143)</f>
        <v/>
      </c>
      <c r="AB143" s="56">
        <f>IFERROR(IF(Q143=0,0,S143/Q143),0)</f>
        <v/>
      </c>
      <c r="AC143" s="56" t="inlineStr">
        <is>
          <t>Delivered</t>
        </is>
      </c>
      <c r="AD143" s="56">
        <f>IF(Z143&lt;=0,"Low Profit",IF(Z143&gt;=50,"HighProfit","Medium Profit"))</f>
        <v/>
      </c>
      <c r="AE143" s="56">
        <f>TEXT(B143,"mmmm")</f>
        <v/>
      </c>
    </row>
    <row r="144" ht="14.25" customHeight="1" s="57">
      <c r="A144" s="56" t="inlineStr">
        <is>
          <t>ORD-00301</t>
        </is>
      </c>
      <c r="B144" s="116" t="n">
        <v>45789</v>
      </c>
      <c r="C144" s="56" t="n">
        <v>2025</v>
      </c>
      <c r="D144" s="56" t="n">
        <v>5</v>
      </c>
      <c r="E144" s="56" t="inlineStr">
        <is>
          <t>UAE</t>
        </is>
      </c>
      <c r="F144" s="56" t="inlineStr">
        <is>
          <t>Dubai</t>
        </is>
      </c>
      <c r="G144" s="56" t="inlineStr">
        <is>
          <t>Meta Ads</t>
        </is>
      </c>
      <c r="H144" s="56" t="inlineStr">
        <is>
          <t>New Creative A/B</t>
        </is>
      </c>
      <c r="I144" s="56" t="inlineStr">
        <is>
          <t>P008</t>
        </is>
      </c>
      <c r="J144" s="56" t="inlineStr">
        <is>
          <t>Portable Blender</t>
        </is>
      </c>
      <c r="K144" s="56" t="inlineStr">
        <is>
          <t>Kitchen</t>
        </is>
      </c>
      <c r="L144" s="56" t="inlineStr">
        <is>
          <t>Foshan Appliances</t>
        </is>
      </c>
      <c r="M144" s="56" t="n">
        <v>51.01</v>
      </c>
      <c r="N144" s="56" t="n">
        <v>17.11</v>
      </c>
      <c r="O144" s="56" t="n">
        <v>6.62</v>
      </c>
      <c r="P144" s="56" t="n">
        <v>0.03</v>
      </c>
      <c r="Q144" s="56" t="n">
        <v>5.49</v>
      </c>
      <c r="R144" s="56" t="n">
        <v>1</v>
      </c>
      <c r="S144" s="56">
        <f>IF(AC144="Cancelled",0,M144*R144)</f>
        <v/>
      </c>
      <c r="T144" s="56">
        <f>IF(AC144="Cancelled",0,N144*R144)</f>
        <v/>
      </c>
      <c r="U144" s="56">
        <f>IF(AC144="Cancelled",0,O144*R144)</f>
        <v/>
      </c>
      <c r="V144" s="56">
        <f>IF(AC144="Cancelled",0,ROUND(P144*S144,2))</f>
        <v/>
      </c>
      <c r="W144" s="56" t="inlineStr">
        <is>
          <t>No</t>
        </is>
      </c>
      <c r="X144" s="56" t="n">
        <v>0</v>
      </c>
      <c r="Y144" s="56">
        <f>IF(AC144="Cancelled",0,T144+U144+V144+Q144+X144)</f>
        <v/>
      </c>
      <c r="Z144" s="56">
        <f>IF(AC144="Cancelled",-Q144,S144-Y144)</f>
        <v/>
      </c>
      <c r="AA144" s="56">
        <f>IF(OR(AC144="Cancelled",S144=0),0,Z144/S144)</f>
        <v/>
      </c>
      <c r="AB144" s="56">
        <f>IFERROR(IF(Q144=0,0,S144/Q144),0)</f>
        <v/>
      </c>
      <c r="AC144" s="56" t="inlineStr">
        <is>
          <t>Delivered</t>
        </is>
      </c>
      <c r="AD144" s="56">
        <f>IF(Z144&lt;=0,"Low Profit",IF(Z144&gt;=50,"HighProfit","Medium Profit"))</f>
        <v/>
      </c>
      <c r="AE144" s="56">
        <f>TEXT(B144,"mmmm")</f>
        <v/>
      </c>
    </row>
    <row r="145" ht="14.25" customHeight="1" s="57">
      <c r="A145" s="56" t="inlineStr">
        <is>
          <t>ORD-00337</t>
        </is>
      </c>
      <c r="B145" s="116" t="n">
        <v>45789</v>
      </c>
      <c r="C145" s="56" t="n">
        <v>2025</v>
      </c>
      <c r="D145" s="56" t="n">
        <v>5</v>
      </c>
      <c r="E145" s="56" t="inlineStr">
        <is>
          <t>UAE</t>
        </is>
      </c>
      <c r="F145" s="56" t="inlineStr">
        <is>
          <t>Abu Dhabi</t>
        </is>
      </c>
      <c r="G145" s="56" t="inlineStr">
        <is>
          <t>TikTok Ads</t>
        </is>
      </c>
      <c r="H145" s="56" t="inlineStr">
        <is>
          <t>New Creative A/B</t>
        </is>
      </c>
      <c r="I145" s="56" t="inlineStr">
        <is>
          <t>P008</t>
        </is>
      </c>
      <c r="J145" s="56" t="inlineStr">
        <is>
          <t>Portable Blender</t>
        </is>
      </c>
      <c r="K145" s="56" t="inlineStr">
        <is>
          <t>Kitchen</t>
        </is>
      </c>
      <c r="L145" s="56" t="inlineStr">
        <is>
          <t>Foshan Appliances</t>
        </is>
      </c>
      <c r="M145" s="56" t="n">
        <v>54.77</v>
      </c>
      <c r="N145" s="56" t="n">
        <v>15.53</v>
      </c>
      <c r="O145" s="56" t="n">
        <v>6.82</v>
      </c>
      <c r="P145" s="56" t="n">
        <v>0.03</v>
      </c>
      <c r="Q145" s="56" t="n">
        <v>7.66</v>
      </c>
      <c r="R145" s="56" t="n">
        <v>2</v>
      </c>
      <c r="S145" s="56">
        <f>IF(AC145="Cancelled",0,M145*R145)</f>
        <v/>
      </c>
      <c r="T145" s="56">
        <f>IF(AC145="Cancelled",0,N145*R145)</f>
        <v/>
      </c>
      <c r="U145" s="56">
        <f>IF(AC145="Cancelled",0,O145*R145)</f>
        <v/>
      </c>
      <c r="V145" s="56">
        <f>IF(AC145="Cancelled",0,ROUND(P145*S145,2))</f>
        <v/>
      </c>
      <c r="W145" s="56" t="inlineStr">
        <is>
          <t>No</t>
        </is>
      </c>
      <c r="X145" s="56" t="n">
        <v>0</v>
      </c>
      <c r="Y145" s="56">
        <f>IF(AC145="Cancelled",0,T145+U145+V145+Q145+X145)</f>
        <v/>
      </c>
      <c r="Z145" s="56">
        <f>IF(AC145="Cancelled",-Q145,S145-Y145)</f>
        <v/>
      </c>
      <c r="AA145" s="56">
        <f>IF(OR(AC145="Cancelled",S145=0),0,Z145/S145)</f>
        <v/>
      </c>
      <c r="AB145" s="56">
        <f>IFERROR(IF(Q145=0,0,S145/Q145),0)</f>
        <v/>
      </c>
      <c r="AC145" s="56" t="inlineStr">
        <is>
          <t>Delivered</t>
        </is>
      </c>
      <c r="AD145" s="56">
        <f>IF(Z145&lt;=0,"Low Profit",IF(Z145&gt;=50,"HighProfit","Medium Profit"))</f>
        <v/>
      </c>
      <c r="AE145" s="56">
        <f>TEXT(B145,"mmmm")</f>
        <v/>
      </c>
    </row>
    <row r="146" ht="14.25" customHeight="1" s="57">
      <c r="A146" s="56" t="inlineStr">
        <is>
          <t>ORD-00436</t>
        </is>
      </c>
      <c r="B146" s="116" t="n">
        <v>45789</v>
      </c>
      <c r="C146" s="56" t="n">
        <v>2025</v>
      </c>
      <c r="D146" s="56" t="n">
        <v>5</v>
      </c>
      <c r="E146" s="56" t="inlineStr">
        <is>
          <t>UAE</t>
        </is>
      </c>
      <c r="F146" s="56" t="inlineStr">
        <is>
          <t>Sharjah</t>
        </is>
      </c>
      <c r="G146" s="56" t="inlineStr">
        <is>
          <t>TikTok Ads</t>
        </is>
      </c>
      <c r="H146" s="56" t="inlineStr">
        <is>
          <t>New Creative A/B</t>
        </is>
      </c>
      <c r="I146" s="56" t="inlineStr">
        <is>
          <t>P005</t>
        </is>
      </c>
      <c r="J146" s="56" t="inlineStr">
        <is>
          <t>Mini Printer</t>
        </is>
      </c>
      <c r="K146" s="56" t="inlineStr">
        <is>
          <t>Electronics</t>
        </is>
      </c>
      <c r="L146" s="56" t="inlineStr">
        <is>
          <t>Shenzhen Print Tech</t>
        </is>
      </c>
      <c r="M146" s="56" t="n">
        <v>63.85</v>
      </c>
      <c r="N146" s="56" t="n">
        <v>21.99</v>
      </c>
      <c r="O146" s="56" t="n">
        <v>6.77</v>
      </c>
      <c r="P146" s="56" t="n">
        <v>0.03</v>
      </c>
      <c r="Q146" s="56" t="n">
        <v>3.31</v>
      </c>
      <c r="R146" s="56" t="n">
        <v>1</v>
      </c>
      <c r="S146" s="56">
        <f>IF(AC146="Cancelled",0,M146*R146)</f>
        <v/>
      </c>
      <c r="T146" s="56">
        <f>IF(AC146="Cancelled",0,N146*R146)</f>
        <v/>
      </c>
      <c r="U146" s="56">
        <f>IF(AC146="Cancelled",0,O146*R146)</f>
        <v/>
      </c>
      <c r="V146" s="56">
        <f>IF(AC146="Cancelled",0,ROUND(P146*S146,2))</f>
        <v/>
      </c>
      <c r="W146" s="56" t="inlineStr">
        <is>
          <t>Yes</t>
        </is>
      </c>
      <c r="X146" s="56" t="n">
        <v>56.02</v>
      </c>
      <c r="Y146" s="56">
        <f>IF(AC146="Cancelled",0,T146+U146+V146+Q146+X146)</f>
        <v/>
      </c>
      <c r="Z146" s="56">
        <f>IF(AC146="Cancelled",-Q146,S146-Y146)</f>
        <v/>
      </c>
      <c r="AA146" s="56">
        <f>IF(OR(AC146="Cancelled",S146=0),0,Z146/S146)</f>
        <v/>
      </c>
      <c r="AB146" s="56">
        <f>IFERROR(IF(Q146=0,0,S146/Q146),0)</f>
        <v/>
      </c>
      <c r="AC146" s="56" t="inlineStr">
        <is>
          <t>Refunded</t>
        </is>
      </c>
      <c r="AD146" s="56">
        <f>IF(Z146&lt;=0,"Low Profit",IF(Z146&gt;=50,"HighProfit","Medium Profit"))</f>
        <v/>
      </c>
      <c r="AE146" s="56">
        <f>TEXT(B146,"mmmm")</f>
        <v/>
      </c>
    </row>
    <row r="147" ht="14.25" customHeight="1" s="57">
      <c r="A147" s="56" t="inlineStr">
        <is>
          <t>ORD-00190</t>
        </is>
      </c>
      <c r="B147" s="116" t="n">
        <v>45790</v>
      </c>
      <c r="C147" s="56" t="n">
        <v>2025</v>
      </c>
      <c r="D147" s="56" t="n">
        <v>5</v>
      </c>
      <c r="E147" s="56" t="inlineStr">
        <is>
          <t>Saudi Arabia</t>
        </is>
      </c>
      <c r="F147" s="56" t="inlineStr">
        <is>
          <t>Riyadh</t>
        </is>
      </c>
      <c r="G147" s="56" t="inlineStr">
        <is>
          <t>Organic Search</t>
        </is>
      </c>
      <c r="H147" s="56" t="inlineStr">
        <is>
          <t>Launch Test</t>
        </is>
      </c>
      <c r="I147" s="56" t="inlineStr">
        <is>
          <t>P006</t>
        </is>
      </c>
      <c r="J147" s="56" t="inlineStr">
        <is>
          <t>Posture Corrector</t>
        </is>
      </c>
      <c r="K147" s="56" t="inlineStr">
        <is>
          <t>Fitness</t>
        </is>
      </c>
      <c r="L147" s="56" t="inlineStr">
        <is>
          <t>Hangzhou Health Gear</t>
        </is>
      </c>
      <c r="M147" s="56" t="n">
        <v>36.79</v>
      </c>
      <c r="N147" s="56" t="n">
        <v>8.699999999999999</v>
      </c>
      <c r="O147" s="56" t="n">
        <v>4.09</v>
      </c>
      <c r="P147" s="56" t="n">
        <v>0.03</v>
      </c>
      <c r="Q147" s="56" t="n">
        <v>0</v>
      </c>
      <c r="R147" s="56" t="n">
        <v>2</v>
      </c>
      <c r="S147" s="56">
        <f>IF(AC147="Cancelled",0,M147*R147)</f>
        <v/>
      </c>
      <c r="T147" s="56">
        <f>IF(AC147="Cancelled",0,N147*R147)</f>
        <v/>
      </c>
      <c r="U147" s="56">
        <f>IF(AC147="Cancelled",0,O147*R147)</f>
        <v/>
      </c>
      <c r="V147" s="56">
        <f>IF(AC147="Cancelled",0,ROUND(P147*S147,2))</f>
        <v/>
      </c>
      <c r="W147" s="56" t="inlineStr">
        <is>
          <t>No</t>
        </is>
      </c>
      <c r="X147" s="56" t="n">
        <v>0</v>
      </c>
      <c r="Y147" s="56">
        <f>IF(AC147="Cancelled",0,T147+U147+V147+Q147+X147)</f>
        <v/>
      </c>
      <c r="Z147" s="56">
        <f>IF(AC147="Cancelled",-Q147,S147-Y147)</f>
        <v/>
      </c>
      <c r="AA147" s="56">
        <f>IF(OR(AC147="Cancelled",S147=0),0,Z147/S147)</f>
        <v/>
      </c>
      <c r="AB147" s="56">
        <f>IFERROR(IF(Q147=0,0,S147/Q147),0)</f>
        <v/>
      </c>
      <c r="AC147" s="56" t="inlineStr">
        <is>
          <t>Delivered</t>
        </is>
      </c>
      <c r="AD147" s="56">
        <f>IF(Z147&lt;=0,"Low Profit",IF(Z147&gt;=50,"HighProfit","Medium Profit"))</f>
        <v/>
      </c>
      <c r="AE147" s="56">
        <f>TEXT(B147,"mmmm")</f>
        <v/>
      </c>
    </row>
    <row r="148" ht="14.25" customHeight="1" s="57">
      <c r="A148" s="56" t="inlineStr">
        <is>
          <t>ORD-00325</t>
        </is>
      </c>
      <c r="B148" s="116" t="n">
        <v>45794</v>
      </c>
      <c r="C148" s="56" t="n">
        <v>2025</v>
      </c>
      <c r="D148" s="56" t="n">
        <v>5</v>
      </c>
      <c r="E148" s="56" t="inlineStr">
        <is>
          <t>Qatar</t>
        </is>
      </c>
      <c r="F148" s="56" t="inlineStr">
        <is>
          <t>Doha</t>
        </is>
      </c>
      <c r="G148" s="56" t="inlineStr">
        <is>
          <t>Meta Ads</t>
        </is>
      </c>
      <c r="H148" s="56" t="inlineStr">
        <is>
          <t>Bundle Promo</t>
        </is>
      </c>
      <c r="I148" s="56" t="inlineStr">
        <is>
          <t>P004</t>
        </is>
      </c>
      <c r="J148" s="56" t="inlineStr">
        <is>
          <t>Beauty Tool</t>
        </is>
      </c>
      <c r="K148" s="56" t="inlineStr">
        <is>
          <t>Beauty</t>
        </is>
      </c>
      <c r="L148" s="56" t="inlineStr">
        <is>
          <t>Ningbo Beauty Supply</t>
        </is>
      </c>
      <c r="M148" s="56" t="n">
        <v>29.88</v>
      </c>
      <c r="N148" s="56" t="n">
        <v>7.53</v>
      </c>
      <c r="O148" s="56" t="n">
        <v>4.46</v>
      </c>
      <c r="P148" s="56" t="n">
        <v>0.03</v>
      </c>
      <c r="Q148" s="56" t="n">
        <v>5.6</v>
      </c>
      <c r="R148" s="56" t="n">
        <v>1</v>
      </c>
      <c r="S148" s="56">
        <f>IF(AC148="Cancelled",0,M148*R148)</f>
        <v/>
      </c>
      <c r="T148" s="56">
        <f>IF(AC148="Cancelled",0,N148*R148)</f>
        <v/>
      </c>
      <c r="U148" s="56">
        <f>IF(AC148="Cancelled",0,O148*R148)</f>
        <v/>
      </c>
      <c r="V148" s="56">
        <f>IF(AC148="Cancelled",0,ROUND(P148*S148,2))</f>
        <v/>
      </c>
      <c r="W148" s="56" t="inlineStr">
        <is>
          <t>No</t>
        </is>
      </c>
      <c r="X148" s="56" t="n">
        <v>0</v>
      </c>
      <c r="Y148" s="56">
        <f>IF(AC148="Cancelled",0,T148+U148+V148+Q148+X148)</f>
        <v/>
      </c>
      <c r="Z148" s="56">
        <f>IF(AC148="Cancelled",-Q148,S148-Y148)</f>
        <v/>
      </c>
      <c r="AA148" s="56">
        <f>IF(OR(AC148="Cancelled",S148=0),0,Z148/S148)</f>
        <v/>
      </c>
      <c r="AB148" s="56">
        <f>IFERROR(IF(Q148=0,0,S148/Q148),0)</f>
        <v/>
      </c>
      <c r="AC148" s="56" t="inlineStr">
        <is>
          <t>Delivered</t>
        </is>
      </c>
      <c r="AD148" s="56">
        <f>IF(Z148&lt;=0,"Low Profit",IF(Z148&gt;=50,"HighProfit","Medium Profit"))</f>
        <v/>
      </c>
      <c r="AE148" s="56">
        <f>TEXT(B148,"mmmm")</f>
        <v/>
      </c>
    </row>
    <row r="149" ht="14.25" customHeight="1" s="57">
      <c r="A149" s="56" t="inlineStr">
        <is>
          <t>ORD-00248</t>
        </is>
      </c>
      <c r="B149" s="116" t="n">
        <v>45795</v>
      </c>
      <c r="C149" s="56" t="n">
        <v>2025</v>
      </c>
      <c r="D149" s="56" t="n">
        <v>5</v>
      </c>
      <c r="E149" s="56" t="inlineStr">
        <is>
          <t>Qatar</t>
        </is>
      </c>
      <c r="F149" s="56" t="inlineStr">
        <is>
          <t>Doha</t>
        </is>
      </c>
      <c r="G149" s="56" t="inlineStr">
        <is>
          <t>TikTok Ads</t>
        </is>
      </c>
      <c r="H149" s="56" t="inlineStr">
        <is>
          <t>Retargeting</t>
        </is>
      </c>
      <c r="I149" s="56" t="inlineStr">
        <is>
          <t>P010</t>
        </is>
      </c>
      <c r="J149" s="56" t="inlineStr">
        <is>
          <t>Smart Water Bottle</t>
        </is>
      </c>
      <c r="K149" s="56" t="inlineStr">
        <is>
          <t>Lifestyle</t>
        </is>
      </c>
      <c r="L149" s="56" t="inlineStr">
        <is>
          <t>Shenzhen Smart Home</t>
        </is>
      </c>
      <c r="M149" s="56" t="n">
        <v>36.38</v>
      </c>
      <c r="N149" s="56" t="n">
        <v>10.72</v>
      </c>
      <c r="O149" s="56" t="n">
        <v>4.45</v>
      </c>
      <c r="P149" s="56" t="n">
        <v>0.03</v>
      </c>
      <c r="Q149" s="56" t="n">
        <v>5.85</v>
      </c>
      <c r="R149" s="56" t="n">
        <v>1</v>
      </c>
      <c r="S149" s="56">
        <f>IF(AC149="Cancelled",0,M149*R149)</f>
        <v/>
      </c>
      <c r="T149" s="56">
        <f>IF(AC149="Cancelled",0,N149*R149)</f>
        <v/>
      </c>
      <c r="U149" s="56">
        <f>IF(AC149="Cancelled",0,O149*R149)</f>
        <v/>
      </c>
      <c r="V149" s="56">
        <f>IF(AC149="Cancelled",0,ROUND(P149*S149,2))</f>
        <v/>
      </c>
      <c r="W149" s="56" t="inlineStr">
        <is>
          <t>Yes</t>
        </is>
      </c>
      <c r="X149" s="56" t="n">
        <v>19.64</v>
      </c>
      <c r="Y149" s="56">
        <f>IF(AC149="Cancelled",0,T149+U149+V149+Q149+X149)</f>
        <v/>
      </c>
      <c r="Z149" s="56">
        <f>IF(AC149="Cancelled",-Q149,S149-Y149)</f>
        <v/>
      </c>
      <c r="AA149" s="56">
        <f>IF(OR(AC149="Cancelled",S149=0),0,Z149/S149)</f>
        <v/>
      </c>
      <c r="AB149" s="56">
        <f>IFERROR(IF(Q149=0,0,S149/Q149),0)</f>
        <v/>
      </c>
      <c r="AC149" s="56" t="inlineStr">
        <is>
          <t>Refunded</t>
        </is>
      </c>
      <c r="AD149" s="56">
        <f>IF(Z149&lt;=0,"Low Profit",IF(Z149&gt;=50,"HighProfit","Medium Profit"))</f>
        <v/>
      </c>
      <c r="AE149" s="56">
        <f>TEXT(B149,"mmmm")</f>
        <v/>
      </c>
    </row>
    <row r="150" ht="14.25" customHeight="1" s="57">
      <c r="A150" s="56" t="inlineStr">
        <is>
          <t>ORD-00252</t>
        </is>
      </c>
      <c r="B150" s="116" t="n">
        <v>45795</v>
      </c>
      <c r="C150" s="56" t="n">
        <v>2025</v>
      </c>
      <c r="D150" s="56" t="n">
        <v>5</v>
      </c>
      <c r="E150" s="56" t="inlineStr">
        <is>
          <t>Oman</t>
        </is>
      </c>
      <c r="F150" s="56" t="inlineStr">
        <is>
          <t>Muscat</t>
        </is>
      </c>
      <c r="G150" s="56" t="inlineStr">
        <is>
          <t>Google Ads</t>
        </is>
      </c>
      <c r="H150" s="56" t="inlineStr">
        <is>
          <t>Bundle Promo</t>
        </is>
      </c>
      <c r="I150" s="56" t="inlineStr">
        <is>
          <t>P007</t>
        </is>
      </c>
      <c r="J150" s="56" t="inlineStr">
        <is>
          <t>Pet Grooming Glove</t>
        </is>
      </c>
      <c r="K150" s="56" t="inlineStr">
        <is>
          <t>Pets</t>
        </is>
      </c>
      <c r="L150" s="56" t="inlineStr">
        <is>
          <t>Yiwu Pet Products</t>
        </is>
      </c>
      <c r="M150" s="56" t="n">
        <v>19.82</v>
      </c>
      <c r="N150" s="56" t="n">
        <v>3.43</v>
      </c>
      <c r="O150" s="56" t="n">
        <v>2.49</v>
      </c>
      <c r="P150" s="56" t="n">
        <v>0.03</v>
      </c>
      <c r="Q150" s="56" t="n">
        <v>6.96</v>
      </c>
      <c r="R150" s="56" t="n">
        <v>1</v>
      </c>
      <c r="S150" s="56">
        <f>IF(AC150="Cancelled",0,M150*R150)</f>
        <v/>
      </c>
      <c r="T150" s="56">
        <f>IF(AC150="Cancelled",0,N150*R150)</f>
        <v/>
      </c>
      <c r="U150" s="56">
        <f>IF(AC150="Cancelled",0,O150*R150)</f>
        <v/>
      </c>
      <c r="V150" s="56">
        <f>IF(AC150="Cancelled",0,ROUND(P150*S150,2))</f>
        <v/>
      </c>
      <c r="W150" s="56" t="inlineStr">
        <is>
          <t>No</t>
        </is>
      </c>
      <c r="X150" s="56" t="n">
        <v>0</v>
      </c>
      <c r="Y150" s="56">
        <f>IF(AC150="Cancelled",0,T150+U150+V150+Q150+X150)</f>
        <v/>
      </c>
      <c r="Z150" s="56">
        <f>IF(AC150="Cancelled",-Q150,S150-Y150)</f>
        <v/>
      </c>
      <c r="AA150" s="56">
        <f>IF(OR(AC150="Cancelled",S150=0),0,Z150/S150)</f>
        <v/>
      </c>
      <c r="AB150" s="56">
        <f>IFERROR(IF(Q150=0,0,S150/Q150),0)</f>
        <v/>
      </c>
      <c r="AC150" s="56" t="inlineStr">
        <is>
          <t>Delivered</t>
        </is>
      </c>
      <c r="AD150" s="56">
        <f>IF(Z150&lt;=0,"Low Profit",IF(Z150&gt;=50,"HighProfit","Medium Profit"))</f>
        <v/>
      </c>
      <c r="AE150" s="56">
        <f>TEXT(B150,"mmmm")</f>
        <v/>
      </c>
    </row>
    <row r="151" ht="14.25" customHeight="1" s="57">
      <c r="A151" s="56" t="inlineStr">
        <is>
          <t>ORD-00400</t>
        </is>
      </c>
      <c r="B151" s="116" t="n">
        <v>45796</v>
      </c>
      <c r="C151" s="56" t="n">
        <v>2025</v>
      </c>
      <c r="D151" s="56" t="n">
        <v>5</v>
      </c>
      <c r="E151" s="56" t="inlineStr">
        <is>
          <t>UAE</t>
        </is>
      </c>
      <c r="F151" s="56" t="inlineStr">
        <is>
          <t>Abu Dhabi</t>
        </is>
      </c>
      <c r="G151" s="56" t="inlineStr">
        <is>
          <t>TikTok Ads</t>
        </is>
      </c>
      <c r="H151" s="56" t="inlineStr">
        <is>
          <t>New Creative A/B</t>
        </is>
      </c>
      <c r="I151" s="56" t="inlineStr">
        <is>
          <t>P010</t>
        </is>
      </c>
      <c r="J151" s="56" t="inlineStr">
        <is>
          <t>Smart Water Bottle</t>
        </is>
      </c>
      <c r="K151" s="56" t="inlineStr">
        <is>
          <t>Lifestyle</t>
        </is>
      </c>
      <c r="L151" s="56" t="inlineStr">
        <is>
          <t>Shenzhen Smart Home</t>
        </is>
      </c>
      <c r="M151" s="56" t="n">
        <v>30.9</v>
      </c>
      <c r="N151" s="56" t="n">
        <v>9.68</v>
      </c>
      <c r="O151" s="56" t="n">
        <v>3.85</v>
      </c>
      <c r="P151" s="56" t="n">
        <v>0.03</v>
      </c>
      <c r="Q151" s="56" t="n">
        <v>19.37</v>
      </c>
      <c r="R151" s="56" t="n">
        <v>2</v>
      </c>
      <c r="S151" s="56">
        <f>IF(AC151="Cancelled",0,M151*R151)</f>
        <v/>
      </c>
      <c r="T151" s="56">
        <f>IF(AC151="Cancelled",0,N151*R151)</f>
        <v/>
      </c>
      <c r="U151" s="56">
        <f>IF(AC151="Cancelled",0,O151*R151)</f>
        <v/>
      </c>
      <c r="V151" s="56">
        <f>IF(AC151="Cancelled",0,ROUND(P151*S151,2))</f>
        <v/>
      </c>
      <c r="W151" s="56" t="inlineStr">
        <is>
          <t>No</t>
        </is>
      </c>
      <c r="X151" s="56" t="n">
        <v>0</v>
      </c>
      <c r="Y151" s="56">
        <f>IF(AC151="Cancelled",0,T151+U151+V151+Q151+X151)</f>
        <v/>
      </c>
      <c r="Z151" s="56">
        <f>IF(AC151="Cancelled",-Q151,S151-Y151)</f>
        <v/>
      </c>
      <c r="AA151" s="56">
        <f>IF(OR(AC151="Cancelled",S151=0),0,Z151/S151)</f>
        <v/>
      </c>
      <c r="AB151" s="56">
        <f>IFERROR(IF(Q151=0,0,S151/Q151),0)</f>
        <v/>
      </c>
      <c r="AC151" s="56" t="inlineStr">
        <is>
          <t>Delivered</t>
        </is>
      </c>
      <c r="AD151" s="56">
        <f>IF(Z151&lt;=0,"Low Profit",IF(Z151&gt;=50,"HighProfit","Medium Profit"))</f>
        <v/>
      </c>
      <c r="AE151" s="56">
        <f>TEXT(B151,"mmmm")</f>
        <v/>
      </c>
    </row>
    <row r="152" ht="14.25" customHeight="1" s="57">
      <c r="A152" s="56" t="inlineStr">
        <is>
          <t>ORD-00199</t>
        </is>
      </c>
      <c r="B152" s="116" t="n">
        <v>45799</v>
      </c>
      <c r="C152" s="56" t="n">
        <v>2025</v>
      </c>
      <c r="D152" s="56" t="n">
        <v>5</v>
      </c>
      <c r="E152" s="56" t="inlineStr">
        <is>
          <t>UAE</t>
        </is>
      </c>
      <c r="F152" s="56" t="inlineStr">
        <is>
          <t>Abu Dhabi</t>
        </is>
      </c>
      <c r="G152" s="56" t="inlineStr">
        <is>
          <t>TikTok Ads</t>
        </is>
      </c>
      <c r="H152" s="56" t="inlineStr">
        <is>
          <t>Launch Test</t>
        </is>
      </c>
      <c r="I152" s="56" t="inlineStr">
        <is>
          <t>P010</t>
        </is>
      </c>
      <c r="J152" s="56" t="inlineStr">
        <is>
          <t>Smart Water Bottle</t>
        </is>
      </c>
      <c r="K152" s="56" t="inlineStr">
        <is>
          <t>Lifestyle</t>
        </is>
      </c>
      <c r="L152" s="56" t="inlineStr">
        <is>
          <t>Shenzhen Smart Home</t>
        </is>
      </c>
      <c r="M152" s="56" t="n">
        <v>36.22</v>
      </c>
      <c r="N152" s="56" t="n">
        <v>10.18</v>
      </c>
      <c r="O152" s="56" t="n">
        <v>4.51</v>
      </c>
      <c r="P152" s="56" t="n">
        <v>0.03</v>
      </c>
      <c r="Q152" s="56" t="n">
        <v>8.73</v>
      </c>
      <c r="R152" s="56" t="n">
        <v>2</v>
      </c>
      <c r="S152" s="56">
        <f>IF(AC152="Cancelled",0,M152*R152)</f>
        <v/>
      </c>
      <c r="T152" s="56">
        <f>IF(AC152="Cancelled",0,N152*R152)</f>
        <v/>
      </c>
      <c r="U152" s="56">
        <f>IF(AC152="Cancelled",0,O152*R152)</f>
        <v/>
      </c>
      <c r="V152" s="56">
        <f>IF(AC152="Cancelled",0,ROUND(P152*S152,2))</f>
        <v/>
      </c>
      <c r="W152" s="56" t="inlineStr">
        <is>
          <t>No</t>
        </is>
      </c>
      <c r="X152" s="56" t="n">
        <v>0</v>
      </c>
      <c r="Y152" s="56">
        <f>IF(AC152="Cancelled",0,T152+U152+V152+Q152+X152)</f>
        <v/>
      </c>
      <c r="Z152" s="56">
        <f>IF(AC152="Cancelled",-Q152,S152-Y152)</f>
        <v/>
      </c>
      <c r="AA152" s="56">
        <f>IF(OR(AC152="Cancelled",S152=0),0,Z152/S152)</f>
        <v/>
      </c>
      <c r="AB152" s="56">
        <f>IFERROR(IF(Q152=0,0,S152/Q152),0)</f>
        <v/>
      </c>
      <c r="AC152" s="56" t="inlineStr">
        <is>
          <t>Delivered</t>
        </is>
      </c>
      <c r="AD152" s="56">
        <f>IF(Z152&lt;=0,"Low Profit",IF(Z152&gt;=50,"HighProfit","Medium Profit"))</f>
        <v/>
      </c>
      <c r="AE152" s="56">
        <f>TEXT(B152,"mmmm")</f>
        <v/>
      </c>
    </row>
    <row r="153" ht="14.25" customHeight="1" s="57">
      <c r="A153" s="56" t="inlineStr">
        <is>
          <t>ORD-00311</t>
        </is>
      </c>
      <c r="B153" s="116" t="n">
        <v>45799</v>
      </c>
      <c r="C153" s="56" t="n">
        <v>2025</v>
      </c>
      <c r="D153" s="56" t="n">
        <v>5</v>
      </c>
      <c r="E153" s="56" t="inlineStr">
        <is>
          <t>UAE</t>
        </is>
      </c>
      <c r="F153" s="56" t="inlineStr">
        <is>
          <t>Abu Dhabi</t>
        </is>
      </c>
      <c r="G153" s="56" t="inlineStr">
        <is>
          <t>TikTok Ads</t>
        </is>
      </c>
      <c r="H153" s="56" t="inlineStr">
        <is>
          <t>Launch Test</t>
        </is>
      </c>
      <c r="I153" s="56" t="inlineStr">
        <is>
          <t>P010</t>
        </is>
      </c>
      <c r="J153" s="56" t="inlineStr">
        <is>
          <t>Smart Water Bottle</t>
        </is>
      </c>
      <c r="K153" s="56" t="inlineStr">
        <is>
          <t>Lifestyle</t>
        </is>
      </c>
      <c r="L153" s="56" t="inlineStr">
        <is>
          <t>Shenzhen Smart Home</t>
        </is>
      </c>
      <c r="M153" s="56" t="n">
        <v>36.07</v>
      </c>
      <c r="N153" s="56" t="n">
        <v>10.56</v>
      </c>
      <c r="O153" s="56" t="n">
        <v>3.81</v>
      </c>
      <c r="P153" s="56" t="n">
        <v>0.03</v>
      </c>
      <c r="Q153" s="56" t="n">
        <v>15.82</v>
      </c>
      <c r="R153" s="56" t="n">
        <v>3</v>
      </c>
      <c r="S153" s="56">
        <f>IF(AC153="Cancelled",0,M153*R153)</f>
        <v/>
      </c>
      <c r="T153" s="56">
        <f>IF(AC153="Cancelled",0,N153*R153)</f>
        <v/>
      </c>
      <c r="U153" s="56">
        <f>IF(AC153="Cancelled",0,O153*R153)</f>
        <v/>
      </c>
      <c r="V153" s="56">
        <f>IF(AC153="Cancelled",0,ROUND(P153*S153,2))</f>
        <v/>
      </c>
      <c r="W153" s="56" t="inlineStr">
        <is>
          <t>No</t>
        </is>
      </c>
      <c r="X153" s="56" t="n">
        <v>0</v>
      </c>
      <c r="Y153" s="56">
        <f>IF(AC153="Cancelled",0,T153+U153+V153+Q153+X153)</f>
        <v/>
      </c>
      <c r="Z153" s="56">
        <f>IF(AC153="Cancelled",-Q153,S153-Y153)</f>
        <v/>
      </c>
      <c r="AA153" s="56">
        <f>IF(OR(AC153="Cancelled",S153=0),0,Z153/S153)</f>
        <v/>
      </c>
      <c r="AB153" s="56">
        <f>IFERROR(IF(Q153=0,0,S153/Q153),0)</f>
        <v/>
      </c>
      <c r="AC153" s="56" t="inlineStr">
        <is>
          <t>Delivered</t>
        </is>
      </c>
      <c r="AD153" s="56">
        <f>IF(Z153&lt;=0,"Low Profit",IF(Z153&gt;=50,"HighProfit","Medium Profit"))</f>
        <v/>
      </c>
      <c r="AE153" s="56">
        <f>TEXT(B153,"mmmm")</f>
        <v/>
      </c>
    </row>
    <row r="154" ht="14.25" customHeight="1" s="57">
      <c r="A154" s="56" t="inlineStr">
        <is>
          <t>ORD-00313</t>
        </is>
      </c>
      <c r="B154" s="116" t="n">
        <v>45800</v>
      </c>
      <c r="C154" s="56" t="n">
        <v>2025</v>
      </c>
      <c r="D154" s="56" t="n">
        <v>5</v>
      </c>
      <c r="E154" s="56" t="inlineStr">
        <is>
          <t>Qatar</t>
        </is>
      </c>
      <c r="F154" s="56" t="inlineStr">
        <is>
          <t>Doha</t>
        </is>
      </c>
      <c r="G154" s="56" t="inlineStr">
        <is>
          <t>Email</t>
        </is>
      </c>
      <c r="H154" s="56" t="inlineStr">
        <is>
          <t>Bundle Promo</t>
        </is>
      </c>
      <c r="I154" s="56" t="inlineStr">
        <is>
          <t>P010</t>
        </is>
      </c>
      <c r="J154" s="56" t="inlineStr">
        <is>
          <t>Smart Water Bottle</t>
        </is>
      </c>
      <c r="K154" s="56" t="inlineStr">
        <is>
          <t>Lifestyle</t>
        </is>
      </c>
      <c r="L154" s="56" t="inlineStr">
        <is>
          <t>Shenzhen Smart Home</t>
        </is>
      </c>
      <c r="M154" s="56" t="n">
        <v>33.48</v>
      </c>
      <c r="N154" s="56" t="n">
        <v>10.06</v>
      </c>
      <c r="O154" s="56" t="n">
        <v>4.55</v>
      </c>
      <c r="P154" s="56" t="n">
        <v>0.03</v>
      </c>
      <c r="Q154" s="56" t="n">
        <v>19.41</v>
      </c>
      <c r="R154" s="56" t="n">
        <v>2</v>
      </c>
      <c r="S154" s="56">
        <f>IF(AC154="Cancelled",0,M154*R154)</f>
        <v/>
      </c>
      <c r="T154" s="56">
        <f>IF(AC154="Cancelled",0,N154*R154)</f>
        <v/>
      </c>
      <c r="U154" s="56">
        <f>IF(AC154="Cancelled",0,O154*R154)</f>
        <v/>
      </c>
      <c r="V154" s="56">
        <f>IF(AC154="Cancelled",0,ROUND(P154*S154,2))</f>
        <v/>
      </c>
      <c r="W154" s="56" t="inlineStr">
        <is>
          <t>No</t>
        </is>
      </c>
      <c r="X154" s="56" t="n">
        <v>0</v>
      </c>
      <c r="Y154" s="56">
        <f>IF(AC154="Cancelled",0,T154+U154+V154+Q154+X154)</f>
        <v/>
      </c>
      <c r="Z154" s="56">
        <f>IF(AC154="Cancelled",-Q154,S154-Y154)</f>
        <v/>
      </c>
      <c r="AA154" s="56">
        <f>IF(OR(AC154="Cancelled",S154=0),0,Z154/S154)</f>
        <v/>
      </c>
      <c r="AB154" s="56">
        <f>IFERROR(IF(Q154=0,0,S154/Q154),0)</f>
        <v/>
      </c>
      <c r="AC154" s="56" t="inlineStr">
        <is>
          <t>Cancelled</t>
        </is>
      </c>
      <c r="AD154" s="56">
        <f>IF(Z154&lt;=0,"Low Profit",IF(Z154&gt;=50,"HighProfit","Medium Profit"))</f>
        <v/>
      </c>
      <c r="AE154" s="56">
        <f>TEXT(B154,"mmmm")</f>
        <v/>
      </c>
    </row>
    <row r="155" ht="14.25" customHeight="1" s="57">
      <c r="A155" s="56" t="inlineStr">
        <is>
          <t>ORD-00415</t>
        </is>
      </c>
      <c r="B155" s="116" t="n">
        <v>45800</v>
      </c>
      <c r="C155" s="56" t="n">
        <v>2025</v>
      </c>
      <c r="D155" s="56" t="n">
        <v>5</v>
      </c>
      <c r="E155" s="56" t="inlineStr">
        <is>
          <t>UAE</t>
        </is>
      </c>
      <c r="F155" s="56" t="inlineStr">
        <is>
          <t>Sharjah</t>
        </is>
      </c>
      <c r="G155" s="56" t="inlineStr">
        <is>
          <t>Organic Search</t>
        </is>
      </c>
      <c r="H155" s="56" t="inlineStr">
        <is>
          <t>New Creative A/B</t>
        </is>
      </c>
      <c r="I155" s="56" t="inlineStr">
        <is>
          <t>P009</t>
        </is>
      </c>
      <c r="J155" s="56" t="inlineStr">
        <is>
          <t>Car Vacuum Cleaner</t>
        </is>
      </c>
      <c r="K155" s="56" t="inlineStr">
        <is>
          <t>Automotive</t>
        </is>
      </c>
      <c r="L155" s="56" t="inlineStr">
        <is>
          <t>Dongguan Auto Tools</t>
        </is>
      </c>
      <c r="M155" s="56" t="n">
        <v>48.33</v>
      </c>
      <c r="N155" s="56" t="n">
        <v>13.89</v>
      </c>
      <c r="O155" s="56" t="n">
        <v>7.4</v>
      </c>
      <c r="P155" s="56" t="n">
        <v>0.03</v>
      </c>
      <c r="Q155" s="56" t="n">
        <v>0</v>
      </c>
      <c r="R155" s="56" t="n">
        <v>2</v>
      </c>
      <c r="S155" s="56">
        <f>IF(AC155="Cancelled",0,M155*R155)</f>
        <v/>
      </c>
      <c r="T155" s="56">
        <f>IF(AC155="Cancelled",0,N155*R155)</f>
        <v/>
      </c>
      <c r="U155" s="56">
        <f>IF(AC155="Cancelled",0,O155*R155)</f>
        <v/>
      </c>
      <c r="V155" s="56">
        <f>IF(AC155="Cancelled",0,ROUND(P155*S155,2))</f>
        <v/>
      </c>
      <c r="W155" s="56" t="inlineStr">
        <is>
          <t>No</t>
        </is>
      </c>
      <c r="X155" s="56" t="n">
        <v>0</v>
      </c>
      <c r="Y155" s="56">
        <f>IF(AC155="Cancelled",0,T155+U155+V155+Q155+X155)</f>
        <v/>
      </c>
      <c r="Z155" s="56">
        <f>IF(AC155="Cancelled",-Q155,S155-Y155)</f>
        <v/>
      </c>
      <c r="AA155" s="56">
        <f>IF(OR(AC155="Cancelled",S155=0),0,Z155/S155)</f>
        <v/>
      </c>
      <c r="AB155" s="56">
        <f>IFERROR(IF(Q155=0,0,S155/Q155),0)</f>
        <v/>
      </c>
      <c r="AC155" s="56" t="inlineStr">
        <is>
          <t>Delivered</t>
        </is>
      </c>
      <c r="AD155" s="56">
        <f>IF(Z155&lt;=0,"Low Profit",IF(Z155&gt;=50,"HighProfit","Medium Profit"))</f>
        <v/>
      </c>
      <c r="AE155" s="56">
        <f>TEXT(B155,"mmmm")</f>
        <v/>
      </c>
    </row>
    <row r="156" ht="14.25" customHeight="1" s="57">
      <c r="A156" s="56" t="inlineStr">
        <is>
          <t>ORD-00418</t>
        </is>
      </c>
      <c r="B156" s="116" t="n">
        <v>45800</v>
      </c>
      <c r="C156" s="56" t="n">
        <v>2025</v>
      </c>
      <c r="D156" s="56" t="n">
        <v>5</v>
      </c>
      <c r="E156" s="56" t="inlineStr">
        <is>
          <t>Saudi Arabia</t>
        </is>
      </c>
      <c r="F156" s="56" t="inlineStr">
        <is>
          <t>Riyadh</t>
        </is>
      </c>
      <c r="G156" s="56" t="inlineStr">
        <is>
          <t>Google Ads</t>
        </is>
      </c>
      <c r="H156" s="56" t="inlineStr">
        <is>
          <t>Launch Test</t>
        </is>
      </c>
      <c r="I156" s="56" t="inlineStr">
        <is>
          <t>P007</t>
        </is>
      </c>
      <c r="J156" s="56" t="inlineStr">
        <is>
          <t>Pet Grooming Glove</t>
        </is>
      </c>
      <c r="K156" s="56" t="inlineStr">
        <is>
          <t>Pets</t>
        </is>
      </c>
      <c r="L156" s="56" t="inlineStr">
        <is>
          <t>Yiwu Pet Products</t>
        </is>
      </c>
      <c r="M156" s="56" t="n">
        <v>18</v>
      </c>
      <c r="N156" s="56" t="n">
        <v>3.65</v>
      </c>
      <c r="O156" s="56" t="n">
        <v>2.44</v>
      </c>
      <c r="P156" s="56" t="n">
        <v>0.03</v>
      </c>
      <c r="Q156" s="56" t="n">
        <v>12.01</v>
      </c>
      <c r="R156" s="56" t="n">
        <v>2</v>
      </c>
      <c r="S156" s="56">
        <f>IF(AC156="Cancelled",0,M156*R156)</f>
        <v/>
      </c>
      <c r="T156" s="56">
        <f>IF(AC156="Cancelled",0,N156*R156)</f>
        <v/>
      </c>
      <c r="U156" s="56">
        <f>IF(AC156="Cancelled",0,O156*R156)</f>
        <v/>
      </c>
      <c r="V156" s="56">
        <f>IF(AC156="Cancelled",0,ROUND(P156*S156,2))</f>
        <v/>
      </c>
      <c r="W156" s="56" t="inlineStr">
        <is>
          <t>No</t>
        </is>
      </c>
      <c r="X156" s="56" t="n">
        <v>0</v>
      </c>
      <c r="Y156" s="56">
        <f>IF(AC156="Cancelled",0,T156+U156+V156+Q156+X156)</f>
        <v/>
      </c>
      <c r="Z156" s="56">
        <f>IF(AC156="Cancelled",-Q156,S156-Y156)</f>
        <v/>
      </c>
      <c r="AA156" s="56">
        <f>IF(OR(AC156="Cancelled",S156=0),0,Z156/S156)</f>
        <v/>
      </c>
      <c r="AB156" s="56">
        <f>IFERROR(IF(Q156=0,0,S156/Q156),0)</f>
        <v/>
      </c>
      <c r="AC156" s="56" t="inlineStr">
        <is>
          <t>Delivered</t>
        </is>
      </c>
      <c r="AD156" s="56">
        <f>IF(Z156&lt;=0,"Low Profit",IF(Z156&gt;=50,"HighProfit","Medium Profit"))</f>
        <v/>
      </c>
      <c r="AE156" s="56">
        <f>TEXT(B156,"mmmm")</f>
        <v/>
      </c>
    </row>
    <row r="157" ht="14.25" customHeight="1" s="57">
      <c r="A157" s="56" t="inlineStr">
        <is>
          <t>ORD-00454</t>
        </is>
      </c>
      <c r="B157" s="116" t="n">
        <v>45800</v>
      </c>
      <c r="C157" s="56" t="n">
        <v>2025</v>
      </c>
      <c r="D157" s="56" t="n">
        <v>5</v>
      </c>
      <c r="E157" s="56" t="inlineStr">
        <is>
          <t>Saudi Arabia</t>
        </is>
      </c>
      <c r="F157" s="56" t="inlineStr">
        <is>
          <t>Jeddah</t>
        </is>
      </c>
      <c r="G157" s="56" t="inlineStr">
        <is>
          <t>Influencer</t>
        </is>
      </c>
      <c r="H157" s="56" t="inlineStr">
        <is>
          <t>Bundle Promo</t>
        </is>
      </c>
      <c r="I157" s="56" t="inlineStr">
        <is>
          <t>P002</t>
        </is>
      </c>
      <c r="J157" s="56" t="inlineStr">
        <is>
          <t>Phone Case</t>
        </is>
      </c>
      <c r="K157" s="56" t="inlineStr">
        <is>
          <t>Accessories</t>
        </is>
      </c>
      <c r="L157" s="56" t="inlineStr">
        <is>
          <t>Guangzhou Cases Ltd.</t>
        </is>
      </c>
      <c r="M157" s="56" t="n">
        <v>14.77</v>
      </c>
      <c r="N157" s="56" t="n">
        <v>2.16</v>
      </c>
      <c r="O157" s="56" t="n">
        <v>2.14</v>
      </c>
      <c r="P157" s="56" t="n">
        <v>0.03</v>
      </c>
      <c r="Q157" s="56" t="n">
        <v>8.279999999999999</v>
      </c>
      <c r="R157" s="56" t="n">
        <v>1</v>
      </c>
      <c r="S157" s="56">
        <f>IF(AC157="Cancelled",0,M157*R157)</f>
        <v/>
      </c>
      <c r="T157" s="56">
        <f>IF(AC157="Cancelled",0,N157*R157)</f>
        <v/>
      </c>
      <c r="U157" s="56">
        <f>IF(AC157="Cancelled",0,O157*R157)</f>
        <v/>
      </c>
      <c r="V157" s="56">
        <f>IF(AC157="Cancelled",0,ROUND(P157*S157,2))</f>
        <v/>
      </c>
      <c r="W157" s="56" t="inlineStr">
        <is>
          <t>No</t>
        </is>
      </c>
      <c r="X157" s="56" t="n">
        <v>0</v>
      </c>
      <c r="Y157" s="56">
        <f>IF(AC157="Cancelled",0,T157+U157+V157+Q157+X157)</f>
        <v/>
      </c>
      <c r="Z157" s="56">
        <f>IF(AC157="Cancelled",-Q157,S157-Y157)</f>
        <v/>
      </c>
      <c r="AA157" s="56">
        <f>IF(OR(AC157="Cancelled",S157=0),0,Z157/S157)</f>
        <v/>
      </c>
      <c r="AB157" s="56">
        <f>IFERROR(IF(Q157=0,0,S157/Q157),0)</f>
        <v/>
      </c>
      <c r="AC157" s="56" t="inlineStr">
        <is>
          <t>Cancelled</t>
        </is>
      </c>
      <c r="AD157" s="56">
        <f>IF(Z157&lt;=0,"Low Profit",IF(Z157&gt;=50,"HighProfit","Medium Profit"))</f>
        <v/>
      </c>
      <c r="AE157" s="56">
        <f>TEXT(B157,"mmmm")</f>
        <v/>
      </c>
    </row>
    <row r="158" ht="14.25" customHeight="1" s="57">
      <c r="A158" s="56" t="inlineStr">
        <is>
          <t>ORD-00003</t>
        </is>
      </c>
      <c r="B158" s="116" t="n">
        <v>45803</v>
      </c>
      <c r="C158" s="56" t="n">
        <v>2025</v>
      </c>
      <c r="D158" s="56" t="n">
        <v>5</v>
      </c>
      <c r="E158" s="56" t="inlineStr">
        <is>
          <t>UAE</t>
        </is>
      </c>
      <c r="F158" s="56" t="inlineStr">
        <is>
          <t>Sharjah</t>
        </is>
      </c>
      <c r="G158" s="56" t="inlineStr">
        <is>
          <t>Google Ads</t>
        </is>
      </c>
      <c r="H158" s="56" t="inlineStr">
        <is>
          <t>New Creative A/B</t>
        </is>
      </c>
      <c r="I158" s="56" t="inlineStr">
        <is>
          <t>P005</t>
        </is>
      </c>
      <c r="J158" s="56" t="inlineStr">
        <is>
          <t>Mini Printer</t>
        </is>
      </c>
      <c r="K158" s="56" t="inlineStr">
        <is>
          <t>Electronics</t>
        </is>
      </c>
      <c r="L158" s="56" t="inlineStr">
        <is>
          <t>Shenzhen Print Tech</t>
        </is>
      </c>
      <c r="M158" s="56" t="n">
        <v>55.75</v>
      </c>
      <c r="N158" s="56" t="n">
        <v>23.1</v>
      </c>
      <c r="O158" s="56" t="n">
        <v>8.02</v>
      </c>
      <c r="P158" s="56" t="n">
        <v>0.03</v>
      </c>
      <c r="Q158" s="56" t="n">
        <v>20.42</v>
      </c>
      <c r="R158" s="56" t="n">
        <v>2</v>
      </c>
      <c r="S158" s="56">
        <f>IF(AC158="Cancelled",0,M158*R158)</f>
        <v/>
      </c>
      <c r="T158" s="56">
        <f>IF(AC158="Cancelled",0,N158*R158)</f>
        <v/>
      </c>
      <c r="U158" s="56">
        <f>IF(AC158="Cancelled",0,O158*R158)</f>
        <v/>
      </c>
      <c r="V158" s="56">
        <f>IF(AC158="Cancelled",0,ROUND(P158*S158,2))</f>
        <v/>
      </c>
      <c r="W158" s="56" t="inlineStr">
        <is>
          <t>No</t>
        </is>
      </c>
      <c r="X158" s="56" t="n">
        <v>0</v>
      </c>
      <c r="Y158" s="56">
        <f>IF(AC158="Cancelled",0,T158+U158+V158+Q158+X158)</f>
        <v/>
      </c>
      <c r="Z158" s="56">
        <f>IF(AC158="Cancelled",-Q158,S158-Y158)</f>
        <v/>
      </c>
      <c r="AA158" s="56">
        <f>IF(OR(AC158="Cancelled",S158=0),0,Z158/S158)</f>
        <v/>
      </c>
      <c r="AB158" s="56">
        <f>IFERROR(IF(Q158=0,0,S158/Q158),0)</f>
        <v/>
      </c>
      <c r="AC158" s="56" t="inlineStr">
        <is>
          <t>Delivered</t>
        </is>
      </c>
      <c r="AD158" s="56">
        <f>IF(Z158&lt;=0,"Low Profit",IF(Z158&gt;=50,"HighProfit","Medium Profit"))</f>
        <v/>
      </c>
      <c r="AE158" s="56">
        <f>TEXT(B158,"mmmm")</f>
        <v/>
      </c>
    </row>
    <row r="159" ht="14.25" customHeight="1" s="57">
      <c r="A159" s="56" t="inlineStr">
        <is>
          <t>ORD-00330</t>
        </is>
      </c>
      <c r="B159" s="116" t="n">
        <v>45804</v>
      </c>
      <c r="C159" s="56" t="n">
        <v>2025</v>
      </c>
      <c r="D159" s="56" t="n">
        <v>5</v>
      </c>
      <c r="E159" s="56" t="inlineStr">
        <is>
          <t>Saudi Arabia</t>
        </is>
      </c>
      <c r="F159" s="56" t="inlineStr">
        <is>
          <t>Riyadh</t>
        </is>
      </c>
      <c r="G159" s="56" t="inlineStr">
        <is>
          <t>Meta Ads</t>
        </is>
      </c>
      <c r="H159" s="56" t="inlineStr">
        <is>
          <t>Launch Test</t>
        </is>
      </c>
      <c r="I159" s="56" t="inlineStr">
        <is>
          <t>P007</t>
        </is>
      </c>
      <c r="J159" s="56" t="inlineStr">
        <is>
          <t>Pet Grooming Glove</t>
        </is>
      </c>
      <c r="K159" s="56" t="inlineStr">
        <is>
          <t>Pets</t>
        </is>
      </c>
      <c r="L159" s="56" t="inlineStr">
        <is>
          <t>Yiwu Pet Products</t>
        </is>
      </c>
      <c r="M159" s="56" t="n">
        <v>20.88</v>
      </c>
      <c r="N159" s="56" t="n">
        <v>3.61</v>
      </c>
      <c r="O159" s="56" t="n">
        <v>2.45</v>
      </c>
      <c r="P159" s="56" t="n">
        <v>0.03</v>
      </c>
      <c r="Q159" s="56" t="n">
        <v>10.84</v>
      </c>
      <c r="R159" s="56" t="n">
        <v>3</v>
      </c>
      <c r="S159" s="56">
        <f>IF(AC159="Cancelled",0,M159*R159)</f>
        <v/>
      </c>
      <c r="T159" s="56">
        <f>IF(AC159="Cancelled",0,N159*R159)</f>
        <v/>
      </c>
      <c r="U159" s="56">
        <f>IF(AC159="Cancelled",0,O159*R159)</f>
        <v/>
      </c>
      <c r="V159" s="56">
        <f>IF(AC159="Cancelled",0,ROUND(P159*S159,2))</f>
        <v/>
      </c>
      <c r="W159" s="56" t="inlineStr">
        <is>
          <t>No</t>
        </is>
      </c>
      <c r="X159" s="56" t="n">
        <v>0</v>
      </c>
      <c r="Y159" s="56">
        <f>IF(AC159="Cancelled",0,T159+U159+V159+Q159+X159)</f>
        <v/>
      </c>
      <c r="Z159" s="56">
        <f>IF(AC159="Cancelled",-Q159,S159-Y159)</f>
        <v/>
      </c>
      <c r="AA159" s="56">
        <f>IF(OR(AC159="Cancelled",S159=0),0,Z159/S159)</f>
        <v/>
      </c>
      <c r="AB159" s="56">
        <f>IFERROR(IF(Q159=0,0,S159/Q159),0)</f>
        <v/>
      </c>
      <c r="AC159" s="56" t="inlineStr">
        <is>
          <t>Delivered</t>
        </is>
      </c>
      <c r="AD159" s="56">
        <f>IF(Z159&lt;=0,"Low Profit",IF(Z159&gt;=50,"HighProfit","Medium Profit"))</f>
        <v/>
      </c>
      <c r="AE159" s="56">
        <f>TEXT(B159,"mmmm")</f>
        <v/>
      </c>
    </row>
    <row r="160" ht="14.25" customHeight="1" s="57">
      <c r="A160" s="56" t="inlineStr">
        <is>
          <t>ORD-00344</t>
        </is>
      </c>
      <c r="B160" s="116" t="n">
        <v>45804</v>
      </c>
      <c r="C160" s="56" t="n">
        <v>2025</v>
      </c>
      <c r="D160" s="56" t="n">
        <v>5</v>
      </c>
      <c r="E160" s="56" t="inlineStr">
        <is>
          <t>UAE</t>
        </is>
      </c>
      <c r="F160" s="56" t="inlineStr">
        <is>
          <t>Sharjah</t>
        </is>
      </c>
      <c r="G160" s="56" t="inlineStr">
        <is>
          <t>Email</t>
        </is>
      </c>
      <c r="H160" s="56" t="inlineStr">
        <is>
          <t>Retargeting</t>
        </is>
      </c>
      <c r="I160" s="56" t="inlineStr">
        <is>
          <t>P010</t>
        </is>
      </c>
      <c r="J160" s="56" t="inlineStr">
        <is>
          <t>Smart Water Bottle</t>
        </is>
      </c>
      <c r="K160" s="56" t="inlineStr">
        <is>
          <t>Lifestyle</t>
        </is>
      </c>
      <c r="L160" s="56" t="inlineStr">
        <is>
          <t>Shenzhen Smart Home</t>
        </is>
      </c>
      <c r="M160" s="56" t="n">
        <v>32.92</v>
      </c>
      <c r="N160" s="56" t="n">
        <v>10.66</v>
      </c>
      <c r="O160" s="56" t="n">
        <v>4.41</v>
      </c>
      <c r="P160" s="56" t="n">
        <v>0.03</v>
      </c>
      <c r="Q160" s="56" t="n">
        <v>5.28</v>
      </c>
      <c r="R160" s="56" t="n">
        <v>1</v>
      </c>
      <c r="S160" s="56">
        <f>IF(AC160="Cancelled",0,M160*R160)</f>
        <v/>
      </c>
      <c r="T160" s="56">
        <f>IF(AC160="Cancelled",0,N160*R160)</f>
        <v/>
      </c>
      <c r="U160" s="56">
        <f>IF(AC160="Cancelled",0,O160*R160)</f>
        <v/>
      </c>
      <c r="V160" s="56">
        <f>IF(AC160="Cancelled",0,ROUND(P160*S160,2))</f>
        <v/>
      </c>
      <c r="W160" s="56" t="inlineStr">
        <is>
          <t>No</t>
        </is>
      </c>
      <c r="X160" s="56" t="n">
        <v>0</v>
      </c>
      <c r="Y160" s="56">
        <f>IF(AC160="Cancelled",0,T160+U160+V160+Q160+X160)</f>
        <v/>
      </c>
      <c r="Z160" s="56">
        <f>IF(AC160="Cancelled",-Q160,S160-Y160)</f>
        <v/>
      </c>
      <c r="AA160" s="56">
        <f>IF(OR(AC160="Cancelled",S160=0),0,Z160/S160)</f>
        <v/>
      </c>
      <c r="AB160" s="56">
        <f>IFERROR(IF(Q160=0,0,S160/Q160),0)</f>
        <v/>
      </c>
      <c r="AC160" s="56" t="inlineStr">
        <is>
          <t>Delivered</t>
        </is>
      </c>
      <c r="AD160" s="56">
        <f>IF(Z160&lt;=0,"Low Profit",IF(Z160&gt;=50,"HighProfit","Medium Profit"))</f>
        <v/>
      </c>
      <c r="AE160" s="56">
        <f>TEXT(B160,"mmmm")</f>
        <v/>
      </c>
    </row>
    <row r="161" ht="14.25" customHeight="1" s="57">
      <c r="A161" s="56" t="inlineStr">
        <is>
          <t>ORD-00240</t>
        </is>
      </c>
      <c r="B161" s="116" t="n">
        <v>45805</v>
      </c>
      <c r="C161" s="56" t="n">
        <v>2025</v>
      </c>
      <c r="D161" s="56" t="n">
        <v>5</v>
      </c>
      <c r="E161" s="56" t="inlineStr">
        <is>
          <t>UAE</t>
        </is>
      </c>
      <c r="F161" s="56" t="inlineStr">
        <is>
          <t>Abu Dhabi</t>
        </is>
      </c>
      <c r="G161" s="56" t="inlineStr">
        <is>
          <t>TikTok Ads</t>
        </is>
      </c>
      <c r="H161" s="56" t="inlineStr">
        <is>
          <t>Bundle Promo</t>
        </is>
      </c>
      <c r="I161" s="56" t="inlineStr">
        <is>
          <t>P004</t>
        </is>
      </c>
      <c r="J161" s="56" t="inlineStr">
        <is>
          <t>Beauty Tool</t>
        </is>
      </c>
      <c r="K161" s="56" t="inlineStr">
        <is>
          <t>Beauty</t>
        </is>
      </c>
      <c r="L161" s="56" t="inlineStr">
        <is>
          <t>Ningbo Beauty Supply</t>
        </is>
      </c>
      <c r="M161" s="56" t="n">
        <v>29.12</v>
      </c>
      <c r="N161" s="56" t="n">
        <v>7.17</v>
      </c>
      <c r="O161" s="56" t="n">
        <v>5.08</v>
      </c>
      <c r="P161" s="56" t="n">
        <v>0.03</v>
      </c>
      <c r="Q161" s="56" t="n">
        <v>16.73</v>
      </c>
      <c r="R161" s="56" t="n">
        <v>2</v>
      </c>
      <c r="S161" s="56">
        <f>IF(AC161="Cancelled",0,M161*R161)</f>
        <v/>
      </c>
      <c r="T161" s="56">
        <f>IF(AC161="Cancelled",0,N161*R161)</f>
        <v/>
      </c>
      <c r="U161" s="56">
        <f>IF(AC161="Cancelled",0,O161*R161)</f>
        <v/>
      </c>
      <c r="V161" s="56">
        <f>IF(AC161="Cancelled",0,ROUND(P161*S161,2))</f>
        <v/>
      </c>
      <c r="W161" s="56" t="inlineStr">
        <is>
          <t>No</t>
        </is>
      </c>
      <c r="X161" s="56" t="n">
        <v>0</v>
      </c>
      <c r="Y161" s="56">
        <f>IF(AC161="Cancelled",0,T161+U161+V161+Q161+X161)</f>
        <v/>
      </c>
      <c r="Z161" s="56">
        <f>IF(AC161="Cancelled",-Q161,S161-Y161)</f>
        <v/>
      </c>
      <c r="AA161" s="56">
        <f>IF(OR(AC161="Cancelled",S161=0),0,Z161/S161)</f>
        <v/>
      </c>
      <c r="AB161" s="56">
        <f>IFERROR(IF(Q161=0,0,S161/Q161),0)</f>
        <v/>
      </c>
      <c r="AC161" s="56" t="inlineStr">
        <is>
          <t>Delivered</t>
        </is>
      </c>
      <c r="AD161" s="56">
        <f>IF(Z161&lt;=0,"Low Profit",IF(Z161&gt;=50,"HighProfit","Medium Profit"))</f>
        <v/>
      </c>
      <c r="AE161" s="56">
        <f>TEXT(B161,"mmmm")</f>
        <v/>
      </c>
    </row>
    <row r="162" ht="14.25" customHeight="1" s="57">
      <c r="A162" s="56" t="inlineStr">
        <is>
          <t>ORD-00073</t>
        </is>
      </c>
      <c r="B162" s="116" t="n">
        <v>45807</v>
      </c>
      <c r="C162" s="56" t="n">
        <v>2025</v>
      </c>
      <c r="D162" s="56" t="n">
        <v>5</v>
      </c>
      <c r="E162" s="56" t="inlineStr">
        <is>
          <t>Oman</t>
        </is>
      </c>
      <c r="F162" s="56" t="inlineStr">
        <is>
          <t>Muscat</t>
        </is>
      </c>
      <c r="G162" s="56" t="inlineStr">
        <is>
          <t>Influencer</t>
        </is>
      </c>
      <c r="H162" s="56" t="inlineStr">
        <is>
          <t>New Creative A/B</t>
        </is>
      </c>
      <c r="I162" s="56" t="inlineStr">
        <is>
          <t>P010</t>
        </is>
      </c>
      <c r="J162" s="56" t="inlineStr">
        <is>
          <t>Smart Water Bottle</t>
        </is>
      </c>
      <c r="K162" s="56" t="inlineStr">
        <is>
          <t>Lifestyle</t>
        </is>
      </c>
      <c r="L162" s="56" t="inlineStr">
        <is>
          <t>Shenzhen Smart Home</t>
        </is>
      </c>
      <c r="M162" s="56" t="n">
        <v>36.11</v>
      </c>
      <c r="N162" s="56" t="n">
        <v>10.42</v>
      </c>
      <c r="O162" s="56" t="n">
        <v>4.48</v>
      </c>
      <c r="P162" s="56" t="n">
        <v>0.03</v>
      </c>
      <c r="Q162" s="56" t="n">
        <v>7.2</v>
      </c>
      <c r="R162" s="56" t="n">
        <v>1</v>
      </c>
      <c r="S162" s="56">
        <f>IF(AC162="Cancelled",0,M162*R162)</f>
        <v/>
      </c>
      <c r="T162" s="56">
        <f>IF(AC162="Cancelled",0,N162*R162)</f>
        <v/>
      </c>
      <c r="U162" s="56">
        <f>IF(AC162="Cancelled",0,O162*R162)</f>
        <v/>
      </c>
      <c r="V162" s="56">
        <f>IF(AC162="Cancelled",0,ROUND(P162*S162,2))</f>
        <v/>
      </c>
      <c r="W162" s="56" t="inlineStr">
        <is>
          <t>No</t>
        </is>
      </c>
      <c r="X162" s="56" t="n">
        <v>0</v>
      </c>
      <c r="Y162" s="56">
        <f>IF(AC162="Cancelled",0,T162+U162+V162+Q162+X162)</f>
        <v/>
      </c>
      <c r="Z162" s="56">
        <f>IF(AC162="Cancelled",-Q162,S162-Y162)</f>
        <v/>
      </c>
      <c r="AA162" s="56">
        <f>IF(OR(AC162="Cancelled",S162=0),0,Z162/S162)</f>
        <v/>
      </c>
      <c r="AB162" s="56">
        <f>IFERROR(IF(Q162=0,0,S162/Q162),0)</f>
        <v/>
      </c>
      <c r="AC162" s="56" t="inlineStr">
        <is>
          <t>Delivered</t>
        </is>
      </c>
      <c r="AD162" s="56">
        <f>IF(Z162&lt;=0,"Low Profit",IF(Z162&gt;=50,"HighProfit","Medium Profit"))</f>
        <v/>
      </c>
      <c r="AE162" s="56">
        <f>TEXT(B162,"mmmm")</f>
        <v/>
      </c>
    </row>
    <row r="163" ht="14.25" customHeight="1" s="57">
      <c r="A163" s="56" t="inlineStr">
        <is>
          <t>ORD-00089</t>
        </is>
      </c>
      <c r="B163" s="116" t="n">
        <v>45807</v>
      </c>
      <c r="C163" s="56" t="n">
        <v>2025</v>
      </c>
      <c r="D163" s="56" t="n">
        <v>5</v>
      </c>
      <c r="E163" s="56" t="inlineStr">
        <is>
          <t>Saudi Arabia</t>
        </is>
      </c>
      <c r="F163" s="56" t="inlineStr">
        <is>
          <t>Jeddah</t>
        </is>
      </c>
      <c r="G163" s="56" t="inlineStr">
        <is>
          <t>TikTok Ads</t>
        </is>
      </c>
      <c r="H163" s="56" t="inlineStr">
        <is>
          <t>New Creative A/B</t>
        </is>
      </c>
      <c r="I163" s="56" t="inlineStr">
        <is>
          <t>P001</t>
        </is>
      </c>
      <c r="J163" s="56" t="inlineStr">
        <is>
          <t>Wireless Earbuds</t>
        </is>
      </c>
      <c r="K163" s="56" t="inlineStr">
        <is>
          <t>Electronics</t>
        </is>
      </c>
      <c r="L163" s="56" t="inlineStr">
        <is>
          <t>Shenzhen Audio Co.</t>
        </is>
      </c>
      <c r="M163" s="56" t="n">
        <v>39.09</v>
      </c>
      <c r="N163" s="56" t="n">
        <v>8.550000000000001</v>
      </c>
      <c r="O163" s="56" t="n">
        <v>3.71</v>
      </c>
      <c r="P163" s="56" t="n">
        <v>0.03</v>
      </c>
      <c r="Q163" s="56" t="n">
        <v>18.13</v>
      </c>
      <c r="R163" s="56" t="n">
        <v>2</v>
      </c>
      <c r="S163" s="56">
        <f>IF(AC163="Cancelled",0,M163*R163)</f>
        <v/>
      </c>
      <c r="T163" s="56">
        <f>IF(AC163="Cancelled",0,N163*R163)</f>
        <v/>
      </c>
      <c r="U163" s="56">
        <f>IF(AC163="Cancelled",0,O163*R163)</f>
        <v/>
      </c>
      <c r="V163" s="56">
        <f>IF(AC163="Cancelled",0,ROUND(P163*S163,2))</f>
        <v/>
      </c>
      <c r="W163" s="56" t="inlineStr">
        <is>
          <t>No</t>
        </is>
      </c>
      <c r="X163" s="56" t="n">
        <v>0</v>
      </c>
      <c r="Y163" s="56">
        <f>IF(AC163="Cancelled",0,T163+U163+V163+Q163+X163)</f>
        <v/>
      </c>
      <c r="Z163" s="56">
        <f>IF(AC163="Cancelled",-Q163,S163-Y163)</f>
        <v/>
      </c>
      <c r="AA163" s="56">
        <f>IF(OR(AC163="Cancelled",S163=0),0,Z163/S163)</f>
        <v/>
      </c>
      <c r="AB163" s="56">
        <f>IFERROR(IF(Q163=0,0,S163/Q163),0)</f>
        <v/>
      </c>
      <c r="AC163" s="56" t="inlineStr">
        <is>
          <t>Delivered</t>
        </is>
      </c>
      <c r="AD163" s="56">
        <f>IF(Z163&lt;=0,"Low Profit",IF(Z163&gt;=50,"HighProfit","Medium Profit"))</f>
        <v/>
      </c>
      <c r="AE163" s="56">
        <f>TEXT(B163,"mmmm")</f>
        <v/>
      </c>
    </row>
    <row r="164" ht="14.25" customHeight="1" s="57">
      <c r="A164" s="56" t="inlineStr">
        <is>
          <t>ORD-00161</t>
        </is>
      </c>
      <c r="B164" s="116" t="n">
        <v>45807</v>
      </c>
      <c r="C164" s="56" t="n">
        <v>2025</v>
      </c>
      <c r="D164" s="56" t="n">
        <v>5</v>
      </c>
      <c r="E164" s="56" t="inlineStr">
        <is>
          <t>Oman</t>
        </is>
      </c>
      <c r="F164" s="56" t="inlineStr">
        <is>
          <t>Muscat</t>
        </is>
      </c>
      <c r="G164" s="56" t="inlineStr">
        <is>
          <t>TikTok Ads</t>
        </is>
      </c>
      <c r="H164" s="56" t="inlineStr">
        <is>
          <t>Summer Sale</t>
        </is>
      </c>
      <c r="I164" s="56" t="inlineStr">
        <is>
          <t>P010</t>
        </is>
      </c>
      <c r="J164" s="56" t="inlineStr">
        <is>
          <t>Smart Water Bottle</t>
        </is>
      </c>
      <c r="K164" s="56" t="inlineStr">
        <is>
          <t>Lifestyle</t>
        </is>
      </c>
      <c r="L164" s="56" t="inlineStr">
        <is>
          <t>Shenzhen Smart Home</t>
        </is>
      </c>
      <c r="M164" s="56" t="n">
        <v>30.87</v>
      </c>
      <c r="N164" s="56" t="n">
        <v>9.85</v>
      </c>
      <c r="O164" s="56" t="n">
        <v>3.62</v>
      </c>
      <c r="P164" s="56" t="n">
        <v>0.03</v>
      </c>
      <c r="Q164" s="56" t="n">
        <v>8.51</v>
      </c>
      <c r="R164" s="56" t="n">
        <v>1</v>
      </c>
      <c r="S164" s="56">
        <f>IF(AC164="Cancelled",0,M164*R164)</f>
        <v/>
      </c>
      <c r="T164" s="56">
        <f>IF(AC164="Cancelled",0,N164*R164)</f>
        <v/>
      </c>
      <c r="U164" s="56">
        <f>IF(AC164="Cancelled",0,O164*R164)</f>
        <v/>
      </c>
      <c r="V164" s="56">
        <f>IF(AC164="Cancelled",0,ROUND(P164*S164,2))</f>
        <v/>
      </c>
      <c r="W164" s="56" t="inlineStr">
        <is>
          <t>No</t>
        </is>
      </c>
      <c r="X164" s="56" t="n">
        <v>0</v>
      </c>
      <c r="Y164" s="56">
        <f>IF(AC164="Cancelled",0,T164+U164+V164+Q164+X164)</f>
        <v/>
      </c>
      <c r="Z164" s="56">
        <f>IF(AC164="Cancelled",-Q164,S164-Y164)</f>
        <v/>
      </c>
      <c r="AA164" s="56">
        <f>IF(OR(AC164="Cancelled",S164=0),0,Z164/S164)</f>
        <v/>
      </c>
      <c r="AB164" s="56">
        <f>IFERROR(IF(Q164=0,0,S164/Q164),0)</f>
        <v/>
      </c>
      <c r="AC164" s="56" t="inlineStr">
        <is>
          <t>Delivered</t>
        </is>
      </c>
      <c r="AD164" s="56">
        <f>IF(Z164&lt;=0,"Low Profit",IF(Z164&gt;=50,"HighProfit","Medium Profit"))</f>
        <v/>
      </c>
      <c r="AE164" s="56">
        <f>TEXT(B164,"mmmm")</f>
        <v/>
      </c>
    </row>
    <row r="165" ht="14.25" customHeight="1" s="57">
      <c r="A165" s="56" t="inlineStr">
        <is>
          <t>ORD-00244</t>
        </is>
      </c>
      <c r="B165" s="116" t="n">
        <v>45807</v>
      </c>
      <c r="C165" s="56" t="n">
        <v>2025</v>
      </c>
      <c r="D165" s="56" t="n">
        <v>5</v>
      </c>
      <c r="E165" s="56" t="inlineStr">
        <is>
          <t>Kuwait</t>
        </is>
      </c>
      <c r="F165" s="56" t="inlineStr">
        <is>
          <t>Kuwait City</t>
        </is>
      </c>
      <c r="G165" s="56" t="inlineStr">
        <is>
          <t>TikTok Ads</t>
        </is>
      </c>
      <c r="H165" s="56" t="inlineStr">
        <is>
          <t>Retargeting</t>
        </is>
      </c>
      <c r="I165" s="56" t="inlineStr">
        <is>
          <t>P001</t>
        </is>
      </c>
      <c r="J165" s="56" t="inlineStr">
        <is>
          <t>Wireless Earbuds</t>
        </is>
      </c>
      <c r="K165" s="56" t="inlineStr">
        <is>
          <t>Electronics</t>
        </is>
      </c>
      <c r="L165" s="56" t="inlineStr">
        <is>
          <t>Shenzhen Audio Co.</t>
        </is>
      </c>
      <c r="M165" s="56" t="n">
        <v>42.22</v>
      </c>
      <c r="N165" s="56" t="n">
        <v>8.82</v>
      </c>
      <c r="O165" s="56" t="n">
        <v>4.3</v>
      </c>
      <c r="P165" s="56" t="n">
        <v>0.03</v>
      </c>
      <c r="Q165" s="56" t="n">
        <v>9.82</v>
      </c>
      <c r="R165" s="56" t="n">
        <v>1</v>
      </c>
      <c r="S165" s="56">
        <f>IF(AC165="Cancelled",0,M165*R165)</f>
        <v/>
      </c>
      <c r="T165" s="56">
        <f>IF(AC165="Cancelled",0,N165*R165)</f>
        <v/>
      </c>
      <c r="U165" s="56">
        <f>IF(AC165="Cancelled",0,O165*R165)</f>
        <v/>
      </c>
      <c r="V165" s="56">
        <f>IF(AC165="Cancelled",0,ROUND(P165*S165,2))</f>
        <v/>
      </c>
      <c r="W165" s="56" t="inlineStr">
        <is>
          <t>No</t>
        </is>
      </c>
      <c r="X165" s="56" t="n">
        <v>0</v>
      </c>
      <c r="Y165" s="56">
        <f>IF(AC165="Cancelled",0,T165+U165+V165+Q165+X165)</f>
        <v/>
      </c>
      <c r="Z165" s="56">
        <f>IF(AC165="Cancelled",-Q165,S165-Y165)</f>
        <v/>
      </c>
      <c r="AA165" s="56">
        <f>IF(OR(AC165="Cancelled",S165=0),0,Z165/S165)</f>
        <v/>
      </c>
      <c r="AB165" s="56">
        <f>IFERROR(IF(Q165=0,0,S165/Q165),0)</f>
        <v/>
      </c>
      <c r="AC165" s="56" t="inlineStr">
        <is>
          <t>Delivered</t>
        </is>
      </c>
      <c r="AD165" s="56">
        <f>IF(Z165&lt;=0,"Low Profit",IF(Z165&gt;=50,"HighProfit","Medium Profit"))</f>
        <v/>
      </c>
      <c r="AE165" s="56">
        <f>TEXT(B165,"mmmm")</f>
        <v/>
      </c>
    </row>
    <row r="166" ht="14.25" customHeight="1" s="57">
      <c r="A166" s="56" t="inlineStr">
        <is>
          <t>ORD-00289</t>
        </is>
      </c>
      <c r="B166" s="116" t="n">
        <v>45807</v>
      </c>
      <c r="C166" s="56" t="n">
        <v>2025</v>
      </c>
      <c r="D166" s="56" t="n">
        <v>5</v>
      </c>
      <c r="E166" s="56" t="inlineStr">
        <is>
          <t>Saudi Arabia</t>
        </is>
      </c>
      <c r="F166" s="56" t="inlineStr">
        <is>
          <t>Jeddah</t>
        </is>
      </c>
      <c r="G166" s="56" t="inlineStr">
        <is>
          <t>TikTok Ads</t>
        </is>
      </c>
      <c r="H166" s="56" t="inlineStr">
        <is>
          <t>Summer Sale</t>
        </is>
      </c>
      <c r="I166" s="56" t="inlineStr">
        <is>
          <t>P005</t>
        </is>
      </c>
      <c r="J166" s="56" t="inlineStr">
        <is>
          <t>Mini Printer</t>
        </is>
      </c>
      <c r="K166" s="56" t="inlineStr">
        <is>
          <t>Electronics</t>
        </is>
      </c>
      <c r="L166" s="56" t="inlineStr">
        <is>
          <t>Shenzhen Print Tech</t>
        </is>
      </c>
      <c r="M166" s="56" t="n">
        <v>63.57</v>
      </c>
      <c r="N166" s="56" t="n">
        <v>22.29</v>
      </c>
      <c r="O166" s="56" t="n">
        <v>7.14</v>
      </c>
      <c r="P166" s="56" t="n">
        <v>0.03</v>
      </c>
      <c r="Q166" s="56" t="n">
        <v>15.42</v>
      </c>
      <c r="R166" s="56" t="n">
        <v>3</v>
      </c>
      <c r="S166" s="56">
        <f>IF(AC166="Cancelled",0,M166*R166)</f>
        <v/>
      </c>
      <c r="T166" s="56">
        <f>IF(AC166="Cancelled",0,N166*R166)</f>
        <v/>
      </c>
      <c r="U166" s="56">
        <f>IF(AC166="Cancelled",0,O166*R166)</f>
        <v/>
      </c>
      <c r="V166" s="56">
        <f>IF(AC166="Cancelled",0,ROUND(P166*S166,2))</f>
        <v/>
      </c>
      <c r="W166" s="56" t="inlineStr">
        <is>
          <t>No</t>
        </is>
      </c>
      <c r="X166" s="56" t="n">
        <v>0</v>
      </c>
      <c r="Y166" s="56">
        <f>IF(AC166="Cancelled",0,T166+U166+V166+Q166+X166)</f>
        <v/>
      </c>
      <c r="Z166" s="56">
        <f>IF(AC166="Cancelled",-Q166,S166-Y166)</f>
        <v/>
      </c>
      <c r="AA166" s="56">
        <f>IF(OR(AC166="Cancelled",S166=0),0,Z166/S166)</f>
        <v/>
      </c>
      <c r="AB166" s="56">
        <f>IFERROR(IF(Q166=0,0,S166/Q166),0)</f>
        <v/>
      </c>
      <c r="AC166" s="56" t="inlineStr">
        <is>
          <t>Delivered</t>
        </is>
      </c>
      <c r="AD166" s="56">
        <f>IF(Z166&lt;=0,"Low Profit",IF(Z166&gt;=50,"HighProfit","Medium Profit"))</f>
        <v/>
      </c>
      <c r="AE166" s="56">
        <f>TEXT(B166,"mmmm")</f>
        <v/>
      </c>
    </row>
    <row r="167" ht="14.25" customHeight="1" s="57">
      <c r="A167" s="56" t="inlineStr">
        <is>
          <t>ORD-00464</t>
        </is>
      </c>
      <c r="B167" s="116" t="n">
        <v>45807</v>
      </c>
      <c r="C167" s="56" t="n">
        <v>2025</v>
      </c>
      <c r="D167" s="56" t="n">
        <v>5</v>
      </c>
      <c r="E167" s="56" t="inlineStr">
        <is>
          <t>UAE</t>
        </is>
      </c>
      <c r="F167" s="56" t="inlineStr">
        <is>
          <t>Abu Dhabi</t>
        </is>
      </c>
      <c r="G167" s="56" t="inlineStr">
        <is>
          <t>Email</t>
        </is>
      </c>
      <c r="H167" s="56" t="inlineStr">
        <is>
          <t>Summer Sale</t>
        </is>
      </c>
      <c r="I167" s="56" t="inlineStr">
        <is>
          <t>P002</t>
        </is>
      </c>
      <c r="J167" s="56" t="inlineStr">
        <is>
          <t>Phone Case</t>
        </is>
      </c>
      <c r="K167" s="56" t="inlineStr">
        <is>
          <t>Accessories</t>
        </is>
      </c>
      <c r="L167" s="56" t="inlineStr">
        <is>
          <t>Guangzhou Cases Ltd.</t>
        </is>
      </c>
      <c r="M167" s="56" t="n">
        <v>15.88</v>
      </c>
      <c r="N167" s="56" t="n">
        <v>2.15</v>
      </c>
      <c r="O167" s="56" t="n">
        <v>2</v>
      </c>
      <c r="P167" s="56" t="n">
        <v>0.03</v>
      </c>
      <c r="Q167" s="56" t="n">
        <v>14.06</v>
      </c>
      <c r="R167" s="56" t="n">
        <v>2</v>
      </c>
      <c r="S167" s="56">
        <f>IF(AC167="Cancelled",0,M167*R167)</f>
        <v/>
      </c>
      <c r="T167" s="56">
        <f>IF(AC167="Cancelled",0,N167*R167)</f>
        <v/>
      </c>
      <c r="U167" s="56">
        <f>IF(AC167="Cancelled",0,O167*R167)</f>
        <v/>
      </c>
      <c r="V167" s="56">
        <f>IF(AC167="Cancelled",0,ROUND(P167*S167,2))</f>
        <v/>
      </c>
      <c r="W167" s="56" t="inlineStr">
        <is>
          <t>No</t>
        </is>
      </c>
      <c r="X167" s="56" t="n">
        <v>0</v>
      </c>
      <c r="Y167" s="56">
        <f>IF(AC167="Cancelled",0,T167+U167+V167+Q167+X167)</f>
        <v/>
      </c>
      <c r="Z167" s="56">
        <f>IF(AC167="Cancelled",-Q167,S167-Y167)</f>
        <v/>
      </c>
      <c r="AA167" s="56">
        <f>IF(OR(AC167="Cancelled",S167=0),0,Z167/S167)</f>
        <v/>
      </c>
      <c r="AB167" s="56">
        <f>IFERROR(IF(Q167=0,0,S167/Q167),0)</f>
        <v/>
      </c>
      <c r="AC167" s="56" t="inlineStr">
        <is>
          <t>Delivered</t>
        </is>
      </c>
      <c r="AD167" s="56">
        <f>IF(Z167&lt;=0,"Low Profit",IF(Z167&gt;=50,"HighProfit","Medium Profit"))</f>
        <v/>
      </c>
      <c r="AE167" s="56">
        <f>TEXT(B167,"mmmm")</f>
        <v/>
      </c>
    </row>
    <row r="168" ht="14.25" customHeight="1" s="57">
      <c r="A168" s="56" t="inlineStr">
        <is>
          <t>ORD-00170</t>
        </is>
      </c>
      <c r="B168" s="116" t="n">
        <v>45808</v>
      </c>
      <c r="C168" s="56" t="n">
        <v>2025</v>
      </c>
      <c r="D168" s="56" t="n">
        <v>5</v>
      </c>
      <c r="E168" s="56" t="inlineStr">
        <is>
          <t>Oman</t>
        </is>
      </c>
      <c r="F168" s="56" t="inlineStr">
        <is>
          <t>Muscat</t>
        </is>
      </c>
      <c r="G168" s="56" t="inlineStr">
        <is>
          <t>TikTok Ads</t>
        </is>
      </c>
      <c r="H168" s="56" t="inlineStr">
        <is>
          <t>Launch Test</t>
        </is>
      </c>
      <c r="I168" s="56" t="inlineStr">
        <is>
          <t>P001</t>
        </is>
      </c>
      <c r="J168" s="56" t="inlineStr">
        <is>
          <t>Wireless Earbuds</t>
        </is>
      </c>
      <c r="K168" s="56" t="inlineStr">
        <is>
          <t>Electronics</t>
        </is>
      </c>
      <c r="L168" s="56" t="inlineStr">
        <is>
          <t>Shenzhen Audio Co.</t>
        </is>
      </c>
      <c r="M168" s="56" t="n">
        <v>39.19</v>
      </c>
      <c r="N168" s="56" t="n">
        <v>8.4</v>
      </c>
      <c r="O168" s="56" t="n">
        <v>3.69</v>
      </c>
      <c r="P168" s="56" t="n">
        <v>0.03</v>
      </c>
      <c r="Q168" s="56" t="n">
        <v>19.84</v>
      </c>
      <c r="R168" s="56" t="n">
        <v>2</v>
      </c>
      <c r="S168" s="56">
        <f>IF(AC168="Cancelled",0,M168*R168)</f>
        <v/>
      </c>
      <c r="T168" s="56">
        <f>IF(AC168="Cancelled",0,N168*R168)</f>
        <v/>
      </c>
      <c r="U168" s="56">
        <f>IF(AC168="Cancelled",0,O168*R168)</f>
        <v/>
      </c>
      <c r="V168" s="56">
        <f>IF(AC168="Cancelled",0,ROUND(P168*S168,2))</f>
        <v/>
      </c>
      <c r="W168" s="56" t="inlineStr">
        <is>
          <t>No</t>
        </is>
      </c>
      <c r="X168" s="56" t="n">
        <v>0</v>
      </c>
      <c r="Y168" s="56">
        <f>IF(AC168="Cancelled",0,T168+U168+V168+Q168+X168)</f>
        <v/>
      </c>
      <c r="Z168" s="56">
        <f>IF(AC168="Cancelled",-Q168,S168-Y168)</f>
        <v/>
      </c>
      <c r="AA168" s="56">
        <f>IF(OR(AC168="Cancelled",S168=0),0,Z168/S168)</f>
        <v/>
      </c>
      <c r="AB168" s="56">
        <f>IFERROR(IF(Q168=0,0,S168/Q168),0)</f>
        <v/>
      </c>
      <c r="AC168" s="56" t="inlineStr">
        <is>
          <t>Delivered</t>
        </is>
      </c>
      <c r="AD168" s="56">
        <f>IF(Z168&lt;=0,"Low Profit",IF(Z168&gt;=50,"HighProfit","Medium Profit"))</f>
        <v/>
      </c>
      <c r="AE168" s="56">
        <f>TEXT(B168,"mmmm")</f>
        <v/>
      </c>
    </row>
    <row r="169" ht="14.25" customHeight="1" s="57">
      <c r="A169" s="56" t="inlineStr">
        <is>
          <t>ORD-00151</t>
        </is>
      </c>
      <c r="B169" s="116" t="n">
        <v>45810</v>
      </c>
      <c r="C169" s="56" t="n">
        <v>2025</v>
      </c>
      <c r="D169" s="56" t="n">
        <v>6</v>
      </c>
      <c r="E169" s="56" t="inlineStr">
        <is>
          <t>Saudi Arabia</t>
        </is>
      </c>
      <c r="F169" s="56" t="inlineStr">
        <is>
          <t>Riyadh</t>
        </is>
      </c>
      <c r="G169" s="56" t="inlineStr">
        <is>
          <t>Email</t>
        </is>
      </c>
      <c r="H169" s="56" t="inlineStr">
        <is>
          <t>Launch Test</t>
        </is>
      </c>
      <c r="I169" s="56" t="inlineStr">
        <is>
          <t>P001</t>
        </is>
      </c>
      <c r="J169" s="56" t="inlineStr">
        <is>
          <t>Wireless Earbuds</t>
        </is>
      </c>
      <c r="K169" s="56" t="inlineStr">
        <is>
          <t>Electronics</t>
        </is>
      </c>
      <c r="L169" s="56" t="inlineStr">
        <is>
          <t>Shenzhen Audio Co.</t>
        </is>
      </c>
      <c r="M169" s="56" t="n">
        <v>41.76</v>
      </c>
      <c r="N169" s="56" t="n">
        <v>9.050000000000001</v>
      </c>
      <c r="O169" s="56" t="n">
        <v>4.22</v>
      </c>
      <c r="P169" s="56" t="n">
        <v>0.03</v>
      </c>
      <c r="Q169" s="56" t="n">
        <v>19.79</v>
      </c>
      <c r="R169" s="56" t="n">
        <v>2</v>
      </c>
      <c r="S169" s="56">
        <f>IF(AC169="Cancelled",0,M169*R169)</f>
        <v/>
      </c>
      <c r="T169" s="56">
        <f>IF(AC169="Cancelled",0,N169*R169)</f>
        <v/>
      </c>
      <c r="U169" s="56">
        <f>IF(AC169="Cancelled",0,O169*R169)</f>
        <v/>
      </c>
      <c r="V169" s="56">
        <f>IF(AC169="Cancelled",0,ROUND(P169*S169,2))</f>
        <v/>
      </c>
      <c r="W169" s="56" t="inlineStr">
        <is>
          <t>No</t>
        </is>
      </c>
      <c r="X169" s="56" t="n">
        <v>0</v>
      </c>
      <c r="Y169" s="56">
        <f>IF(AC169="Cancelled",0,T169+U169+V169+Q169+X169)</f>
        <v/>
      </c>
      <c r="Z169" s="56">
        <f>IF(AC169="Cancelled",-Q169,S169-Y169)</f>
        <v/>
      </c>
      <c r="AA169" s="56">
        <f>IF(OR(AC169="Cancelled",S169=0),0,Z169/S169)</f>
        <v/>
      </c>
      <c r="AB169" s="56">
        <f>IFERROR(IF(Q169=0,0,S169/Q169),0)</f>
        <v/>
      </c>
      <c r="AC169" s="56" t="inlineStr">
        <is>
          <t>Delivered</t>
        </is>
      </c>
      <c r="AD169" s="56">
        <f>IF(Z169&lt;=0,"Low Profit",IF(Z169&gt;=50,"HighProfit","Medium Profit"))</f>
        <v/>
      </c>
      <c r="AE169" s="56">
        <f>TEXT(B169,"mmmm")</f>
        <v/>
      </c>
    </row>
    <row r="170" ht="14.25" customHeight="1" s="57">
      <c r="A170" s="56" t="inlineStr">
        <is>
          <t>ORD-00340</t>
        </is>
      </c>
      <c r="B170" s="116" t="n">
        <v>45810</v>
      </c>
      <c r="C170" s="56" t="n">
        <v>2025</v>
      </c>
      <c r="D170" s="56" t="n">
        <v>6</v>
      </c>
      <c r="E170" s="56" t="inlineStr">
        <is>
          <t>UAE</t>
        </is>
      </c>
      <c r="F170" s="56" t="inlineStr">
        <is>
          <t>Abu Dhabi</t>
        </is>
      </c>
      <c r="G170" s="56" t="inlineStr">
        <is>
          <t>Meta Ads</t>
        </is>
      </c>
      <c r="H170" s="56" t="inlineStr">
        <is>
          <t>Retargeting</t>
        </is>
      </c>
      <c r="I170" s="56" t="inlineStr">
        <is>
          <t>P009</t>
        </is>
      </c>
      <c r="J170" s="56" t="inlineStr">
        <is>
          <t>Car Vacuum Cleaner</t>
        </is>
      </c>
      <c r="K170" s="56" t="inlineStr">
        <is>
          <t>Automotive</t>
        </is>
      </c>
      <c r="L170" s="56" t="inlineStr">
        <is>
          <t>Dongguan Auto Tools</t>
        </is>
      </c>
      <c r="M170" s="56" t="n">
        <v>47.28</v>
      </c>
      <c r="N170" s="56" t="n">
        <v>14.58</v>
      </c>
      <c r="O170" s="56" t="n">
        <v>6.05</v>
      </c>
      <c r="P170" s="56" t="n">
        <v>0.03</v>
      </c>
      <c r="Q170" s="56" t="n">
        <v>13.28</v>
      </c>
      <c r="R170" s="56" t="n">
        <v>3</v>
      </c>
      <c r="S170" s="56">
        <f>IF(AC170="Cancelled",0,M170*R170)</f>
        <v/>
      </c>
      <c r="T170" s="56">
        <f>IF(AC170="Cancelled",0,N170*R170)</f>
        <v/>
      </c>
      <c r="U170" s="56">
        <f>IF(AC170="Cancelled",0,O170*R170)</f>
        <v/>
      </c>
      <c r="V170" s="56">
        <f>IF(AC170="Cancelled",0,ROUND(P170*S170,2))</f>
        <v/>
      </c>
      <c r="W170" s="56" t="inlineStr">
        <is>
          <t>No</t>
        </is>
      </c>
      <c r="X170" s="56" t="n">
        <v>0</v>
      </c>
      <c r="Y170" s="56">
        <f>IF(AC170="Cancelled",0,T170+U170+V170+Q170+X170)</f>
        <v/>
      </c>
      <c r="Z170" s="56">
        <f>IF(AC170="Cancelled",-Q170,S170-Y170)</f>
        <v/>
      </c>
      <c r="AA170" s="56">
        <f>IF(OR(AC170="Cancelled",S170=0),0,Z170/S170)</f>
        <v/>
      </c>
      <c r="AB170" s="56">
        <f>IFERROR(IF(Q170=0,0,S170/Q170),0)</f>
        <v/>
      </c>
      <c r="AC170" s="56" t="inlineStr">
        <is>
          <t>Delivered</t>
        </is>
      </c>
      <c r="AD170" s="56">
        <f>IF(Z170&lt;=0,"Low Profit",IF(Z170&gt;=50,"HighProfit","Medium Profit"))</f>
        <v/>
      </c>
      <c r="AE170" s="56">
        <f>TEXT(B170,"mmmm")</f>
        <v/>
      </c>
    </row>
    <row r="171" ht="14.25" customHeight="1" s="57">
      <c r="A171" s="56" t="inlineStr">
        <is>
          <t>ORD-00095</t>
        </is>
      </c>
      <c r="B171" s="116" t="n">
        <v>45811</v>
      </c>
      <c r="C171" s="56" t="n">
        <v>2025</v>
      </c>
      <c r="D171" s="56" t="n">
        <v>6</v>
      </c>
      <c r="E171" s="56" t="inlineStr">
        <is>
          <t>Kuwait</t>
        </is>
      </c>
      <c r="F171" s="56" t="inlineStr">
        <is>
          <t>Kuwait City</t>
        </is>
      </c>
      <c r="G171" s="56" t="inlineStr">
        <is>
          <t>Email</t>
        </is>
      </c>
      <c r="H171" s="56" t="inlineStr">
        <is>
          <t>Summer Sale</t>
        </is>
      </c>
      <c r="I171" s="56" t="inlineStr">
        <is>
          <t>P009</t>
        </is>
      </c>
      <c r="J171" s="56" t="inlineStr">
        <is>
          <t>Car Vacuum Cleaner</t>
        </is>
      </c>
      <c r="K171" s="56" t="inlineStr">
        <is>
          <t>Automotive</t>
        </is>
      </c>
      <c r="L171" s="56" t="inlineStr">
        <is>
          <t>Dongguan Auto Tools</t>
        </is>
      </c>
      <c r="M171" s="56" t="n">
        <v>46.78</v>
      </c>
      <c r="N171" s="56" t="n">
        <v>14.88</v>
      </c>
      <c r="O171" s="56" t="n">
        <v>6.87</v>
      </c>
      <c r="P171" s="56" t="n">
        <v>0.03</v>
      </c>
      <c r="Q171" s="56" t="n">
        <v>15.77</v>
      </c>
      <c r="R171" s="56" t="n">
        <v>3</v>
      </c>
      <c r="S171" s="56">
        <f>IF(AC171="Cancelled",0,M171*R171)</f>
        <v/>
      </c>
      <c r="T171" s="56">
        <f>IF(AC171="Cancelled",0,N171*R171)</f>
        <v/>
      </c>
      <c r="U171" s="56">
        <f>IF(AC171="Cancelled",0,O171*R171)</f>
        <v/>
      </c>
      <c r="V171" s="56">
        <f>IF(AC171="Cancelled",0,ROUND(P171*S171,2))</f>
        <v/>
      </c>
      <c r="W171" s="56" t="inlineStr">
        <is>
          <t>No</t>
        </is>
      </c>
      <c r="X171" s="56" t="n">
        <v>0</v>
      </c>
      <c r="Y171" s="56">
        <f>IF(AC171="Cancelled",0,T171+U171+V171+Q171+X171)</f>
        <v/>
      </c>
      <c r="Z171" s="56">
        <f>IF(AC171="Cancelled",-Q171,S171-Y171)</f>
        <v/>
      </c>
      <c r="AA171" s="56">
        <f>IF(OR(AC171="Cancelled",S171=0),0,Z171/S171)</f>
        <v/>
      </c>
      <c r="AB171" s="56">
        <f>IFERROR(IF(Q171=0,0,S171/Q171),0)</f>
        <v/>
      </c>
      <c r="AC171" s="56" t="inlineStr">
        <is>
          <t>Delivered</t>
        </is>
      </c>
      <c r="AD171" s="56">
        <f>IF(Z171&lt;=0,"Low Profit",IF(Z171&gt;=50,"HighProfit","Medium Profit"))</f>
        <v/>
      </c>
      <c r="AE171" s="56">
        <f>TEXT(B171,"mmmm")</f>
        <v/>
      </c>
    </row>
    <row r="172" ht="14.25" customHeight="1" s="57">
      <c r="A172" s="56" t="inlineStr">
        <is>
          <t>ORD-00234</t>
        </is>
      </c>
      <c r="B172" s="116" t="n">
        <v>45812</v>
      </c>
      <c r="C172" s="56" t="n">
        <v>2025</v>
      </c>
      <c r="D172" s="56" t="n">
        <v>6</v>
      </c>
      <c r="E172" s="56" t="inlineStr">
        <is>
          <t>Oman</t>
        </is>
      </c>
      <c r="F172" s="56" t="inlineStr">
        <is>
          <t>Muscat</t>
        </is>
      </c>
      <c r="G172" s="56" t="inlineStr">
        <is>
          <t>TikTok Ads</t>
        </is>
      </c>
      <c r="H172" s="56" t="inlineStr">
        <is>
          <t>Retargeting</t>
        </is>
      </c>
      <c r="I172" s="56" t="inlineStr">
        <is>
          <t>P001</t>
        </is>
      </c>
      <c r="J172" s="56" t="inlineStr">
        <is>
          <t>Wireless Earbuds</t>
        </is>
      </c>
      <c r="K172" s="56" t="inlineStr">
        <is>
          <t>Electronics</t>
        </is>
      </c>
      <c r="L172" s="56" t="inlineStr">
        <is>
          <t>Shenzhen Audio Co.</t>
        </is>
      </c>
      <c r="M172" s="56" t="n">
        <v>42.08</v>
      </c>
      <c r="N172" s="56" t="n">
        <v>8.529999999999999</v>
      </c>
      <c r="O172" s="56" t="n">
        <v>3.77</v>
      </c>
      <c r="P172" s="56" t="n">
        <v>0.03</v>
      </c>
      <c r="Q172" s="56" t="n">
        <v>1.4</v>
      </c>
      <c r="R172" s="56" t="n">
        <v>1</v>
      </c>
      <c r="S172" s="56">
        <f>IF(AC172="Cancelled",0,M172*R172)</f>
        <v/>
      </c>
      <c r="T172" s="56">
        <f>IF(AC172="Cancelled",0,N172*R172)</f>
        <v/>
      </c>
      <c r="U172" s="56">
        <f>IF(AC172="Cancelled",0,O172*R172)</f>
        <v/>
      </c>
      <c r="V172" s="56">
        <f>IF(AC172="Cancelled",0,ROUND(P172*S172,2))</f>
        <v/>
      </c>
      <c r="W172" s="56" t="inlineStr">
        <is>
          <t>No</t>
        </is>
      </c>
      <c r="X172" s="56" t="n">
        <v>0</v>
      </c>
      <c r="Y172" s="56">
        <f>IF(AC172="Cancelled",0,T172+U172+V172+Q172+X172)</f>
        <v/>
      </c>
      <c r="Z172" s="56">
        <f>IF(AC172="Cancelled",-Q172,S172-Y172)</f>
        <v/>
      </c>
      <c r="AA172" s="56">
        <f>IF(OR(AC172="Cancelled",S172=0),0,Z172/S172)</f>
        <v/>
      </c>
      <c r="AB172" s="56">
        <f>IFERROR(IF(Q172=0,0,S172/Q172),0)</f>
        <v/>
      </c>
      <c r="AC172" s="56" t="inlineStr">
        <is>
          <t>Delivered</t>
        </is>
      </c>
      <c r="AD172" s="56">
        <f>IF(Z172&lt;=0,"Low Profit",IF(Z172&gt;=50,"HighProfit","Medium Profit"))</f>
        <v/>
      </c>
      <c r="AE172" s="56">
        <f>TEXT(B172,"mmmm")</f>
        <v/>
      </c>
    </row>
    <row r="173" ht="14.25" customHeight="1" s="57">
      <c r="A173" s="56" t="inlineStr">
        <is>
          <t>ORD-00292</t>
        </is>
      </c>
      <c r="B173" s="116" t="n">
        <v>45812</v>
      </c>
      <c r="C173" s="56" t="n">
        <v>2025</v>
      </c>
      <c r="D173" s="56" t="n">
        <v>6</v>
      </c>
      <c r="E173" s="56" t="inlineStr">
        <is>
          <t>Qatar</t>
        </is>
      </c>
      <c r="F173" s="56" t="inlineStr">
        <is>
          <t>Doha</t>
        </is>
      </c>
      <c r="G173" s="56" t="inlineStr">
        <is>
          <t>Meta Ads</t>
        </is>
      </c>
      <c r="H173" s="56" t="inlineStr">
        <is>
          <t>Summer Sale</t>
        </is>
      </c>
      <c r="I173" s="56" t="inlineStr">
        <is>
          <t>P003</t>
        </is>
      </c>
      <c r="J173" s="56" t="inlineStr">
        <is>
          <t>LED Strip Lights</t>
        </is>
      </c>
      <c r="K173" s="56" t="inlineStr">
        <is>
          <t>Home Decor</t>
        </is>
      </c>
      <c r="L173" s="56" t="inlineStr">
        <is>
          <t>Yiwu Lighting Factory</t>
        </is>
      </c>
      <c r="M173" s="56" t="n">
        <v>26.6</v>
      </c>
      <c r="N173" s="56" t="n">
        <v>6.27</v>
      </c>
      <c r="O173" s="56" t="n">
        <v>3.35</v>
      </c>
      <c r="P173" s="56" t="n">
        <v>0.03</v>
      </c>
      <c r="Q173" s="56" t="n">
        <v>19.81</v>
      </c>
      <c r="R173" s="56" t="n">
        <v>2</v>
      </c>
      <c r="S173" s="56">
        <f>IF(AC173="Cancelled",0,M173*R173)</f>
        <v/>
      </c>
      <c r="T173" s="56">
        <f>IF(AC173="Cancelled",0,N173*R173)</f>
        <v/>
      </c>
      <c r="U173" s="56">
        <f>IF(AC173="Cancelled",0,O173*R173)</f>
        <v/>
      </c>
      <c r="V173" s="56">
        <f>IF(AC173="Cancelled",0,ROUND(P173*S173,2))</f>
        <v/>
      </c>
      <c r="W173" s="56" t="inlineStr">
        <is>
          <t>No</t>
        </is>
      </c>
      <c r="X173" s="56" t="n">
        <v>0</v>
      </c>
      <c r="Y173" s="56">
        <f>IF(AC173="Cancelled",0,T173+U173+V173+Q173+X173)</f>
        <v/>
      </c>
      <c r="Z173" s="56">
        <f>IF(AC173="Cancelled",-Q173,S173-Y173)</f>
        <v/>
      </c>
      <c r="AA173" s="56">
        <f>IF(OR(AC173="Cancelled",S173=0),0,Z173/S173)</f>
        <v/>
      </c>
      <c r="AB173" s="56">
        <f>IFERROR(IF(Q173=0,0,S173/Q173),0)</f>
        <v/>
      </c>
      <c r="AC173" s="56" t="inlineStr">
        <is>
          <t>Delivered</t>
        </is>
      </c>
      <c r="AD173" s="56">
        <f>IF(Z173&lt;=0,"Low Profit",IF(Z173&gt;=50,"HighProfit","Medium Profit"))</f>
        <v/>
      </c>
      <c r="AE173" s="56">
        <f>TEXT(B173,"mmmm")</f>
        <v/>
      </c>
    </row>
    <row r="174" ht="14.25" customHeight="1" s="57">
      <c r="A174" s="56" t="inlineStr">
        <is>
          <t>ORD-00433</t>
        </is>
      </c>
      <c r="B174" s="116" t="n">
        <v>45812</v>
      </c>
      <c r="C174" s="56" t="n">
        <v>2025</v>
      </c>
      <c r="D174" s="56" t="n">
        <v>6</v>
      </c>
      <c r="E174" s="56" t="inlineStr">
        <is>
          <t>Saudi Arabia</t>
        </is>
      </c>
      <c r="F174" s="56" t="inlineStr">
        <is>
          <t>Riyadh</t>
        </is>
      </c>
      <c r="G174" s="56" t="inlineStr">
        <is>
          <t>Google Ads</t>
        </is>
      </c>
      <c r="H174" s="56" t="inlineStr">
        <is>
          <t>Bundle Promo</t>
        </is>
      </c>
      <c r="I174" s="56" t="inlineStr">
        <is>
          <t>P004</t>
        </is>
      </c>
      <c r="J174" s="56" t="inlineStr">
        <is>
          <t>Beauty Tool</t>
        </is>
      </c>
      <c r="K174" s="56" t="inlineStr">
        <is>
          <t>Beauty</t>
        </is>
      </c>
      <c r="L174" s="56" t="inlineStr">
        <is>
          <t>Ningbo Beauty Supply</t>
        </is>
      </c>
      <c r="M174" s="56" t="n">
        <v>29.92</v>
      </c>
      <c r="N174" s="56" t="n">
        <v>6.8</v>
      </c>
      <c r="O174" s="56" t="n">
        <v>4.72</v>
      </c>
      <c r="P174" s="56" t="n">
        <v>0.03</v>
      </c>
      <c r="Q174" s="56" t="n">
        <v>8.94</v>
      </c>
      <c r="R174" s="56" t="n">
        <v>1</v>
      </c>
      <c r="S174" s="56">
        <f>IF(AC174="Cancelled",0,M174*R174)</f>
        <v/>
      </c>
      <c r="T174" s="56">
        <f>IF(AC174="Cancelled",0,N174*R174)</f>
        <v/>
      </c>
      <c r="U174" s="56">
        <f>IF(AC174="Cancelled",0,O174*R174)</f>
        <v/>
      </c>
      <c r="V174" s="56">
        <f>IF(AC174="Cancelled",0,ROUND(P174*S174,2))</f>
        <v/>
      </c>
      <c r="W174" s="56" t="inlineStr">
        <is>
          <t>No</t>
        </is>
      </c>
      <c r="X174" s="56" t="n">
        <v>0</v>
      </c>
      <c r="Y174" s="56">
        <f>IF(AC174="Cancelled",0,T174+U174+V174+Q174+X174)</f>
        <v/>
      </c>
      <c r="Z174" s="56">
        <f>IF(AC174="Cancelled",-Q174,S174-Y174)</f>
        <v/>
      </c>
      <c r="AA174" s="56">
        <f>IF(OR(AC174="Cancelled",S174=0),0,Z174/S174)</f>
        <v/>
      </c>
      <c r="AB174" s="56">
        <f>IFERROR(IF(Q174=0,0,S174/Q174),0)</f>
        <v/>
      </c>
      <c r="AC174" s="56" t="inlineStr">
        <is>
          <t>Delivered</t>
        </is>
      </c>
      <c r="AD174" s="56">
        <f>IF(Z174&lt;=0,"Low Profit",IF(Z174&gt;=50,"HighProfit","Medium Profit"))</f>
        <v/>
      </c>
      <c r="AE174" s="56">
        <f>TEXT(B174,"mmmm")</f>
        <v/>
      </c>
    </row>
    <row r="175" ht="14.25" customHeight="1" s="57">
      <c r="A175" s="56" t="inlineStr">
        <is>
          <t>ORD-00474</t>
        </is>
      </c>
      <c r="B175" s="116" t="n">
        <v>45812</v>
      </c>
      <c r="C175" s="56" t="n">
        <v>2025</v>
      </c>
      <c r="D175" s="56" t="n">
        <v>6</v>
      </c>
      <c r="E175" s="56" t="inlineStr">
        <is>
          <t>Saudi Arabia</t>
        </is>
      </c>
      <c r="F175" s="56" t="inlineStr">
        <is>
          <t>Riyadh</t>
        </is>
      </c>
      <c r="G175" s="56" t="inlineStr">
        <is>
          <t>TikTok Ads</t>
        </is>
      </c>
      <c r="H175" s="56" t="inlineStr">
        <is>
          <t>Summer Sale</t>
        </is>
      </c>
      <c r="I175" s="56" t="inlineStr">
        <is>
          <t>P009</t>
        </is>
      </c>
      <c r="J175" s="56" t="inlineStr">
        <is>
          <t>Car Vacuum Cleaner</t>
        </is>
      </c>
      <c r="K175" s="56" t="inlineStr">
        <is>
          <t>Automotive</t>
        </is>
      </c>
      <c r="L175" s="56" t="inlineStr">
        <is>
          <t>Dongguan Auto Tools</t>
        </is>
      </c>
      <c r="M175" s="56" t="n">
        <v>47.37</v>
      </c>
      <c r="N175" s="56" t="n">
        <v>14.58</v>
      </c>
      <c r="O175" s="56" t="n">
        <v>7.09</v>
      </c>
      <c r="P175" s="56" t="n">
        <v>0.03</v>
      </c>
      <c r="Q175" s="56" t="n">
        <v>4.9</v>
      </c>
      <c r="R175" s="56" t="n">
        <v>2</v>
      </c>
      <c r="S175" s="56">
        <f>IF(AC175="Cancelled",0,M175*R175)</f>
        <v/>
      </c>
      <c r="T175" s="56">
        <f>IF(AC175="Cancelled",0,N175*R175)</f>
        <v/>
      </c>
      <c r="U175" s="56">
        <f>IF(AC175="Cancelled",0,O175*R175)</f>
        <v/>
      </c>
      <c r="V175" s="56">
        <f>IF(AC175="Cancelled",0,ROUND(P175*S175,2))</f>
        <v/>
      </c>
      <c r="W175" s="56" t="inlineStr">
        <is>
          <t>Yes</t>
        </is>
      </c>
      <c r="X175" s="56" t="n">
        <v>65.04000000000001</v>
      </c>
      <c r="Y175" s="56">
        <f>IF(AC175="Cancelled",0,T175+U175+V175+Q175+X175)</f>
        <v/>
      </c>
      <c r="Z175" s="56">
        <f>IF(AC175="Cancelled",-Q175,S175-Y175)</f>
        <v/>
      </c>
      <c r="AA175" s="56">
        <f>IF(OR(AC175="Cancelled",S175=0),0,Z175/S175)</f>
        <v/>
      </c>
      <c r="AB175" s="56">
        <f>IFERROR(IF(Q175=0,0,S175/Q175),0)</f>
        <v/>
      </c>
      <c r="AC175" s="56" t="inlineStr">
        <is>
          <t>Refunded</t>
        </is>
      </c>
      <c r="AD175" s="56">
        <f>IF(Z175&lt;=0,"Low Profit",IF(Z175&gt;=50,"HighProfit","Medium Profit"))</f>
        <v/>
      </c>
      <c r="AE175" s="56">
        <f>TEXT(B175,"mmmm")</f>
        <v/>
      </c>
    </row>
    <row r="176" ht="14.25" customHeight="1" s="57">
      <c r="A176" s="56" t="inlineStr">
        <is>
          <t>ORD-00057</t>
        </is>
      </c>
      <c r="B176" s="116" t="n">
        <v>45813</v>
      </c>
      <c r="C176" s="56" t="n">
        <v>2025</v>
      </c>
      <c r="D176" s="56" t="n">
        <v>6</v>
      </c>
      <c r="E176" s="56" t="inlineStr">
        <is>
          <t>Saudi Arabia</t>
        </is>
      </c>
      <c r="F176" s="56" t="inlineStr">
        <is>
          <t>Riyadh</t>
        </is>
      </c>
      <c r="G176" s="56" t="inlineStr">
        <is>
          <t>Meta Ads</t>
        </is>
      </c>
      <c r="H176" s="56" t="inlineStr">
        <is>
          <t>Launch Test</t>
        </is>
      </c>
      <c r="I176" s="56" t="inlineStr">
        <is>
          <t>P003</t>
        </is>
      </c>
      <c r="J176" s="56" t="inlineStr">
        <is>
          <t>LED Strip Lights</t>
        </is>
      </c>
      <c r="K176" s="56" t="inlineStr">
        <is>
          <t>Home Decor</t>
        </is>
      </c>
      <c r="L176" s="56" t="inlineStr">
        <is>
          <t>Yiwu Lighting Factory</t>
        </is>
      </c>
      <c r="M176" s="56" t="n">
        <v>26.78</v>
      </c>
      <c r="N176" s="56" t="n">
        <v>5.72</v>
      </c>
      <c r="O176" s="56" t="n">
        <v>3.64</v>
      </c>
      <c r="P176" s="56" t="n">
        <v>0.03</v>
      </c>
      <c r="Q176" s="56" t="n">
        <v>8.92</v>
      </c>
      <c r="R176" s="56" t="n">
        <v>1</v>
      </c>
      <c r="S176" s="56">
        <f>IF(AC176="Cancelled",0,M176*R176)</f>
        <v/>
      </c>
      <c r="T176" s="56">
        <f>IF(AC176="Cancelled",0,N176*R176)</f>
        <v/>
      </c>
      <c r="U176" s="56">
        <f>IF(AC176="Cancelled",0,O176*R176)</f>
        <v/>
      </c>
      <c r="V176" s="56">
        <f>IF(AC176="Cancelled",0,ROUND(P176*S176,2))</f>
        <v/>
      </c>
      <c r="W176" s="56" t="inlineStr">
        <is>
          <t>No</t>
        </is>
      </c>
      <c r="X176" s="56" t="n">
        <v>0</v>
      </c>
      <c r="Y176" s="56">
        <f>IF(AC176="Cancelled",0,T176+U176+V176+Q176+X176)</f>
        <v/>
      </c>
      <c r="Z176" s="56">
        <f>IF(AC176="Cancelled",-Q176,S176-Y176)</f>
        <v/>
      </c>
      <c r="AA176" s="56">
        <f>IF(OR(AC176="Cancelled",S176=0),0,Z176/S176)</f>
        <v/>
      </c>
      <c r="AB176" s="56">
        <f>IFERROR(IF(Q176=0,0,S176/Q176),0)</f>
        <v/>
      </c>
      <c r="AC176" s="56" t="inlineStr">
        <is>
          <t>Delivered</t>
        </is>
      </c>
      <c r="AD176" s="56">
        <f>IF(Z176&lt;=0,"Low Profit",IF(Z176&gt;=50,"HighProfit","Medium Profit"))</f>
        <v/>
      </c>
      <c r="AE176" s="56">
        <f>TEXT(B176,"mmmm")</f>
        <v/>
      </c>
    </row>
    <row r="177" ht="14.25" customHeight="1" s="57">
      <c r="A177" s="56" t="inlineStr">
        <is>
          <t>ORD-00278</t>
        </is>
      </c>
      <c r="B177" s="116" t="n">
        <v>45813</v>
      </c>
      <c r="C177" s="56" t="n">
        <v>2025</v>
      </c>
      <c r="D177" s="56" t="n">
        <v>6</v>
      </c>
      <c r="E177" s="56" t="inlineStr">
        <is>
          <t>Saudi Arabia</t>
        </is>
      </c>
      <c r="F177" s="56" t="inlineStr">
        <is>
          <t>Riyadh</t>
        </is>
      </c>
      <c r="G177" s="56" t="inlineStr">
        <is>
          <t>Meta Ads</t>
        </is>
      </c>
      <c r="H177" s="56" t="inlineStr">
        <is>
          <t>New Creative A/B</t>
        </is>
      </c>
      <c r="I177" s="56" t="inlineStr">
        <is>
          <t>P003</t>
        </is>
      </c>
      <c r="J177" s="56" t="inlineStr">
        <is>
          <t>LED Strip Lights</t>
        </is>
      </c>
      <c r="K177" s="56" t="inlineStr">
        <is>
          <t>Home Decor</t>
        </is>
      </c>
      <c r="L177" s="56" t="inlineStr">
        <is>
          <t>Yiwu Lighting Factory</t>
        </is>
      </c>
      <c r="M177" s="56" t="n">
        <v>24.77</v>
      </c>
      <c r="N177" s="56" t="n">
        <v>5.93</v>
      </c>
      <c r="O177" s="56" t="n">
        <v>3.77</v>
      </c>
      <c r="P177" s="56" t="n">
        <v>0.03</v>
      </c>
      <c r="Q177" s="56" t="n">
        <v>16.88</v>
      </c>
      <c r="R177" s="56" t="n">
        <v>3</v>
      </c>
      <c r="S177" s="56">
        <f>IF(AC177="Cancelled",0,M177*R177)</f>
        <v/>
      </c>
      <c r="T177" s="56">
        <f>IF(AC177="Cancelled",0,N177*R177)</f>
        <v/>
      </c>
      <c r="U177" s="56">
        <f>IF(AC177="Cancelled",0,O177*R177)</f>
        <v/>
      </c>
      <c r="V177" s="56">
        <f>IF(AC177="Cancelled",0,ROUND(P177*S177,2))</f>
        <v/>
      </c>
      <c r="W177" s="56" t="inlineStr">
        <is>
          <t>No</t>
        </is>
      </c>
      <c r="X177" s="56" t="n">
        <v>0</v>
      </c>
      <c r="Y177" s="56">
        <f>IF(AC177="Cancelled",0,T177+U177+V177+Q177+X177)</f>
        <v/>
      </c>
      <c r="Z177" s="56">
        <f>IF(AC177="Cancelled",-Q177,S177-Y177)</f>
        <v/>
      </c>
      <c r="AA177" s="56">
        <f>IF(OR(AC177="Cancelled",S177=0),0,Z177/S177)</f>
        <v/>
      </c>
      <c r="AB177" s="56">
        <f>IFERROR(IF(Q177=0,0,S177/Q177),0)</f>
        <v/>
      </c>
      <c r="AC177" s="56" t="inlineStr">
        <is>
          <t>Delivered</t>
        </is>
      </c>
      <c r="AD177" s="56">
        <f>IF(Z177&lt;=0,"Low Profit",IF(Z177&gt;=50,"HighProfit","Medium Profit"))</f>
        <v/>
      </c>
      <c r="AE177" s="56">
        <f>TEXT(B177,"mmmm")</f>
        <v/>
      </c>
    </row>
    <row r="178" ht="14.25" customHeight="1" s="57">
      <c r="A178" s="56" t="inlineStr">
        <is>
          <t>ORD-00489</t>
        </is>
      </c>
      <c r="B178" s="116" t="n">
        <v>45813</v>
      </c>
      <c r="C178" s="56" t="n">
        <v>2025</v>
      </c>
      <c r="D178" s="56" t="n">
        <v>6</v>
      </c>
      <c r="E178" s="56" t="inlineStr">
        <is>
          <t>UAE</t>
        </is>
      </c>
      <c r="F178" s="56" t="inlineStr">
        <is>
          <t>Abu Dhabi</t>
        </is>
      </c>
      <c r="G178" s="56" t="inlineStr">
        <is>
          <t>Email</t>
        </is>
      </c>
      <c r="H178" s="56" t="inlineStr">
        <is>
          <t>Bundle Promo</t>
        </is>
      </c>
      <c r="I178" s="56" t="inlineStr">
        <is>
          <t>P009</t>
        </is>
      </c>
      <c r="J178" s="56" t="inlineStr">
        <is>
          <t>Car Vacuum Cleaner</t>
        </is>
      </c>
      <c r="K178" s="56" t="inlineStr">
        <is>
          <t>Automotive</t>
        </is>
      </c>
      <c r="L178" s="56" t="inlineStr">
        <is>
          <t>Dongguan Auto Tools</t>
        </is>
      </c>
      <c r="M178" s="56" t="n">
        <v>47.64</v>
      </c>
      <c r="N178" s="56" t="n">
        <v>14.49</v>
      </c>
      <c r="O178" s="56" t="n">
        <v>6.83</v>
      </c>
      <c r="P178" s="56" t="n">
        <v>0.03</v>
      </c>
      <c r="Q178" s="56" t="n">
        <v>3.12</v>
      </c>
      <c r="R178" s="56" t="n">
        <v>3</v>
      </c>
      <c r="S178" s="56">
        <f>IF(AC178="Cancelled",0,M178*R178)</f>
        <v/>
      </c>
      <c r="T178" s="56">
        <f>IF(AC178="Cancelled",0,N178*R178)</f>
        <v/>
      </c>
      <c r="U178" s="56">
        <f>IF(AC178="Cancelled",0,O178*R178)</f>
        <v/>
      </c>
      <c r="V178" s="56">
        <f>IF(AC178="Cancelled",0,ROUND(P178*S178,2))</f>
        <v/>
      </c>
      <c r="W178" s="56" t="inlineStr">
        <is>
          <t>No</t>
        </is>
      </c>
      <c r="X178" s="56" t="n">
        <v>0</v>
      </c>
      <c r="Y178" s="56">
        <f>IF(AC178="Cancelled",0,T178+U178+V178+Q178+X178)</f>
        <v/>
      </c>
      <c r="Z178" s="56">
        <f>IF(AC178="Cancelled",-Q178,S178-Y178)</f>
        <v/>
      </c>
      <c r="AA178" s="56">
        <f>IF(OR(AC178="Cancelled",S178=0),0,Z178/S178)</f>
        <v/>
      </c>
      <c r="AB178" s="56">
        <f>IFERROR(IF(Q178=0,0,S178/Q178),0)</f>
        <v/>
      </c>
      <c r="AC178" s="56" t="inlineStr">
        <is>
          <t>Delivered</t>
        </is>
      </c>
      <c r="AD178" s="56">
        <f>IF(Z178&lt;=0,"Low Profit",IF(Z178&gt;=50,"HighProfit","Medium Profit"))</f>
        <v/>
      </c>
      <c r="AE178" s="56">
        <f>TEXT(B178,"mmmm")</f>
        <v/>
      </c>
    </row>
    <row r="179" ht="14.25" customHeight="1" s="57">
      <c r="A179" s="56" t="inlineStr">
        <is>
          <t>ORD-00164</t>
        </is>
      </c>
      <c r="B179" s="116" t="n">
        <v>45814</v>
      </c>
      <c r="C179" s="56" t="n">
        <v>2025</v>
      </c>
      <c r="D179" s="56" t="n">
        <v>6</v>
      </c>
      <c r="E179" s="56" t="inlineStr">
        <is>
          <t>Oman</t>
        </is>
      </c>
      <c r="F179" s="56" t="inlineStr">
        <is>
          <t>Muscat</t>
        </is>
      </c>
      <c r="G179" s="56" t="inlineStr">
        <is>
          <t>Meta Ads</t>
        </is>
      </c>
      <c r="H179" s="56" t="inlineStr">
        <is>
          <t>Launch Test</t>
        </is>
      </c>
      <c r="I179" s="56" t="inlineStr">
        <is>
          <t>P001</t>
        </is>
      </c>
      <c r="J179" s="56" t="inlineStr">
        <is>
          <t>Wireless Earbuds</t>
        </is>
      </c>
      <c r="K179" s="56" t="inlineStr">
        <is>
          <t>Electronics</t>
        </is>
      </c>
      <c r="L179" s="56" t="inlineStr">
        <is>
          <t>Shenzhen Audio Co.</t>
        </is>
      </c>
      <c r="M179" s="56" t="n">
        <v>42.65</v>
      </c>
      <c r="N179" s="56" t="n">
        <v>8.5</v>
      </c>
      <c r="O179" s="56" t="n">
        <v>4.58</v>
      </c>
      <c r="P179" s="56" t="n">
        <v>0.03</v>
      </c>
      <c r="Q179" s="56" t="n">
        <v>13.29</v>
      </c>
      <c r="R179" s="56" t="n">
        <v>3</v>
      </c>
      <c r="S179" s="56">
        <f>IF(AC179="Cancelled",0,M179*R179)</f>
        <v/>
      </c>
      <c r="T179" s="56">
        <f>IF(AC179="Cancelled",0,N179*R179)</f>
        <v/>
      </c>
      <c r="U179" s="56">
        <f>IF(AC179="Cancelled",0,O179*R179)</f>
        <v/>
      </c>
      <c r="V179" s="56">
        <f>IF(AC179="Cancelled",0,ROUND(P179*S179,2))</f>
        <v/>
      </c>
      <c r="W179" s="56" t="inlineStr">
        <is>
          <t>No</t>
        </is>
      </c>
      <c r="X179" s="56" t="n">
        <v>0</v>
      </c>
      <c r="Y179" s="56">
        <f>IF(AC179="Cancelled",0,T179+U179+V179+Q179+X179)</f>
        <v/>
      </c>
      <c r="Z179" s="56">
        <f>IF(AC179="Cancelled",-Q179,S179-Y179)</f>
        <v/>
      </c>
      <c r="AA179" s="56">
        <f>IF(OR(AC179="Cancelled",S179=0),0,Z179/S179)</f>
        <v/>
      </c>
      <c r="AB179" s="56">
        <f>IFERROR(IF(Q179=0,0,S179/Q179),0)</f>
        <v/>
      </c>
      <c r="AC179" s="56" t="inlineStr">
        <is>
          <t>Delivered</t>
        </is>
      </c>
      <c r="AD179" s="56">
        <f>IF(Z179&lt;=0,"Low Profit",IF(Z179&gt;=50,"HighProfit","Medium Profit"))</f>
        <v/>
      </c>
      <c r="AE179" s="56">
        <f>TEXT(B179,"mmmm")</f>
        <v/>
      </c>
    </row>
    <row r="180" ht="14.25" customHeight="1" s="57">
      <c r="A180" s="56" t="inlineStr">
        <is>
          <t>ORD-00351</t>
        </is>
      </c>
      <c r="B180" s="116" t="n">
        <v>45814</v>
      </c>
      <c r="C180" s="56" t="n">
        <v>2025</v>
      </c>
      <c r="D180" s="56" t="n">
        <v>6</v>
      </c>
      <c r="E180" s="56" t="inlineStr">
        <is>
          <t>Oman</t>
        </is>
      </c>
      <c r="F180" s="56" t="inlineStr">
        <is>
          <t>Muscat</t>
        </is>
      </c>
      <c r="G180" s="56" t="inlineStr">
        <is>
          <t>TikTok Ads</t>
        </is>
      </c>
      <c r="H180" s="56" t="inlineStr">
        <is>
          <t>New Creative A/B</t>
        </is>
      </c>
      <c r="I180" s="56" t="inlineStr">
        <is>
          <t>P001</t>
        </is>
      </c>
      <c r="J180" s="56" t="inlineStr">
        <is>
          <t>Wireless Earbuds</t>
        </is>
      </c>
      <c r="K180" s="56" t="inlineStr">
        <is>
          <t>Electronics</t>
        </is>
      </c>
      <c r="L180" s="56" t="inlineStr">
        <is>
          <t>Shenzhen Audio Co.</t>
        </is>
      </c>
      <c r="M180" s="56" t="n">
        <v>44.77</v>
      </c>
      <c r="N180" s="56" t="n">
        <v>8.119999999999999</v>
      </c>
      <c r="O180" s="56" t="n">
        <v>3.66</v>
      </c>
      <c r="P180" s="56" t="n">
        <v>0.03</v>
      </c>
      <c r="Q180" s="56" t="n">
        <v>11.24</v>
      </c>
      <c r="R180" s="56" t="n">
        <v>2</v>
      </c>
      <c r="S180" s="56">
        <f>IF(AC180="Cancelled",0,M180*R180)</f>
        <v/>
      </c>
      <c r="T180" s="56">
        <f>IF(AC180="Cancelled",0,N180*R180)</f>
        <v/>
      </c>
      <c r="U180" s="56">
        <f>IF(AC180="Cancelled",0,O180*R180)</f>
        <v/>
      </c>
      <c r="V180" s="56">
        <f>IF(AC180="Cancelled",0,ROUND(P180*S180,2))</f>
        <v/>
      </c>
      <c r="W180" s="56" t="inlineStr">
        <is>
          <t>No</t>
        </is>
      </c>
      <c r="X180" s="56" t="n">
        <v>0</v>
      </c>
      <c r="Y180" s="56">
        <f>IF(AC180="Cancelled",0,T180+U180+V180+Q180+X180)</f>
        <v/>
      </c>
      <c r="Z180" s="56">
        <f>IF(AC180="Cancelled",-Q180,S180-Y180)</f>
        <v/>
      </c>
      <c r="AA180" s="56">
        <f>IF(OR(AC180="Cancelled",S180=0),0,Z180/S180)</f>
        <v/>
      </c>
      <c r="AB180" s="56">
        <f>IFERROR(IF(Q180=0,0,S180/Q180),0)</f>
        <v/>
      </c>
      <c r="AC180" s="56" t="inlineStr">
        <is>
          <t>Delivered</t>
        </is>
      </c>
      <c r="AD180" s="56">
        <f>IF(Z180&lt;=0,"Low Profit",IF(Z180&gt;=50,"HighProfit","Medium Profit"))</f>
        <v/>
      </c>
      <c r="AE180" s="56">
        <f>TEXT(B180,"mmmm")</f>
        <v/>
      </c>
    </row>
    <row r="181" ht="14.25" customHeight="1" s="57">
      <c r="A181" s="56" t="inlineStr">
        <is>
          <t>ORD-00093</t>
        </is>
      </c>
      <c r="B181" s="116" t="n">
        <v>45817</v>
      </c>
      <c r="C181" s="56" t="n">
        <v>2025</v>
      </c>
      <c r="D181" s="56" t="n">
        <v>6</v>
      </c>
      <c r="E181" s="56" t="inlineStr">
        <is>
          <t>UAE</t>
        </is>
      </c>
      <c r="F181" s="56" t="inlineStr">
        <is>
          <t>Sharjah</t>
        </is>
      </c>
      <c r="G181" s="56" t="inlineStr">
        <is>
          <t>Meta Ads</t>
        </is>
      </c>
      <c r="H181" s="56" t="inlineStr">
        <is>
          <t>Launch Test</t>
        </is>
      </c>
      <c r="I181" s="56" t="inlineStr">
        <is>
          <t>P006</t>
        </is>
      </c>
      <c r="J181" s="56" t="inlineStr">
        <is>
          <t>Posture Corrector</t>
        </is>
      </c>
      <c r="K181" s="56" t="inlineStr">
        <is>
          <t>Fitness</t>
        </is>
      </c>
      <c r="L181" s="56" t="inlineStr">
        <is>
          <t>Hangzhou Health Gear</t>
        </is>
      </c>
      <c r="M181" s="56" t="n">
        <v>37.2</v>
      </c>
      <c r="N181" s="56" t="n">
        <v>8.81</v>
      </c>
      <c r="O181" s="56" t="n">
        <v>3.65</v>
      </c>
      <c r="P181" s="56" t="n">
        <v>0.03</v>
      </c>
      <c r="Q181" s="56" t="n">
        <v>3.9</v>
      </c>
      <c r="R181" s="56" t="n">
        <v>1</v>
      </c>
      <c r="S181" s="56">
        <f>IF(AC181="Cancelled",0,M181*R181)</f>
        <v/>
      </c>
      <c r="T181" s="56">
        <f>IF(AC181="Cancelled",0,N181*R181)</f>
        <v/>
      </c>
      <c r="U181" s="56">
        <f>IF(AC181="Cancelled",0,O181*R181)</f>
        <v/>
      </c>
      <c r="V181" s="56">
        <f>IF(AC181="Cancelled",0,ROUND(P181*S181,2))</f>
        <v/>
      </c>
      <c r="W181" s="56" t="inlineStr">
        <is>
          <t>No</t>
        </is>
      </c>
      <c r="X181" s="56" t="n">
        <v>0</v>
      </c>
      <c r="Y181" s="56">
        <f>IF(AC181="Cancelled",0,T181+U181+V181+Q181+X181)</f>
        <v/>
      </c>
      <c r="Z181" s="56">
        <f>IF(AC181="Cancelled",-Q181,S181-Y181)</f>
        <v/>
      </c>
      <c r="AA181" s="56">
        <f>IF(OR(AC181="Cancelled",S181=0),0,Z181/S181)</f>
        <v/>
      </c>
      <c r="AB181" s="56">
        <f>IFERROR(IF(Q181=0,0,S181/Q181),0)</f>
        <v/>
      </c>
      <c r="AC181" s="56" t="inlineStr">
        <is>
          <t>Delivered</t>
        </is>
      </c>
      <c r="AD181" s="56">
        <f>IF(Z181&lt;=0,"Low Profit",IF(Z181&gt;=50,"HighProfit","Medium Profit"))</f>
        <v/>
      </c>
      <c r="AE181" s="56">
        <f>TEXT(B181,"mmmm")</f>
        <v/>
      </c>
    </row>
    <row r="182" ht="14.25" customHeight="1" s="57">
      <c r="A182" s="56" t="inlineStr">
        <is>
          <t>ORD-00378</t>
        </is>
      </c>
      <c r="B182" s="116" t="n">
        <v>45817</v>
      </c>
      <c r="C182" s="56" t="n">
        <v>2025</v>
      </c>
      <c r="D182" s="56" t="n">
        <v>6</v>
      </c>
      <c r="E182" s="56" t="inlineStr">
        <is>
          <t>Saudi Arabia</t>
        </is>
      </c>
      <c r="F182" s="56" t="inlineStr">
        <is>
          <t>Jeddah</t>
        </is>
      </c>
      <c r="G182" s="56" t="inlineStr">
        <is>
          <t>Meta Ads</t>
        </is>
      </c>
      <c r="H182" s="56" t="inlineStr">
        <is>
          <t>New Creative A/B</t>
        </is>
      </c>
      <c r="I182" s="56" t="inlineStr">
        <is>
          <t>P003</t>
        </is>
      </c>
      <c r="J182" s="56" t="inlineStr">
        <is>
          <t>LED Strip Lights</t>
        </is>
      </c>
      <c r="K182" s="56" t="inlineStr">
        <is>
          <t>Home Decor</t>
        </is>
      </c>
      <c r="L182" s="56" t="inlineStr">
        <is>
          <t>Yiwu Lighting Factory</t>
        </is>
      </c>
      <c r="M182" s="56" t="n">
        <v>23.51</v>
      </c>
      <c r="N182" s="56" t="n">
        <v>6.35</v>
      </c>
      <c r="O182" s="56" t="n">
        <v>3.44</v>
      </c>
      <c r="P182" s="56" t="n">
        <v>0.03</v>
      </c>
      <c r="Q182" s="56" t="n">
        <v>5.59</v>
      </c>
      <c r="R182" s="56" t="n">
        <v>1</v>
      </c>
      <c r="S182" s="56">
        <f>IF(AC182="Cancelled",0,M182*R182)</f>
        <v/>
      </c>
      <c r="T182" s="56">
        <f>IF(AC182="Cancelled",0,N182*R182)</f>
        <v/>
      </c>
      <c r="U182" s="56">
        <f>IF(AC182="Cancelled",0,O182*R182)</f>
        <v/>
      </c>
      <c r="V182" s="56">
        <f>IF(AC182="Cancelled",0,ROUND(P182*S182,2))</f>
        <v/>
      </c>
      <c r="W182" s="56" t="inlineStr">
        <is>
          <t>No</t>
        </is>
      </c>
      <c r="X182" s="56" t="n">
        <v>0</v>
      </c>
      <c r="Y182" s="56">
        <f>IF(AC182="Cancelled",0,T182+U182+V182+Q182+X182)</f>
        <v/>
      </c>
      <c r="Z182" s="56">
        <f>IF(AC182="Cancelled",-Q182,S182-Y182)</f>
        <v/>
      </c>
      <c r="AA182" s="56">
        <f>IF(OR(AC182="Cancelled",S182=0),0,Z182/S182)</f>
        <v/>
      </c>
      <c r="AB182" s="56">
        <f>IFERROR(IF(Q182=0,0,S182/Q182),0)</f>
        <v/>
      </c>
      <c r="AC182" s="56" t="inlineStr">
        <is>
          <t>Delivered</t>
        </is>
      </c>
      <c r="AD182" s="56">
        <f>IF(Z182&lt;=0,"Low Profit",IF(Z182&gt;=50,"HighProfit","Medium Profit"))</f>
        <v/>
      </c>
      <c r="AE182" s="56">
        <f>TEXT(B182,"mmmm")</f>
        <v/>
      </c>
    </row>
    <row r="183" ht="14.25" customHeight="1" s="57">
      <c r="A183" s="56" t="inlineStr">
        <is>
          <t>ORD-00488</t>
        </is>
      </c>
      <c r="B183" s="116" t="n">
        <v>45818</v>
      </c>
      <c r="C183" s="56" t="n">
        <v>2025</v>
      </c>
      <c r="D183" s="56" t="n">
        <v>6</v>
      </c>
      <c r="E183" s="56" t="inlineStr">
        <is>
          <t>Saudi Arabia</t>
        </is>
      </c>
      <c r="F183" s="56" t="inlineStr">
        <is>
          <t>Riyadh</t>
        </is>
      </c>
      <c r="G183" s="56" t="inlineStr">
        <is>
          <t>Organic Search</t>
        </is>
      </c>
      <c r="H183" s="56" t="inlineStr">
        <is>
          <t>Summer Sale</t>
        </is>
      </c>
      <c r="I183" s="56" t="inlineStr">
        <is>
          <t>P009</t>
        </is>
      </c>
      <c r="J183" s="56" t="inlineStr">
        <is>
          <t>Car Vacuum Cleaner</t>
        </is>
      </c>
      <c r="K183" s="56" t="inlineStr">
        <is>
          <t>Automotive</t>
        </is>
      </c>
      <c r="L183" s="56" t="inlineStr">
        <is>
          <t>Dongguan Auto Tools</t>
        </is>
      </c>
      <c r="M183" s="56" t="n">
        <v>40.87</v>
      </c>
      <c r="N183" s="56" t="n">
        <v>14.89</v>
      </c>
      <c r="O183" s="56" t="n">
        <v>6.97</v>
      </c>
      <c r="P183" s="56" t="n">
        <v>0.03</v>
      </c>
      <c r="Q183" s="56" t="n">
        <v>0</v>
      </c>
      <c r="R183" s="56" t="n">
        <v>1</v>
      </c>
      <c r="S183" s="56">
        <f>IF(AC183="Cancelled",0,M183*R183)</f>
        <v/>
      </c>
      <c r="T183" s="56">
        <f>IF(AC183="Cancelled",0,N183*R183)</f>
        <v/>
      </c>
      <c r="U183" s="56">
        <f>IF(AC183="Cancelled",0,O183*R183)</f>
        <v/>
      </c>
      <c r="V183" s="56">
        <f>IF(AC183="Cancelled",0,ROUND(P183*S183,2))</f>
        <v/>
      </c>
      <c r="W183" s="56" t="inlineStr">
        <is>
          <t>No</t>
        </is>
      </c>
      <c r="X183" s="56" t="n">
        <v>0</v>
      </c>
      <c r="Y183" s="56">
        <f>IF(AC183="Cancelled",0,T183+U183+V183+Q183+X183)</f>
        <v/>
      </c>
      <c r="Z183" s="56">
        <f>IF(AC183="Cancelled",-Q183,S183-Y183)</f>
        <v/>
      </c>
      <c r="AA183" s="56">
        <f>IF(OR(AC183="Cancelled",S183=0),0,Z183/S183)</f>
        <v/>
      </c>
      <c r="AB183" s="56">
        <f>IFERROR(IF(Q183=0,0,S183/Q183),0)</f>
        <v/>
      </c>
      <c r="AC183" s="56" t="inlineStr">
        <is>
          <t>Cancelled</t>
        </is>
      </c>
      <c r="AD183" s="56">
        <f>IF(Z183&lt;=0,"Low Profit",IF(Z183&gt;=50,"HighProfit","Medium Profit"))</f>
        <v/>
      </c>
      <c r="AE183" s="56">
        <f>TEXT(B183,"mmmm")</f>
        <v/>
      </c>
    </row>
    <row r="184" ht="14.25" customHeight="1" s="57">
      <c r="A184" s="56" t="inlineStr">
        <is>
          <t>ORD-00498</t>
        </is>
      </c>
      <c r="B184" s="116" t="n">
        <v>45818</v>
      </c>
      <c r="C184" s="56" t="n">
        <v>2025</v>
      </c>
      <c r="D184" s="56" t="n">
        <v>6</v>
      </c>
      <c r="E184" s="56" t="inlineStr">
        <is>
          <t>Saudi Arabia</t>
        </is>
      </c>
      <c r="F184" s="56" t="inlineStr">
        <is>
          <t>Riyadh</t>
        </is>
      </c>
      <c r="G184" s="56" t="inlineStr">
        <is>
          <t>TikTok Ads</t>
        </is>
      </c>
      <c r="H184" s="56" t="inlineStr">
        <is>
          <t>Bundle Promo</t>
        </is>
      </c>
      <c r="I184" s="56" t="inlineStr">
        <is>
          <t>P006</t>
        </is>
      </c>
      <c r="J184" s="56" t="inlineStr">
        <is>
          <t>Posture Corrector</t>
        </is>
      </c>
      <c r="K184" s="56" t="inlineStr">
        <is>
          <t>Fitness</t>
        </is>
      </c>
      <c r="L184" s="56" t="inlineStr">
        <is>
          <t>Hangzhou Health Gear</t>
        </is>
      </c>
      <c r="M184" s="56" t="n">
        <v>34.84</v>
      </c>
      <c r="N184" s="56" t="n">
        <v>9.49</v>
      </c>
      <c r="O184" s="56" t="n">
        <v>4.41</v>
      </c>
      <c r="P184" s="56" t="n">
        <v>0.03</v>
      </c>
      <c r="Q184" s="56" t="n">
        <v>3.84</v>
      </c>
      <c r="R184" s="56" t="n">
        <v>2</v>
      </c>
      <c r="S184" s="56">
        <f>IF(AC184="Cancelled",0,M184*R184)</f>
        <v/>
      </c>
      <c r="T184" s="56">
        <f>IF(AC184="Cancelled",0,N184*R184)</f>
        <v/>
      </c>
      <c r="U184" s="56">
        <f>IF(AC184="Cancelled",0,O184*R184)</f>
        <v/>
      </c>
      <c r="V184" s="56">
        <f>IF(AC184="Cancelled",0,ROUND(P184*S184,2))</f>
        <v/>
      </c>
      <c r="W184" s="56" t="inlineStr">
        <is>
          <t>No</t>
        </is>
      </c>
      <c r="X184" s="56" t="n">
        <v>0</v>
      </c>
      <c r="Y184" s="56">
        <f>IF(AC184="Cancelled",0,T184+U184+V184+Q184+X184)</f>
        <v/>
      </c>
      <c r="Z184" s="56">
        <f>IF(AC184="Cancelled",-Q184,S184-Y184)</f>
        <v/>
      </c>
      <c r="AA184" s="56">
        <f>IF(OR(AC184="Cancelled",S184=0),0,Z184/S184)</f>
        <v/>
      </c>
      <c r="AB184" s="56">
        <f>IFERROR(IF(Q184=0,0,S184/Q184),0)</f>
        <v/>
      </c>
      <c r="AC184" s="56" t="inlineStr">
        <is>
          <t>Delivered</t>
        </is>
      </c>
      <c r="AD184" s="56">
        <f>IF(Z184&lt;=0,"Low Profit",IF(Z184&gt;=50,"HighProfit","Medium Profit"))</f>
        <v/>
      </c>
      <c r="AE184" s="56">
        <f>TEXT(B184,"mmmm")</f>
        <v/>
      </c>
    </row>
    <row r="185" ht="14.25" customHeight="1" s="57">
      <c r="A185" s="56" t="inlineStr">
        <is>
          <t>ORD-00082</t>
        </is>
      </c>
      <c r="B185" s="116" t="n">
        <v>45819</v>
      </c>
      <c r="C185" s="56" t="n">
        <v>2025</v>
      </c>
      <c r="D185" s="56" t="n">
        <v>6</v>
      </c>
      <c r="E185" s="56" t="inlineStr">
        <is>
          <t>Oman</t>
        </is>
      </c>
      <c r="F185" s="56" t="inlineStr">
        <is>
          <t>Muscat</t>
        </is>
      </c>
      <c r="G185" s="56" t="inlineStr">
        <is>
          <t>TikTok Ads</t>
        </is>
      </c>
      <c r="H185" s="56" t="inlineStr">
        <is>
          <t>New Creative A/B</t>
        </is>
      </c>
      <c r="I185" s="56" t="inlineStr">
        <is>
          <t>P001</t>
        </is>
      </c>
      <c r="J185" s="56" t="inlineStr">
        <is>
          <t>Wireless Earbuds</t>
        </is>
      </c>
      <c r="K185" s="56" t="inlineStr">
        <is>
          <t>Electronics</t>
        </is>
      </c>
      <c r="L185" s="56" t="inlineStr">
        <is>
          <t>Shenzhen Audio Co.</t>
        </is>
      </c>
      <c r="M185" s="56" t="n">
        <v>42.83</v>
      </c>
      <c r="N185" s="56" t="n">
        <v>8.699999999999999</v>
      </c>
      <c r="O185" s="56" t="n">
        <v>3.62</v>
      </c>
      <c r="P185" s="56" t="n">
        <v>0.03</v>
      </c>
      <c r="Q185" s="56" t="n">
        <v>6.3</v>
      </c>
      <c r="R185" s="56" t="n">
        <v>1</v>
      </c>
      <c r="S185" s="56">
        <f>IF(AC185="Cancelled",0,M185*R185)</f>
        <v/>
      </c>
      <c r="T185" s="56">
        <f>IF(AC185="Cancelled",0,N185*R185)</f>
        <v/>
      </c>
      <c r="U185" s="56">
        <f>IF(AC185="Cancelled",0,O185*R185)</f>
        <v/>
      </c>
      <c r="V185" s="56">
        <f>IF(AC185="Cancelled",0,ROUND(P185*S185,2))</f>
        <v/>
      </c>
      <c r="W185" s="56" t="inlineStr">
        <is>
          <t>No</t>
        </is>
      </c>
      <c r="X185" s="56" t="n">
        <v>0</v>
      </c>
      <c r="Y185" s="56">
        <f>IF(AC185="Cancelled",0,T185+U185+V185+Q185+X185)</f>
        <v/>
      </c>
      <c r="Z185" s="56">
        <f>IF(AC185="Cancelled",-Q185,S185-Y185)</f>
        <v/>
      </c>
      <c r="AA185" s="56">
        <f>IF(OR(AC185="Cancelled",S185=0),0,Z185/S185)</f>
        <v/>
      </c>
      <c r="AB185" s="56">
        <f>IFERROR(IF(Q185=0,0,S185/Q185),0)</f>
        <v/>
      </c>
      <c r="AC185" s="56" t="inlineStr">
        <is>
          <t>Delivered</t>
        </is>
      </c>
      <c r="AD185" s="56">
        <f>IF(Z185&lt;=0,"Low Profit",IF(Z185&gt;=50,"HighProfit","Medium Profit"))</f>
        <v/>
      </c>
      <c r="AE185" s="56">
        <f>TEXT(B185,"mmmm")</f>
        <v/>
      </c>
    </row>
    <row r="186" ht="14.25" customHeight="1" s="57">
      <c r="A186" s="56" t="inlineStr">
        <is>
          <t>ORD-00135</t>
        </is>
      </c>
      <c r="B186" s="116" t="n">
        <v>45820</v>
      </c>
      <c r="C186" s="56" t="n">
        <v>2025</v>
      </c>
      <c r="D186" s="56" t="n">
        <v>6</v>
      </c>
      <c r="E186" s="56" t="inlineStr">
        <is>
          <t>Saudi Arabia</t>
        </is>
      </c>
      <c r="F186" s="56" t="inlineStr">
        <is>
          <t>Jeddah</t>
        </is>
      </c>
      <c r="G186" s="56" t="inlineStr">
        <is>
          <t>Google Ads</t>
        </is>
      </c>
      <c r="H186" s="56" t="inlineStr">
        <is>
          <t>Launch Test</t>
        </is>
      </c>
      <c r="I186" s="56" t="inlineStr">
        <is>
          <t>P010</t>
        </is>
      </c>
      <c r="J186" s="56" t="inlineStr">
        <is>
          <t>Smart Water Bottle</t>
        </is>
      </c>
      <c r="K186" s="56" t="inlineStr">
        <is>
          <t>Lifestyle</t>
        </is>
      </c>
      <c r="L186" s="56" t="inlineStr">
        <is>
          <t>Shenzhen Smart Home</t>
        </is>
      </c>
      <c r="M186" s="56" t="n">
        <v>36.36</v>
      </c>
      <c r="N186" s="56" t="n">
        <v>10.37</v>
      </c>
      <c r="O186" s="56" t="n">
        <v>4.11</v>
      </c>
      <c r="P186" s="56" t="n">
        <v>0.03</v>
      </c>
      <c r="Q186" s="56" t="n">
        <v>19.36</v>
      </c>
      <c r="R186" s="56" t="n">
        <v>3</v>
      </c>
      <c r="S186" s="56">
        <f>IF(AC186="Cancelled",0,M186*R186)</f>
        <v/>
      </c>
      <c r="T186" s="56">
        <f>IF(AC186="Cancelled",0,N186*R186)</f>
        <v/>
      </c>
      <c r="U186" s="56">
        <f>IF(AC186="Cancelled",0,O186*R186)</f>
        <v/>
      </c>
      <c r="V186" s="56">
        <f>IF(AC186="Cancelled",0,ROUND(P186*S186,2))</f>
        <v/>
      </c>
      <c r="W186" s="56" t="inlineStr">
        <is>
          <t>No</t>
        </is>
      </c>
      <c r="X186" s="56" t="n">
        <v>0</v>
      </c>
      <c r="Y186" s="56">
        <f>IF(AC186="Cancelled",0,T186+U186+V186+Q186+X186)</f>
        <v/>
      </c>
      <c r="Z186" s="56">
        <f>IF(AC186="Cancelled",-Q186,S186-Y186)</f>
        <v/>
      </c>
      <c r="AA186" s="56">
        <f>IF(OR(AC186="Cancelled",S186=0),0,Z186/S186)</f>
        <v/>
      </c>
      <c r="AB186" s="56">
        <f>IFERROR(IF(Q186=0,0,S186/Q186),0)</f>
        <v/>
      </c>
      <c r="AC186" s="56" t="inlineStr">
        <is>
          <t>Delivered</t>
        </is>
      </c>
      <c r="AD186" s="56">
        <f>IF(Z186&lt;=0,"Low Profit",IF(Z186&gt;=50,"HighProfit","Medium Profit"))</f>
        <v/>
      </c>
      <c r="AE186" s="56">
        <f>TEXT(B186,"mmmm")</f>
        <v/>
      </c>
    </row>
    <row r="187" ht="14.25" customHeight="1" s="57">
      <c r="A187" s="56" t="inlineStr">
        <is>
          <t>ORD-00206</t>
        </is>
      </c>
      <c r="B187" s="116" t="n">
        <v>45820</v>
      </c>
      <c r="C187" s="56" t="n">
        <v>2025</v>
      </c>
      <c r="D187" s="56" t="n">
        <v>6</v>
      </c>
      <c r="E187" s="56" t="inlineStr">
        <is>
          <t>Saudi Arabia</t>
        </is>
      </c>
      <c r="F187" s="56" t="inlineStr">
        <is>
          <t>Riyadh</t>
        </is>
      </c>
      <c r="G187" s="56" t="inlineStr">
        <is>
          <t>Meta Ads</t>
        </is>
      </c>
      <c r="H187" s="56" t="inlineStr">
        <is>
          <t>Bundle Promo</t>
        </is>
      </c>
      <c r="I187" s="56" t="inlineStr">
        <is>
          <t>P002</t>
        </is>
      </c>
      <c r="J187" s="56" t="inlineStr">
        <is>
          <t>Phone Case</t>
        </is>
      </c>
      <c r="K187" s="56" t="inlineStr">
        <is>
          <t>Accessories</t>
        </is>
      </c>
      <c r="L187" s="56" t="inlineStr">
        <is>
          <t>Guangzhou Cases Ltd.</t>
        </is>
      </c>
      <c r="M187" s="56" t="n">
        <v>14.06</v>
      </c>
      <c r="N187" s="56" t="n">
        <v>1.94</v>
      </c>
      <c r="O187" s="56" t="n">
        <v>1.84</v>
      </c>
      <c r="P187" s="56" t="n">
        <v>0.03</v>
      </c>
      <c r="Q187" s="56" t="n">
        <v>9.49</v>
      </c>
      <c r="R187" s="56" t="n">
        <v>1</v>
      </c>
      <c r="S187" s="56">
        <f>IF(AC187="Cancelled",0,M187*R187)</f>
        <v/>
      </c>
      <c r="T187" s="56">
        <f>IF(AC187="Cancelled",0,N187*R187)</f>
        <v/>
      </c>
      <c r="U187" s="56">
        <f>IF(AC187="Cancelled",0,O187*R187)</f>
        <v/>
      </c>
      <c r="V187" s="56">
        <f>IF(AC187="Cancelled",0,ROUND(P187*S187,2))</f>
        <v/>
      </c>
      <c r="W187" s="56" t="inlineStr">
        <is>
          <t>No</t>
        </is>
      </c>
      <c r="X187" s="56" t="n">
        <v>0</v>
      </c>
      <c r="Y187" s="56">
        <f>IF(AC187="Cancelled",0,T187+U187+V187+Q187+X187)</f>
        <v/>
      </c>
      <c r="Z187" s="56">
        <f>IF(AC187="Cancelled",-Q187,S187-Y187)</f>
        <v/>
      </c>
      <c r="AA187" s="56">
        <f>IF(OR(AC187="Cancelled",S187=0),0,Z187/S187)</f>
        <v/>
      </c>
      <c r="AB187" s="56">
        <f>IFERROR(IF(Q187=0,0,S187/Q187),0)</f>
        <v/>
      </c>
      <c r="AC187" s="56" t="inlineStr">
        <is>
          <t>Delivered</t>
        </is>
      </c>
      <c r="AD187" s="56">
        <f>IF(Z187&lt;=0,"Low Profit",IF(Z187&gt;=50,"HighProfit","Medium Profit"))</f>
        <v/>
      </c>
      <c r="AE187" s="56">
        <f>TEXT(B187,"mmmm")</f>
        <v/>
      </c>
    </row>
    <row r="188" ht="14.25" customHeight="1" s="57">
      <c r="A188" s="56" t="inlineStr">
        <is>
          <t>ORD-00293</t>
        </is>
      </c>
      <c r="B188" s="116" t="n">
        <v>45820</v>
      </c>
      <c r="C188" s="56" t="n">
        <v>2025</v>
      </c>
      <c r="D188" s="56" t="n">
        <v>6</v>
      </c>
      <c r="E188" s="56" t="inlineStr">
        <is>
          <t>Oman</t>
        </is>
      </c>
      <c r="F188" s="56" t="inlineStr">
        <is>
          <t>Muscat</t>
        </is>
      </c>
      <c r="G188" s="56" t="inlineStr">
        <is>
          <t>Organic Search</t>
        </is>
      </c>
      <c r="H188" s="56" t="inlineStr">
        <is>
          <t>Summer Sale</t>
        </is>
      </c>
      <c r="I188" s="56" t="inlineStr">
        <is>
          <t>P002</t>
        </is>
      </c>
      <c r="J188" s="56" t="inlineStr">
        <is>
          <t>Phone Case</t>
        </is>
      </c>
      <c r="K188" s="56" t="inlineStr">
        <is>
          <t>Accessories</t>
        </is>
      </c>
      <c r="L188" s="56" t="inlineStr">
        <is>
          <t>Guangzhou Cases Ltd.</t>
        </is>
      </c>
      <c r="M188" s="56" t="n">
        <v>14.97</v>
      </c>
      <c r="N188" s="56" t="n">
        <v>2.04</v>
      </c>
      <c r="O188" s="56" t="n">
        <v>1.96</v>
      </c>
      <c r="P188" s="56" t="n">
        <v>0.03</v>
      </c>
      <c r="Q188" s="56" t="n">
        <v>0</v>
      </c>
      <c r="R188" s="56" t="n">
        <v>1</v>
      </c>
      <c r="S188" s="56">
        <f>IF(AC188="Cancelled",0,M188*R188)</f>
        <v/>
      </c>
      <c r="T188" s="56">
        <f>IF(AC188="Cancelled",0,N188*R188)</f>
        <v/>
      </c>
      <c r="U188" s="56">
        <f>IF(AC188="Cancelled",0,O188*R188)</f>
        <v/>
      </c>
      <c r="V188" s="56">
        <f>IF(AC188="Cancelled",0,ROUND(P188*S188,2))</f>
        <v/>
      </c>
      <c r="W188" s="56" t="inlineStr">
        <is>
          <t>Yes</t>
        </is>
      </c>
      <c r="X188" s="56" t="n">
        <v>10.25</v>
      </c>
      <c r="Y188" s="56">
        <f>IF(AC188="Cancelled",0,T188+U188+V188+Q188+X188)</f>
        <v/>
      </c>
      <c r="Z188" s="56">
        <f>IF(AC188="Cancelled",-Q188,S188-Y188)</f>
        <v/>
      </c>
      <c r="AA188" s="56">
        <f>IF(OR(AC188="Cancelled",S188=0),0,Z188/S188)</f>
        <v/>
      </c>
      <c r="AB188" s="56">
        <f>IFERROR(IF(Q188=0,0,S188/Q188),0)</f>
        <v/>
      </c>
      <c r="AC188" s="56" t="inlineStr">
        <is>
          <t>Refunded</t>
        </is>
      </c>
      <c r="AD188" s="56">
        <f>IF(Z188&lt;=0,"Low Profit",IF(Z188&gt;=50,"HighProfit","Medium Profit"))</f>
        <v/>
      </c>
      <c r="AE188" s="56">
        <f>TEXT(B188,"mmmm")</f>
        <v/>
      </c>
    </row>
    <row r="189" ht="14.25" customHeight="1" s="57">
      <c r="A189" s="56" t="inlineStr">
        <is>
          <t>ORD-00486</t>
        </is>
      </c>
      <c r="B189" s="116" t="n">
        <v>45824</v>
      </c>
      <c r="C189" s="56" t="n">
        <v>2025</v>
      </c>
      <c r="D189" s="56" t="n">
        <v>6</v>
      </c>
      <c r="E189" s="56" t="inlineStr">
        <is>
          <t>UAE</t>
        </is>
      </c>
      <c r="F189" s="56" t="inlineStr">
        <is>
          <t>Abu Dhabi</t>
        </is>
      </c>
      <c r="G189" s="56" t="inlineStr">
        <is>
          <t>Meta Ads</t>
        </is>
      </c>
      <c r="H189" s="56" t="inlineStr">
        <is>
          <t>Retargeting</t>
        </is>
      </c>
      <c r="I189" s="56" t="inlineStr">
        <is>
          <t>P008</t>
        </is>
      </c>
      <c r="J189" s="56" t="inlineStr">
        <is>
          <t>Portable Blender</t>
        </is>
      </c>
      <c r="K189" s="56" t="inlineStr">
        <is>
          <t>Kitchen</t>
        </is>
      </c>
      <c r="L189" s="56" t="inlineStr">
        <is>
          <t>Foshan Appliances</t>
        </is>
      </c>
      <c r="M189" s="56" t="n">
        <v>48.98</v>
      </c>
      <c r="N189" s="56" t="n">
        <v>16.66</v>
      </c>
      <c r="O189" s="56" t="n">
        <v>6.74</v>
      </c>
      <c r="P189" s="56" t="n">
        <v>0.03</v>
      </c>
      <c r="Q189" s="56" t="n">
        <v>19.8</v>
      </c>
      <c r="R189" s="56" t="n">
        <v>2</v>
      </c>
      <c r="S189" s="56">
        <f>IF(AC189="Cancelled",0,M189*R189)</f>
        <v/>
      </c>
      <c r="T189" s="56">
        <f>IF(AC189="Cancelled",0,N189*R189)</f>
        <v/>
      </c>
      <c r="U189" s="56">
        <f>IF(AC189="Cancelled",0,O189*R189)</f>
        <v/>
      </c>
      <c r="V189" s="56">
        <f>IF(AC189="Cancelled",0,ROUND(P189*S189,2))</f>
        <v/>
      </c>
      <c r="W189" s="56" t="inlineStr">
        <is>
          <t>No</t>
        </is>
      </c>
      <c r="X189" s="56" t="n">
        <v>0</v>
      </c>
      <c r="Y189" s="56">
        <f>IF(AC189="Cancelled",0,T189+U189+V189+Q189+X189)</f>
        <v/>
      </c>
      <c r="Z189" s="56">
        <f>IF(AC189="Cancelled",-Q189,S189-Y189)</f>
        <v/>
      </c>
      <c r="AA189" s="56">
        <f>IF(OR(AC189="Cancelled",S189=0),0,Z189/S189)</f>
        <v/>
      </c>
      <c r="AB189" s="56">
        <f>IFERROR(IF(Q189=0,0,S189/Q189),0)</f>
        <v/>
      </c>
      <c r="AC189" s="56" t="inlineStr">
        <is>
          <t>Delivered</t>
        </is>
      </c>
      <c r="AD189" s="56">
        <f>IF(Z189&lt;=0,"Low Profit",IF(Z189&gt;=50,"HighProfit","Medium Profit"))</f>
        <v/>
      </c>
      <c r="AE189" s="56">
        <f>TEXT(B189,"mmmm")</f>
        <v/>
      </c>
    </row>
    <row r="190" ht="14.25" customHeight="1" s="57">
      <c r="A190" s="56" t="inlineStr">
        <is>
          <t>ORD-00009</t>
        </is>
      </c>
      <c r="B190" s="116" t="n">
        <v>45825</v>
      </c>
      <c r="C190" s="56" t="n">
        <v>2025</v>
      </c>
      <c r="D190" s="56" t="n">
        <v>6</v>
      </c>
      <c r="E190" s="56" t="inlineStr">
        <is>
          <t>UAE</t>
        </is>
      </c>
      <c r="F190" s="56" t="inlineStr">
        <is>
          <t>Dubai</t>
        </is>
      </c>
      <c r="G190" s="56" t="inlineStr">
        <is>
          <t>Google Ads</t>
        </is>
      </c>
      <c r="H190" s="56" t="inlineStr">
        <is>
          <t>Retargeting</t>
        </is>
      </c>
      <c r="I190" s="56" t="inlineStr">
        <is>
          <t>P007</t>
        </is>
      </c>
      <c r="J190" s="56" t="inlineStr">
        <is>
          <t>Pet Grooming Glove</t>
        </is>
      </c>
      <c r="K190" s="56" t="inlineStr">
        <is>
          <t>Pets</t>
        </is>
      </c>
      <c r="L190" s="56" t="inlineStr">
        <is>
          <t>Yiwu Pet Products</t>
        </is>
      </c>
      <c r="M190" s="56" t="n">
        <v>21.94</v>
      </c>
      <c r="N190" s="56" t="n">
        <v>3.44</v>
      </c>
      <c r="O190" s="56" t="n">
        <v>2.41</v>
      </c>
      <c r="P190" s="56" t="n">
        <v>0.03</v>
      </c>
      <c r="Q190" s="56" t="n">
        <v>4.85</v>
      </c>
      <c r="R190" s="56" t="n">
        <v>1</v>
      </c>
      <c r="S190" s="56">
        <f>IF(AC190="Cancelled",0,M190*R190)</f>
        <v/>
      </c>
      <c r="T190" s="56">
        <f>IF(AC190="Cancelled",0,N190*R190)</f>
        <v/>
      </c>
      <c r="U190" s="56">
        <f>IF(AC190="Cancelled",0,O190*R190)</f>
        <v/>
      </c>
      <c r="V190" s="56">
        <f>IF(AC190="Cancelled",0,ROUND(P190*S190,2))</f>
        <v/>
      </c>
      <c r="W190" s="56" t="inlineStr">
        <is>
          <t>No</t>
        </is>
      </c>
      <c r="X190" s="56" t="n">
        <v>0</v>
      </c>
      <c r="Y190" s="56">
        <f>IF(AC190="Cancelled",0,T190+U190+V190+Q190+X190)</f>
        <v/>
      </c>
      <c r="Z190" s="56">
        <f>IF(AC190="Cancelled",-Q190,S190-Y190)</f>
        <v/>
      </c>
      <c r="AA190" s="56">
        <f>IF(OR(AC190="Cancelled",S190=0),0,Z190/S190)</f>
        <v/>
      </c>
      <c r="AB190" s="56">
        <f>IFERROR(IF(Q190=0,0,S190/Q190),0)</f>
        <v/>
      </c>
      <c r="AC190" s="56" t="inlineStr">
        <is>
          <t>Delivered</t>
        </is>
      </c>
      <c r="AD190" s="56">
        <f>IF(Z190&lt;=0,"Low Profit",IF(Z190&gt;=50,"HighProfit","Medium Profit"))</f>
        <v/>
      </c>
      <c r="AE190" s="56">
        <f>TEXT(B190,"mmmm")</f>
        <v/>
      </c>
    </row>
    <row r="191" ht="14.25" customHeight="1" s="57">
      <c r="A191" s="56" t="inlineStr">
        <is>
          <t>ORD-00417</t>
        </is>
      </c>
      <c r="B191" s="116" t="n">
        <v>45829</v>
      </c>
      <c r="C191" s="56" t="n">
        <v>2025</v>
      </c>
      <c r="D191" s="56" t="n">
        <v>6</v>
      </c>
      <c r="E191" s="56" t="inlineStr">
        <is>
          <t>UAE</t>
        </is>
      </c>
      <c r="F191" s="56" t="inlineStr">
        <is>
          <t>Dubai</t>
        </is>
      </c>
      <c r="G191" s="56" t="inlineStr">
        <is>
          <t>Google Ads</t>
        </is>
      </c>
      <c r="H191" s="56" t="inlineStr">
        <is>
          <t>Launch Test</t>
        </is>
      </c>
      <c r="I191" s="56" t="inlineStr">
        <is>
          <t>P006</t>
        </is>
      </c>
      <c r="J191" s="56" t="inlineStr">
        <is>
          <t>Posture Corrector</t>
        </is>
      </c>
      <c r="K191" s="56" t="inlineStr">
        <is>
          <t>Fitness</t>
        </is>
      </c>
      <c r="L191" s="56" t="inlineStr">
        <is>
          <t>Hangzhou Health Gear</t>
        </is>
      </c>
      <c r="M191" s="56" t="n">
        <v>31.87</v>
      </c>
      <c r="N191" s="56" t="n">
        <v>9.66</v>
      </c>
      <c r="O191" s="56" t="n">
        <v>3.69</v>
      </c>
      <c r="P191" s="56" t="n">
        <v>0.03</v>
      </c>
      <c r="Q191" s="56" t="n">
        <v>9.15</v>
      </c>
      <c r="R191" s="56" t="n">
        <v>1</v>
      </c>
      <c r="S191" s="56">
        <f>IF(AC191="Cancelled",0,M191*R191)</f>
        <v/>
      </c>
      <c r="T191" s="56">
        <f>IF(AC191="Cancelled",0,N191*R191)</f>
        <v/>
      </c>
      <c r="U191" s="56">
        <f>IF(AC191="Cancelled",0,O191*R191)</f>
        <v/>
      </c>
      <c r="V191" s="56">
        <f>IF(AC191="Cancelled",0,ROUND(P191*S191,2))</f>
        <v/>
      </c>
      <c r="W191" s="56" t="inlineStr">
        <is>
          <t>No</t>
        </is>
      </c>
      <c r="X191" s="56" t="n">
        <v>0</v>
      </c>
      <c r="Y191" s="56">
        <f>IF(AC191="Cancelled",0,T191+U191+V191+Q191+X191)</f>
        <v/>
      </c>
      <c r="Z191" s="56">
        <f>IF(AC191="Cancelled",-Q191,S191-Y191)</f>
        <v/>
      </c>
      <c r="AA191" s="56">
        <f>IF(OR(AC191="Cancelled",S191=0),0,Z191/S191)</f>
        <v/>
      </c>
      <c r="AB191" s="56">
        <f>IFERROR(IF(Q191=0,0,S191/Q191),0)</f>
        <v/>
      </c>
      <c r="AC191" s="56" t="inlineStr">
        <is>
          <t>Delivered</t>
        </is>
      </c>
      <c r="AD191" s="56">
        <f>IF(Z191&lt;=0,"Low Profit",IF(Z191&gt;=50,"HighProfit","Medium Profit"))</f>
        <v/>
      </c>
      <c r="AE191" s="56">
        <f>TEXT(B191,"mmmm")</f>
        <v/>
      </c>
    </row>
    <row r="192" ht="14.25" customHeight="1" s="57">
      <c r="A192" s="56" t="inlineStr">
        <is>
          <t>ORD-00044</t>
        </is>
      </c>
      <c r="B192" s="116" t="n">
        <v>45831</v>
      </c>
      <c r="C192" s="56" t="n">
        <v>2025</v>
      </c>
      <c r="D192" s="56" t="n">
        <v>6</v>
      </c>
      <c r="E192" s="56" t="inlineStr">
        <is>
          <t>Oman</t>
        </is>
      </c>
      <c r="F192" s="56" t="inlineStr">
        <is>
          <t>Muscat</t>
        </is>
      </c>
      <c r="G192" s="56" t="inlineStr">
        <is>
          <t>TikTok Ads</t>
        </is>
      </c>
      <c r="H192" s="56" t="inlineStr">
        <is>
          <t>New Creative A/B</t>
        </is>
      </c>
      <c r="I192" s="56" t="inlineStr">
        <is>
          <t>P009</t>
        </is>
      </c>
      <c r="J192" s="56" t="inlineStr">
        <is>
          <t>Car Vacuum Cleaner</t>
        </is>
      </c>
      <c r="K192" s="56" t="inlineStr">
        <is>
          <t>Automotive</t>
        </is>
      </c>
      <c r="L192" s="56" t="inlineStr">
        <is>
          <t>Dongguan Auto Tools</t>
        </is>
      </c>
      <c r="M192" s="56" t="n">
        <v>44.34</v>
      </c>
      <c r="N192" s="56" t="n">
        <v>14.15</v>
      </c>
      <c r="O192" s="56" t="n">
        <v>6.3</v>
      </c>
      <c r="P192" s="56" t="n">
        <v>0.03</v>
      </c>
      <c r="Q192" s="56" t="n">
        <v>9.029999999999999</v>
      </c>
      <c r="R192" s="56" t="n">
        <v>3</v>
      </c>
      <c r="S192" s="56">
        <f>IF(AC192="Cancelled",0,M192*R192)</f>
        <v/>
      </c>
      <c r="T192" s="56">
        <f>IF(AC192="Cancelled",0,N192*R192)</f>
        <v/>
      </c>
      <c r="U192" s="56">
        <f>IF(AC192="Cancelled",0,O192*R192)</f>
        <v/>
      </c>
      <c r="V192" s="56">
        <f>IF(AC192="Cancelled",0,ROUND(P192*S192,2))</f>
        <v/>
      </c>
      <c r="W192" s="56" t="inlineStr">
        <is>
          <t>No</t>
        </is>
      </c>
      <c r="X192" s="56" t="n">
        <v>0</v>
      </c>
      <c r="Y192" s="56">
        <f>IF(AC192="Cancelled",0,T192+U192+V192+Q192+X192)</f>
        <v/>
      </c>
      <c r="Z192" s="56">
        <f>IF(AC192="Cancelled",-Q192,S192-Y192)</f>
        <v/>
      </c>
      <c r="AA192" s="56">
        <f>IF(OR(AC192="Cancelled",S192=0),0,Z192/S192)</f>
        <v/>
      </c>
      <c r="AB192" s="56">
        <f>IFERROR(IF(Q192=0,0,S192/Q192),0)</f>
        <v/>
      </c>
      <c r="AC192" s="56" t="inlineStr">
        <is>
          <t>Delivered</t>
        </is>
      </c>
      <c r="AD192" s="56">
        <f>IF(Z192&lt;=0,"Low Profit",IF(Z192&gt;=50,"HighProfit","Medium Profit"))</f>
        <v/>
      </c>
      <c r="AE192" s="56">
        <f>TEXT(B192,"mmmm")</f>
        <v/>
      </c>
    </row>
    <row r="193" ht="14.25" customHeight="1" s="57">
      <c r="A193" s="56" t="inlineStr">
        <is>
          <t>ORD-00426</t>
        </is>
      </c>
      <c r="B193" s="116" t="n">
        <v>45831</v>
      </c>
      <c r="C193" s="56" t="n">
        <v>2025</v>
      </c>
      <c r="D193" s="56" t="n">
        <v>6</v>
      </c>
      <c r="E193" s="56" t="inlineStr">
        <is>
          <t>Saudi Arabia</t>
        </is>
      </c>
      <c r="F193" s="56" t="inlineStr">
        <is>
          <t>Riyadh</t>
        </is>
      </c>
      <c r="G193" s="56" t="inlineStr">
        <is>
          <t>TikTok Ads</t>
        </is>
      </c>
      <c r="H193" s="56" t="inlineStr">
        <is>
          <t>Launch Test</t>
        </is>
      </c>
      <c r="I193" s="56" t="inlineStr">
        <is>
          <t>P002</t>
        </is>
      </c>
      <c r="J193" s="56" t="inlineStr">
        <is>
          <t>Phone Case</t>
        </is>
      </c>
      <c r="K193" s="56" t="inlineStr">
        <is>
          <t>Accessories</t>
        </is>
      </c>
      <c r="L193" s="56" t="inlineStr">
        <is>
          <t>Guangzhou Cases Ltd.</t>
        </is>
      </c>
      <c r="M193" s="56" t="n">
        <v>14.59</v>
      </c>
      <c r="N193" s="56" t="n">
        <v>2.12</v>
      </c>
      <c r="O193" s="56" t="n">
        <v>1.98</v>
      </c>
      <c r="P193" s="56" t="n">
        <v>0.03</v>
      </c>
      <c r="Q193" s="56" t="n">
        <v>6.79</v>
      </c>
      <c r="R193" s="56" t="n">
        <v>1</v>
      </c>
      <c r="S193" s="56">
        <f>IF(AC193="Cancelled",0,M193*R193)</f>
        <v/>
      </c>
      <c r="T193" s="56">
        <f>IF(AC193="Cancelled",0,N193*R193)</f>
        <v/>
      </c>
      <c r="U193" s="56">
        <f>IF(AC193="Cancelled",0,O193*R193)</f>
        <v/>
      </c>
      <c r="V193" s="56">
        <f>IF(AC193="Cancelled",0,ROUND(P193*S193,2))</f>
        <v/>
      </c>
      <c r="W193" s="56" t="inlineStr">
        <is>
          <t>No</t>
        </is>
      </c>
      <c r="X193" s="56" t="n">
        <v>0</v>
      </c>
      <c r="Y193" s="56">
        <f>IF(AC193="Cancelled",0,T193+U193+V193+Q193+X193)</f>
        <v/>
      </c>
      <c r="Z193" s="56">
        <f>IF(AC193="Cancelled",-Q193,S193-Y193)</f>
        <v/>
      </c>
      <c r="AA193" s="56">
        <f>IF(OR(AC193="Cancelled",S193=0),0,Z193/S193)</f>
        <v/>
      </c>
      <c r="AB193" s="56">
        <f>IFERROR(IF(Q193=0,0,S193/Q193),0)</f>
        <v/>
      </c>
      <c r="AC193" s="56" t="inlineStr">
        <is>
          <t>Delivered</t>
        </is>
      </c>
      <c r="AD193" s="56">
        <f>IF(Z193&lt;=0,"Low Profit",IF(Z193&gt;=50,"HighProfit","Medium Profit"))</f>
        <v/>
      </c>
      <c r="AE193" s="56">
        <f>TEXT(B193,"mmmm")</f>
        <v/>
      </c>
    </row>
    <row r="194" ht="14.25" customHeight="1" s="57">
      <c r="A194" s="56" t="inlineStr">
        <is>
          <t>ORD-00428</t>
        </is>
      </c>
      <c r="B194" s="116" t="n">
        <v>45832</v>
      </c>
      <c r="C194" s="56" t="n">
        <v>2025</v>
      </c>
      <c r="D194" s="56" t="n">
        <v>6</v>
      </c>
      <c r="E194" s="56" t="inlineStr">
        <is>
          <t>UAE</t>
        </is>
      </c>
      <c r="F194" s="56" t="inlineStr">
        <is>
          <t>Abu Dhabi</t>
        </is>
      </c>
      <c r="G194" s="56" t="inlineStr">
        <is>
          <t>TikTok Ads</t>
        </is>
      </c>
      <c r="H194" s="56" t="inlineStr">
        <is>
          <t>Summer Sale</t>
        </is>
      </c>
      <c r="I194" s="56" t="inlineStr">
        <is>
          <t>P001</t>
        </is>
      </c>
      <c r="J194" s="56" t="inlineStr">
        <is>
          <t>Wireless Earbuds</t>
        </is>
      </c>
      <c r="K194" s="56" t="inlineStr">
        <is>
          <t>Electronics</t>
        </is>
      </c>
      <c r="L194" s="56" t="inlineStr">
        <is>
          <t>Shenzhen Audio Co.</t>
        </is>
      </c>
      <c r="M194" s="56" t="n">
        <v>36.32</v>
      </c>
      <c r="N194" s="56" t="n">
        <v>8.460000000000001</v>
      </c>
      <c r="O194" s="56" t="n">
        <v>4.32</v>
      </c>
      <c r="P194" s="56" t="n">
        <v>0.03</v>
      </c>
      <c r="Q194" s="56" t="n">
        <v>9.43</v>
      </c>
      <c r="R194" s="56" t="n">
        <v>3</v>
      </c>
      <c r="S194" s="56">
        <f>IF(AC194="Cancelled",0,M194*R194)</f>
        <v/>
      </c>
      <c r="T194" s="56">
        <f>IF(AC194="Cancelled",0,N194*R194)</f>
        <v/>
      </c>
      <c r="U194" s="56">
        <f>IF(AC194="Cancelled",0,O194*R194)</f>
        <v/>
      </c>
      <c r="V194" s="56">
        <f>IF(AC194="Cancelled",0,ROUND(P194*S194,2))</f>
        <v/>
      </c>
      <c r="W194" s="56" t="inlineStr">
        <is>
          <t>No</t>
        </is>
      </c>
      <c r="X194" s="56" t="n">
        <v>0</v>
      </c>
      <c r="Y194" s="56">
        <f>IF(AC194="Cancelled",0,T194+U194+V194+Q194+X194)</f>
        <v/>
      </c>
      <c r="Z194" s="56">
        <f>IF(AC194="Cancelled",-Q194,S194-Y194)</f>
        <v/>
      </c>
      <c r="AA194" s="56">
        <f>IF(OR(AC194="Cancelled",S194=0),0,Z194/S194)</f>
        <v/>
      </c>
      <c r="AB194" s="56">
        <f>IFERROR(IF(Q194=0,0,S194/Q194),0)</f>
        <v/>
      </c>
      <c r="AC194" s="56" t="inlineStr">
        <is>
          <t>Delivered</t>
        </is>
      </c>
      <c r="AD194" s="56">
        <f>IF(Z194&lt;=0,"Low Profit",IF(Z194&gt;=50,"HighProfit","Medium Profit"))</f>
        <v/>
      </c>
      <c r="AE194" s="56">
        <f>TEXT(B194,"mmmm")</f>
        <v/>
      </c>
    </row>
    <row r="195" ht="14.25" customHeight="1" s="57">
      <c r="A195" s="56" t="inlineStr">
        <is>
          <t>ORD-00033</t>
        </is>
      </c>
      <c r="B195" s="116" t="n">
        <v>45834</v>
      </c>
      <c r="C195" s="56" t="n">
        <v>2025</v>
      </c>
      <c r="D195" s="56" t="n">
        <v>6</v>
      </c>
      <c r="E195" s="56" t="inlineStr">
        <is>
          <t>Oman</t>
        </is>
      </c>
      <c r="F195" s="56" t="inlineStr">
        <is>
          <t>Muscat</t>
        </is>
      </c>
      <c r="G195" s="56" t="inlineStr">
        <is>
          <t>Google Ads</t>
        </is>
      </c>
      <c r="H195" s="56" t="inlineStr">
        <is>
          <t>Launch Test</t>
        </is>
      </c>
      <c r="I195" s="56" t="inlineStr">
        <is>
          <t>P009</t>
        </is>
      </c>
      <c r="J195" s="56" t="inlineStr">
        <is>
          <t>Car Vacuum Cleaner</t>
        </is>
      </c>
      <c r="K195" s="56" t="inlineStr">
        <is>
          <t>Automotive</t>
        </is>
      </c>
      <c r="L195" s="56" t="inlineStr">
        <is>
          <t>Dongguan Auto Tools</t>
        </is>
      </c>
      <c r="M195" s="56" t="n">
        <v>40.61</v>
      </c>
      <c r="N195" s="56" t="n">
        <v>13.59</v>
      </c>
      <c r="O195" s="56" t="n">
        <v>6.95</v>
      </c>
      <c r="P195" s="56" t="n">
        <v>0.03</v>
      </c>
      <c r="Q195" s="56" t="n">
        <v>15.17</v>
      </c>
      <c r="R195" s="56" t="n">
        <v>2</v>
      </c>
      <c r="S195" s="56">
        <f>IF(AC195="Cancelled",0,M195*R195)</f>
        <v/>
      </c>
      <c r="T195" s="56">
        <f>IF(AC195="Cancelled",0,N195*R195)</f>
        <v/>
      </c>
      <c r="U195" s="56">
        <f>IF(AC195="Cancelled",0,O195*R195)</f>
        <v/>
      </c>
      <c r="V195" s="56">
        <f>IF(AC195="Cancelled",0,ROUND(P195*S195,2))</f>
        <v/>
      </c>
      <c r="W195" s="56" t="inlineStr">
        <is>
          <t>No</t>
        </is>
      </c>
      <c r="X195" s="56" t="n">
        <v>0</v>
      </c>
      <c r="Y195" s="56">
        <f>IF(AC195="Cancelled",0,T195+U195+V195+Q195+X195)</f>
        <v/>
      </c>
      <c r="Z195" s="56">
        <f>IF(AC195="Cancelled",-Q195,S195-Y195)</f>
        <v/>
      </c>
      <c r="AA195" s="56">
        <f>IF(OR(AC195="Cancelled",S195=0),0,Z195/S195)</f>
        <v/>
      </c>
      <c r="AB195" s="56">
        <f>IFERROR(IF(Q195=0,0,S195/Q195),0)</f>
        <v/>
      </c>
      <c r="AC195" s="56" t="inlineStr">
        <is>
          <t>Delivered</t>
        </is>
      </c>
      <c r="AD195" s="56">
        <f>IF(Z195&lt;=0,"Low Profit",IF(Z195&gt;=50,"HighProfit","Medium Profit"))</f>
        <v/>
      </c>
      <c r="AE195" s="56">
        <f>TEXT(B195,"mmmm")</f>
        <v/>
      </c>
    </row>
    <row r="196" ht="14.25" customHeight="1" s="57">
      <c r="A196" s="56" t="inlineStr">
        <is>
          <t>ORD-00365</t>
        </is>
      </c>
      <c r="B196" s="116" t="n">
        <v>45834</v>
      </c>
      <c r="C196" s="56" t="n">
        <v>2025</v>
      </c>
      <c r="D196" s="56" t="n">
        <v>6</v>
      </c>
      <c r="E196" s="56" t="inlineStr">
        <is>
          <t>Kuwait</t>
        </is>
      </c>
      <c r="F196" s="56" t="inlineStr">
        <is>
          <t>Kuwait City</t>
        </is>
      </c>
      <c r="G196" s="56" t="inlineStr">
        <is>
          <t>Organic Search</t>
        </is>
      </c>
      <c r="H196" s="56" t="inlineStr">
        <is>
          <t>New Creative A/B</t>
        </is>
      </c>
      <c r="I196" s="56" t="inlineStr">
        <is>
          <t>P002</t>
        </is>
      </c>
      <c r="J196" s="56" t="inlineStr">
        <is>
          <t>Phone Case</t>
        </is>
      </c>
      <c r="K196" s="56" t="inlineStr">
        <is>
          <t>Accessories</t>
        </is>
      </c>
      <c r="L196" s="56" t="inlineStr">
        <is>
          <t>Guangzhou Cases Ltd.</t>
        </is>
      </c>
      <c r="M196" s="56" t="n">
        <v>14.86</v>
      </c>
      <c r="N196" s="56" t="n">
        <v>1.92</v>
      </c>
      <c r="O196" s="56" t="n">
        <v>1.9</v>
      </c>
      <c r="P196" s="56" t="n">
        <v>0.03</v>
      </c>
      <c r="Q196" s="56" t="n">
        <v>0</v>
      </c>
      <c r="R196" s="56" t="n">
        <v>1</v>
      </c>
      <c r="S196" s="56">
        <f>IF(AC196="Cancelled",0,M196*R196)</f>
        <v/>
      </c>
      <c r="T196" s="56">
        <f>IF(AC196="Cancelled",0,N196*R196)</f>
        <v/>
      </c>
      <c r="U196" s="56">
        <f>IF(AC196="Cancelled",0,O196*R196)</f>
        <v/>
      </c>
      <c r="V196" s="56">
        <f>IF(AC196="Cancelled",0,ROUND(P196*S196,2))</f>
        <v/>
      </c>
      <c r="W196" s="56" t="inlineStr">
        <is>
          <t>No</t>
        </is>
      </c>
      <c r="X196" s="56" t="n">
        <v>0</v>
      </c>
      <c r="Y196" s="56">
        <f>IF(AC196="Cancelled",0,T196+U196+V196+Q196+X196)</f>
        <v/>
      </c>
      <c r="Z196" s="56">
        <f>IF(AC196="Cancelled",-Q196,S196-Y196)</f>
        <v/>
      </c>
      <c r="AA196" s="56">
        <f>IF(OR(AC196="Cancelled",S196=0),0,Z196/S196)</f>
        <v/>
      </c>
      <c r="AB196" s="56">
        <f>IFERROR(IF(Q196=0,0,S196/Q196),0)</f>
        <v/>
      </c>
      <c r="AC196" s="56" t="inlineStr">
        <is>
          <t>Delivered</t>
        </is>
      </c>
      <c r="AD196" s="56">
        <f>IF(Z196&lt;=0,"Low Profit",IF(Z196&gt;=50,"HighProfit","Medium Profit"))</f>
        <v/>
      </c>
      <c r="AE196" s="56">
        <f>TEXT(B196,"mmmm")</f>
        <v/>
      </c>
    </row>
    <row r="197" ht="14.25" customHeight="1" s="57">
      <c r="A197" s="56" t="inlineStr">
        <is>
          <t>ORD-00320</t>
        </is>
      </c>
      <c r="B197" s="116" t="n">
        <v>45835</v>
      </c>
      <c r="C197" s="56" t="n">
        <v>2025</v>
      </c>
      <c r="D197" s="56" t="n">
        <v>6</v>
      </c>
      <c r="E197" s="56" t="inlineStr">
        <is>
          <t>UAE</t>
        </is>
      </c>
      <c r="F197" s="56" t="inlineStr">
        <is>
          <t>Dubai</t>
        </is>
      </c>
      <c r="G197" s="56" t="inlineStr">
        <is>
          <t>Influencer</t>
        </is>
      </c>
      <c r="H197" s="56" t="inlineStr">
        <is>
          <t>Retargeting</t>
        </is>
      </c>
      <c r="I197" s="56" t="inlineStr">
        <is>
          <t>P007</t>
        </is>
      </c>
      <c r="J197" s="56" t="inlineStr">
        <is>
          <t>Pet Grooming Glove</t>
        </is>
      </c>
      <c r="K197" s="56" t="inlineStr">
        <is>
          <t>Pets</t>
        </is>
      </c>
      <c r="L197" s="56" t="inlineStr">
        <is>
          <t>Yiwu Pet Products</t>
        </is>
      </c>
      <c r="M197" s="56" t="n">
        <v>18.32</v>
      </c>
      <c r="N197" s="56" t="n">
        <v>3.41</v>
      </c>
      <c r="O197" s="56" t="n">
        <v>2.47</v>
      </c>
      <c r="P197" s="56" t="n">
        <v>0.03</v>
      </c>
      <c r="Q197" s="56" t="n">
        <v>12.17</v>
      </c>
      <c r="R197" s="56" t="n">
        <v>2</v>
      </c>
      <c r="S197" s="56">
        <f>IF(AC197="Cancelled",0,M197*R197)</f>
        <v/>
      </c>
      <c r="T197" s="56">
        <f>IF(AC197="Cancelled",0,N197*R197)</f>
        <v/>
      </c>
      <c r="U197" s="56">
        <f>IF(AC197="Cancelled",0,O197*R197)</f>
        <v/>
      </c>
      <c r="V197" s="56">
        <f>IF(AC197="Cancelled",0,ROUND(P197*S197,2))</f>
        <v/>
      </c>
      <c r="W197" s="56" t="inlineStr">
        <is>
          <t>No</t>
        </is>
      </c>
      <c r="X197" s="56" t="n">
        <v>0</v>
      </c>
      <c r="Y197" s="56">
        <f>IF(AC197="Cancelled",0,T197+U197+V197+Q197+X197)</f>
        <v/>
      </c>
      <c r="Z197" s="56">
        <f>IF(AC197="Cancelled",-Q197,S197-Y197)</f>
        <v/>
      </c>
      <c r="AA197" s="56">
        <f>IF(OR(AC197="Cancelled",S197=0),0,Z197/S197)</f>
        <v/>
      </c>
      <c r="AB197" s="56">
        <f>IFERROR(IF(Q197=0,0,S197/Q197),0)</f>
        <v/>
      </c>
      <c r="AC197" s="56" t="inlineStr">
        <is>
          <t>Delivered</t>
        </is>
      </c>
      <c r="AD197" s="56">
        <f>IF(Z197&lt;=0,"Low Profit",IF(Z197&gt;=50,"HighProfit","Medium Profit"))</f>
        <v/>
      </c>
      <c r="AE197" s="56">
        <f>TEXT(B197,"mmmm")</f>
        <v/>
      </c>
    </row>
    <row r="198" ht="14.25" customHeight="1" s="57">
      <c r="A198" s="56" t="inlineStr">
        <is>
          <t>ORD-00352</t>
        </is>
      </c>
      <c r="B198" s="116" t="n">
        <v>45835</v>
      </c>
      <c r="C198" s="56" t="n">
        <v>2025</v>
      </c>
      <c r="D198" s="56" t="n">
        <v>6</v>
      </c>
      <c r="E198" s="56" t="inlineStr">
        <is>
          <t>Saudi Arabia</t>
        </is>
      </c>
      <c r="F198" s="56" t="inlineStr">
        <is>
          <t>Riyadh</t>
        </is>
      </c>
      <c r="G198" s="56" t="inlineStr">
        <is>
          <t>Email</t>
        </is>
      </c>
      <c r="H198" s="56" t="inlineStr">
        <is>
          <t>New Creative A/B</t>
        </is>
      </c>
      <c r="I198" s="56" t="inlineStr">
        <is>
          <t>P004</t>
        </is>
      </c>
      <c r="J198" s="56" t="inlineStr">
        <is>
          <t>Beauty Tool</t>
        </is>
      </c>
      <c r="K198" s="56" t="inlineStr">
        <is>
          <t>Beauty</t>
        </is>
      </c>
      <c r="L198" s="56" t="inlineStr">
        <is>
          <t>Ningbo Beauty Supply</t>
        </is>
      </c>
      <c r="M198" s="56" t="n">
        <v>33.11</v>
      </c>
      <c r="N198" s="56" t="n">
        <v>7.56</v>
      </c>
      <c r="O198" s="56" t="n">
        <v>4.18</v>
      </c>
      <c r="P198" s="56" t="n">
        <v>0.03</v>
      </c>
      <c r="Q198" s="56" t="n">
        <v>27.02</v>
      </c>
      <c r="R198" s="56" t="n">
        <v>3</v>
      </c>
      <c r="S198" s="56">
        <f>IF(AC198="Cancelled",0,M198*R198)</f>
        <v/>
      </c>
      <c r="T198" s="56">
        <f>IF(AC198="Cancelled",0,N198*R198)</f>
        <v/>
      </c>
      <c r="U198" s="56">
        <f>IF(AC198="Cancelled",0,O198*R198)</f>
        <v/>
      </c>
      <c r="V198" s="56">
        <f>IF(AC198="Cancelled",0,ROUND(P198*S198,2))</f>
        <v/>
      </c>
      <c r="W198" s="56" t="inlineStr">
        <is>
          <t>No</t>
        </is>
      </c>
      <c r="X198" s="56" t="n">
        <v>0</v>
      </c>
      <c r="Y198" s="56">
        <f>IF(AC198="Cancelled",0,T198+U198+V198+Q198+X198)</f>
        <v/>
      </c>
      <c r="Z198" s="56">
        <f>IF(AC198="Cancelled",-Q198,S198-Y198)</f>
        <v/>
      </c>
      <c r="AA198" s="56">
        <f>IF(OR(AC198="Cancelled",S198=0),0,Z198/S198)</f>
        <v/>
      </c>
      <c r="AB198" s="56">
        <f>IFERROR(IF(Q198=0,0,S198/Q198),0)</f>
        <v/>
      </c>
      <c r="AC198" s="56" t="inlineStr">
        <is>
          <t>Delivered</t>
        </is>
      </c>
      <c r="AD198" s="56">
        <f>IF(Z198&lt;=0,"Low Profit",IF(Z198&gt;=50,"HighProfit","Medium Profit"))</f>
        <v/>
      </c>
      <c r="AE198" s="56">
        <f>TEXT(B198,"mmmm")</f>
        <v/>
      </c>
    </row>
    <row r="199" ht="14.25" customHeight="1" s="57">
      <c r="A199" s="56" t="inlineStr">
        <is>
          <t>ORD-00482</t>
        </is>
      </c>
      <c r="B199" s="116" t="n">
        <v>45836</v>
      </c>
      <c r="C199" s="56" t="n">
        <v>2025</v>
      </c>
      <c r="D199" s="56" t="n">
        <v>6</v>
      </c>
      <c r="E199" s="56" t="inlineStr">
        <is>
          <t>UAE</t>
        </is>
      </c>
      <c r="F199" s="56" t="inlineStr">
        <is>
          <t>Dubai</t>
        </is>
      </c>
      <c r="G199" s="56" t="inlineStr">
        <is>
          <t>Google Ads</t>
        </is>
      </c>
      <c r="H199" s="56" t="inlineStr">
        <is>
          <t>Retargeting</t>
        </is>
      </c>
      <c r="I199" s="56" t="inlineStr">
        <is>
          <t>P002</t>
        </is>
      </c>
      <c r="J199" s="56" t="inlineStr">
        <is>
          <t>Phone Case</t>
        </is>
      </c>
      <c r="K199" s="56" t="inlineStr">
        <is>
          <t>Accessories</t>
        </is>
      </c>
      <c r="L199" s="56" t="inlineStr">
        <is>
          <t>Guangzhou Cases Ltd.</t>
        </is>
      </c>
      <c r="M199" s="56" t="n">
        <v>15.1</v>
      </c>
      <c r="N199" s="56" t="n">
        <v>2.13</v>
      </c>
      <c r="O199" s="56" t="n">
        <v>1.9</v>
      </c>
      <c r="P199" s="56" t="n">
        <v>0.03</v>
      </c>
      <c r="Q199" s="56" t="n">
        <v>3.43</v>
      </c>
      <c r="R199" s="56" t="n">
        <v>1</v>
      </c>
      <c r="S199" s="56">
        <f>IF(AC199="Cancelled",0,M199*R199)</f>
        <v/>
      </c>
      <c r="T199" s="56">
        <f>IF(AC199="Cancelled",0,N199*R199)</f>
        <v/>
      </c>
      <c r="U199" s="56">
        <f>IF(AC199="Cancelled",0,O199*R199)</f>
        <v/>
      </c>
      <c r="V199" s="56">
        <f>IF(AC199="Cancelled",0,ROUND(P199*S199,2))</f>
        <v/>
      </c>
      <c r="W199" s="56" t="inlineStr">
        <is>
          <t>Yes</t>
        </is>
      </c>
      <c r="X199" s="56" t="n">
        <v>11.27</v>
      </c>
      <c r="Y199" s="56">
        <f>IF(AC199="Cancelled",0,T199+U199+V199+Q199+X199)</f>
        <v/>
      </c>
      <c r="Z199" s="56">
        <f>IF(AC199="Cancelled",-Q199,S199-Y199)</f>
        <v/>
      </c>
      <c r="AA199" s="56">
        <f>IF(OR(AC199="Cancelled",S199=0),0,Z199/S199)</f>
        <v/>
      </c>
      <c r="AB199" s="56">
        <f>IFERROR(IF(Q199=0,0,S199/Q199),0)</f>
        <v/>
      </c>
      <c r="AC199" s="56" t="inlineStr">
        <is>
          <t>Refunded</t>
        </is>
      </c>
      <c r="AD199" s="56">
        <f>IF(Z199&lt;=0,"Low Profit",IF(Z199&gt;=50,"HighProfit","Medium Profit"))</f>
        <v/>
      </c>
      <c r="AE199" s="56">
        <f>TEXT(B199,"mmmm")</f>
        <v/>
      </c>
    </row>
    <row r="200" ht="14.25" customHeight="1" s="57">
      <c r="A200" s="56" t="inlineStr">
        <is>
          <t>ORD-00343</t>
        </is>
      </c>
      <c r="B200" s="116" t="n">
        <v>45837</v>
      </c>
      <c r="C200" s="56" t="n">
        <v>2025</v>
      </c>
      <c r="D200" s="56" t="n">
        <v>6</v>
      </c>
      <c r="E200" s="56" t="inlineStr">
        <is>
          <t>Saudi Arabia</t>
        </is>
      </c>
      <c r="F200" s="56" t="inlineStr">
        <is>
          <t>Jeddah</t>
        </is>
      </c>
      <c r="G200" s="56" t="inlineStr">
        <is>
          <t>Influencer</t>
        </is>
      </c>
      <c r="H200" s="56" t="inlineStr">
        <is>
          <t>Launch Test</t>
        </is>
      </c>
      <c r="I200" s="56" t="inlineStr">
        <is>
          <t>P010</t>
        </is>
      </c>
      <c r="J200" s="56" t="inlineStr">
        <is>
          <t>Smart Water Bottle</t>
        </is>
      </c>
      <c r="K200" s="56" t="inlineStr">
        <is>
          <t>Lifestyle</t>
        </is>
      </c>
      <c r="L200" s="56" t="inlineStr">
        <is>
          <t>Shenzhen Smart Home</t>
        </is>
      </c>
      <c r="M200" s="56" t="n">
        <v>31.48</v>
      </c>
      <c r="N200" s="56" t="n">
        <v>10.72</v>
      </c>
      <c r="O200" s="56" t="n">
        <v>4.1</v>
      </c>
      <c r="P200" s="56" t="n">
        <v>0.03</v>
      </c>
      <c r="Q200" s="56" t="n">
        <v>16.46</v>
      </c>
      <c r="R200" s="56" t="n">
        <v>2</v>
      </c>
      <c r="S200" s="56">
        <f>IF(AC200="Cancelled",0,M200*R200)</f>
        <v/>
      </c>
      <c r="T200" s="56">
        <f>IF(AC200="Cancelled",0,N200*R200)</f>
        <v/>
      </c>
      <c r="U200" s="56">
        <f>IF(AC200="Cancelled",0,O200*R200)</f>
        <v/>
      </c>
      <c r="V200" s="56">
        <f>IF(AC200="Cancelled",0,ROUND(P200*S200,2))</f>
        <v/>
      </c>
      <c r="W200" s="56" t="inlineStr">
        <is>
          <t>No</t>
        </is>
      </c>
      <c r="X200" s="56" t="n">
        <v>0</v>
      </c>
      <c r="Y200" s="56">
        <f>IF(AC200="Cancelled",0,T200+U200+V200+Q200+X200)</f>
        <v/>
      </c>
      <c r="Z200" s="56">
        <f>IF(AC200="Cancelled",-Q200,S200-Y200)</f>
        <v/>
      </c>
      <c r="AA200" s="56">
        <f>IF(OR(AC200="Cancelled",S200=0),0,Z200/S200)</f>
        <v/>
      </c>
      <c r="AB200" s="56">
        <f>IFERROR(IF(Q200=0,0,S200/Q200),0)</f>
        <v/>
      </c>
      <c r="AC200" s="56" t="inlineStr">
        <is>
          <t>Delivered</t>
        </is>
      </c>
      <c r="AD200" s="56">
        <f>IF(Z200&lt;=0,"Low Profit",IF(Z200&gt;=50,"HighProfit","Medium Profit"))</f>
        <v/>
      </c>
      <c r="AE200" s="56">
        <f>TEXT(B200,"mmmm")</f>
        <v/>
      </c>
    </row>
    <row r="201" ht="14.25" customHeight="1" s="57">
      <c r="A201" s="56" t="inlineStr">
        <is>
          <t>ORD-00045</t>
        </is>
      </c>
      <c r="B201" s="116" t="n">
        <v>45838</v>
      </c>
      <c r="C201" s="56" t="n">
        <v>2025</v>
      </c>
      <c r="D201" s="56" t="n">
        <v>6</v>
      </c>
      <c r="E201" s="56" t="inlineStr">
        <is>
          <t>Kuwait</t>
        </is>
      </c>
      <c r="F201" s="56" t="inlineStr">
        <is>
          <t>Kuwait City</t>
        </is>
      </c>
      <c r="G201" s="56" t="inlineStr">
        <is>
          <t>TikTok Ads</t>
        </is>
      </c>
      <c r="H201" s="56" t="inlineStr">
        <is>
          <t>Summer Sale</t>
        </is>
      </c>
      <c r="I201" s="56" t="inlineStr">
        <is>
          <t>P010</t>
        </is>
      </c>
      <c r="J201" s="56" t="inlineStr">
        <is>
          <t>Smart Water Bottle</t>
        </is>
      </c>
      <c r="K201" s="56" t="inlineStr">
        <is>
          <t>Lifestyle</t>
        </is>
      </c>
      <c r="L201" s="56" t="inlineStr">
        <is>
          <t>Shenzhen Smart Home</t>
        </is>
      </c>
      <c r="M201" s="56" t="n">
        <v>31.99</v>
      </c>
      <c r="N201" s="56" t="n">
        <v>10.72</v>
      </c>
      <c r="O201" s="56" t="n">
        <v>3.73</v>
      </c>
      <c r="P201" s="56" t="n">
        <v>0.03</v>
      </c>
      <c r="Q201" s="56" t="n">
        <v>10.7</v>
      </c>
      <c r="R201" s="56" t="n">
        <v>2</v>
      </c>
      <c r="S201" s="56">
        <f>IF(AC201="Cancelled",0,M201*R201)</f>
        <v/>
      </c>
      <c r="T201" s="56">
        <f>IF(AC201="Cancelled",0,N201*R201)</f>
        <v/>
      </c>
      <c r="U201" s="56">
        <f>IF(AC201="Cancelled",0,O201*R201)</f>
        <v/>
      </c>
      <c r="V201" s="56">
        <f>IF(AC201="Cancelled",0,ROUND(P201*S201,2))</f>
        <v/>
      </c>
      <c r="W201" s="56" t="inlineStr">
        <is>
          <t>No</t>
        </is>
      </c>
      <c r="X201" s="56" t="n">
        <v>0</v>
      </c>
      <c r="Y201" s="56">
        <f>IF(AC201="Cancelled",0,T201+U201+V201+Q201+X201)</f>
        <v/>
      </c>
      <c r="Z201" s="56">
        <f>IF(AC201="Cancelled",-Q201,S201-Y201)</f>
        <v/>
      </c>
      <c r="AA201" s="56">
        <f>IF(OR(AC201="Cancelled",S201=0),0,Z201/S201)</f>
        <v/>
      </c>
      <c r="AB201" s="56">
        <f>IFERROR(IF(Q201=0,0,S201/Q201),0)</f>
        <v/>
      </c>
      <c r="AC201" s="56" t="inlineStr">
        <is>
          <t>Delivered</t>
        </is>
      </c>
      <c r="AD201" s="56">
        <f>IF(Z201&lt;=0,"Low Profit",IF(Z201&gt;=50,"HighProfit","Medium Profit"))</f>
        <v/>
      </c>
      <c r="AE201" s="56">
        <f>TEXT(B201,"mmmm")</f>
        <v/>
      </c>
    </row>
    <row r="202" ht="14.25" customHeight="1" s="57">
      <c r="A202" s="56" t="inlineStr">
        <is>
          <t>ORD-00200</t>
        </is>
      </c>
      <c r="B202" s="116" t="n">
        <v>45839</v>
      </c>
      <c r="C202" s="56" t="n">
        <v>2025</v>
      </c>
      <c r="D202" s="56" t="n">
        <v>7</v>
      </c>
      <c r="E202" s="56" t="inlineStr">
        <is>
          <t>Kuwait</t>
        </is>
      </c>
      <c r="F202" s="56" t="inlineStr">
        <is>
          <t>Kuwait City</t>
        </is>
      </c>
      <c r="G202" s="56" t="inlineStr">
        <is>
          <t>Meta Ads</t>
        </is>
      </c>
      <c r="H202" s="56" t="inlineStr">
        <is>
          <t>New Creative A/B</t>
        </is>
      </c>
      <c r="I202" s="56" t="inlineStr">
        <is>
          <t>P009</t>
        </is>
      </c>
      <c r="J202" s="56" t="inlineStr">
        <is>
          <t>Car Vacuum Cleaner</t>
        </is>
      </c>
      <c r="K202" s="56" t="inlineStr">
        <is>
          <t>Automotive</t>
        </is>
      </c>
      <c r="L202" s="56" t="inlineStr">
        <is>
          <t>Dongguan Auto Tools</t>
        </is>
      </c>
      <c r="M202" s="56" t="n">
        <v>41.85</v>
      </c>
      <c r="N202" s="56" t="n">
        <v>13.69</v>
      </c>
      <c r="O202" s="56" t="n">
        <v>7</v>
      </c>
      <c r="P202" s="56" t="n">
        <v>0.03</v>
      </c>
      <c r="Q202" s="56" t="n">
        <v>26.46</v>
      </c>
      <c r="R202" s="56" t="n">
        <v>3</v>
      </c>
      <c r="S202" s="56">
        <f>IF(AC202="Cancelled",0,M202*R202)</f>
        <v/>
      </c>
      <c r="T202" s="56">
        <f>IF(AC202="Cancelled",0,N202*R202)</f>
        <v/>
      </c>
      <c r="U202" s="56">
        <f>IF(AC202="Cancelled",0,O202*R202)</f>
        <v/>
      </c>
      <c r="V202" s="56">
        <f>IF(AC202="Cancelled",0,ROUND(P202*S202,2))</f>
        <v/>
      </c>
      <c r="W202" s="56" t="inlineStr">
        <is>
          <t>No</t>
        </is>
      </c>
      <c r="X202" s="56" t="n">
        <v>0</v>
      </c>
      <c r="Y202" s="56">
        <f>IF(AC202="Cancelled",0,T202+U202+V202+Q202+X202)</f>
        <v/>
      </c>
      <c r="Z202" s="56">
        <f>IF(AC202="Cancelled",-Q202,S202-Y202)</f>
        <v/>
      </c>
      <c r="AA202" s="56">
        <f>IF(OR(AC202="Cancelled",S202=0),0,Z202/S202)</f>
        <v/>
      </c>
      <c r="AB202" s="56">
        <f>IFERROR(IF(Q202=0,0,S202/Q202),0)</f>
        <v/>
      </c>
      <c r="AC202" s="56" t="inlineStr">
        <is>
          <t>Delivered</t>
        </is>
      </c>
      <c r="AD202" s="56">
        <f>IF(Z202&lt;=0,"Low Profit",IF(Z202&gt;=50,"HighProfit","Medium Profit"))</f>
        <v/>
      </c>
      <c r="AE202" s="56">
        <f>TEXT(B202,"mmmm")</f>
        <v/>
      </c>
    </row>
    <row r="203" ht="14.25" customHeight="1" s="57">
      <c r="A203" s="56" t="inlineStr">
        <is>
          <t>ORD-00063</t>
        </is>
      </c>
      <c r="B203" s="116" t="n">
        <v>45842</v>
      </c>
      <c r="C203" s="56" t="n">
        <v>2025</v>
      </c>
      <c r="D203" s="56" t="n">
        <v>7</v>
      </c>
      <c r="E203" s="56" t="inlineStr">
        <is>
          <t>Kuwait</t>
        </is>
      </c>
      <c r="F203" s="56" t="inlineStr">
        <is>
          <t>Kuwait City</t>
        </is>
      </c>
      <c r="G203" s="56" t="inlineStr">
        <is>
          <t>TikTok Ads</t>
        </is>
      </c>
      <c r="H203" s="56" t="inlineStr">
        <is>
          <t>Summer Sale</t>
        </is>
      </c>
      <c r="I203" s="56" t="inlineStr">
        <is>
          <t>P007</t>
        </is>
      </c>
      <c r="J203" s="56" t="inlineStr">
        <is>
          <t>Pet Grooming Glove</t>
        </is>
      </c>
      <c r="K203" s="56" t="inlineStr">
        <is>
          <t>Pets</t>
        </is>
      </c>
      <c r="L203" s="56" t="inlineStr">
        <is>
          <t>Yiwu Pet Products</t>
        </is>
      </c>
      <c r="M203" s="56" t="n">
        <v>21.96</v>
      </c>
      <c r="N203" s="56" t="n">
        <v>3.59</v>
      </c>
      <c r="O203" s="56" t="n">
        <v>2.3</v>
      </c>
      <c r="P203" s="56" t="n">
        <v>0.03</v>
      </c>
      <c r="Q203" s="56" t="n">
        <v>8.77</v>
      </c>
      <c r="R203" s="56" t="n">
        <v>1</v>
      </c>
      <c r="S203" s="56">
        <f>IF(AC203="Cancelled",0,M203*R203)</f>
        <v/>
      </c>
      <c r="T203" s="56">
        <f>IF(AC203="Cancelled",0,N203*R203)</f>
        <v/>
      </c>
      <c r="U203" s="56">
        <f>IF(AC203="Cancelled",0,O203*R203)</f>
        <v/>
      </c>
      <c r="V203" s="56">
        <f>IF(AC203="Cancelled",0,ROUND(P203*S203,2))</f>
        <v/>
      </c>
      <c r="W203" s="56" t="inlineStr">
        <is>
          <t>Yes</t>
        </is>
      </c>
      <c r="X203" s="56" t="n">
        <v>10.41</v>
      </c>
      <c r="Y203" s="56">
        <f>IF(AC203="Cancelled",0,T203+U203+V203+Q203+X203)</f>
        <v/>
      </c>
      <c r="Z203" s="56">
        <f>IF(AC203="Cancelled",-Q203,S203-Y203)</f>
        <v/>
      </c>
      <c r="AA203" s="56">
        <f>IF(OR(AC203="Cancelled",S203=0),0,Z203/S203)</f>
        <v/>
      </c>
      <c r="AB203" s="56">
        <f>IFERROR(IF(Q203=0,0,S203/Q203),0)</f>
        <v/>
      </c>
      <c r="AC203" s="56" t="inlineStr">
        <is>
          <t>Refunded</t>
        </is>
      </c>
      <c r="AD203" s="56">
        <f>IF(Z203&lt;=0,"Low Profit",IF(Z203&gt;=50,"HighProfit","Medium Profit"))</f>
        <v/>
      </c>
      <c r="AE203" s="56">
        <f>TEXT(B203,"mmmm")</f>
        <v/>
      </c>
    </row>
    <row r="204" ht="14.25" customHeight="1" s="57">
      <c r="A204" s="56" t="inlineStr">
        <is>
          <t>ORD-00424</t>
        </is>
      </c>
      <c r="B204" s="116" t="n">
        <v>45843</v>
      </c>
      <c r="C204" s="56" t="n">
        <v>2025</v>
      </c>
      <c r="D204" s="56" t="n">
        <v>7</v>
      </c>
      <c r="E204" s="56" t="inlineStr">
        <is>
          <t>UAE</t>
        </is>
      </c>
      <c r="F204" s="56" t="inlineStr">
        <is>
          <t>Dubai</t>
        </is>
      </c>
      <c r="G204" s="56" t="inlineStr">
        <is>
          <t>Email</t>
        </is>
      </c>
      <c r="H204" s="56" t="inlineStr">
        <is>
          <t>New Creative A/B</t>
        </is>
      </c>
      <c r="I204" s="56" t="inlineStr">
        <is>
          <t>P005</t>
        </is>
      </c>
      <c r="J204" s="56" t="inlineStr">
        <is>
          <t>Mini Printer</t>
        </is>
      </c>
      <c r="K204" s="56" t="inlineStr">
        <is>
          <t>Electronics</t>
        </is>
      </c>
      <c r="L204" s="56" t="inlineStr">
        <is>
          <t>Shenzhen Print Tech</t>
        </is>
      </c>
      <c r="M204" s="56" t="n">
        <v>61.16</v>
      </c>
      <c r="N204" s="56" t="n">
        <v>23.34</v>
      </c>
      <c r="O204" s="56" t="n">
        <v>6.45</v>
      </c>
      <c r="P204" s="56" t="n">
        <v>0.03</v>
      </c>
      <c r="Q204" s="56" t="n">
        <v>23.42</v>
      </c>
      <c r="R204" s="56" t="n">
        <v>3</v>
      </c>
      <c r="S204" s="56">
        <f>IF(AC204="Cancelled",0,M204*R204)</f>
        <v/>
      </c>
      <c r="T204" s="56">
        <f>IF(AC204="Cancelled",0,N204*R204)</f>
        <v/>
      </c>
      <c r="U204" s="56">
        <f>IF(AC204="Cancelled",0,O204*R204)</f>
        <v/>
      </c>
      <c r="V204" s="56">
        <f>IF(AC204="Cancelled",0,ROUND(P204*S204,2))</f>
        <v/>
      </c>
      <c r="W204" s="56" t="inlineStr">
        <is>
          <t>Yes</t>
        </is>
      </c>
      <c r="X204" s="56" t="n">
        <v>112.73</v>
      </c>
      <c r="Y204" s="56">
        <f>IF(AC204="Cancelled",0,T204+U204+V204+Q204+X204)</f>
        <v/>
      </c>
      <c r="Z204" s="56">
        <f>IF(AC204="Cancelled",-Q204,S204-Y204)</f>
        <v/>
      </c>
      <c r="AA204" s="56">
        <f>IF(OR(AC204="Cancelled",S204=0),0,Z204/S204)</f>
        <v/>
      </c>
      <c r="AB204" s="56">
        <f>IFERROR(IF(Q204=0,0,S204/Q204),0)</f>
        <v/>
      </c>
      <c r="AC204" s="56" t="inlineStr">
        <is>
          <t>Refunded</t>
        </is>
      </c>
      <c r="AD204" s="56">
        <f>IF(Z204&lt;=0,"Low Profit",IF(Z204&gt;=50,"HighProfit","Medium Profit"))</f>
        <v/>
      </c>
      <c r="AE204" s="56">
        <f>TEXT(B204,"mmmm")</f>
        <v/>
      </c>
    </row>
    <row r="205" ht="14.25" customHeight="1" s="57">
      <c r="A205" s="56" t="inlineStr">
        <is>
          <t>ORD-00387</t>
        </is>
      </c>
      <c r="B205" s="116" t="n">
        <v>45846</v>
      </c>
      <c r="C205" s="56" t="n">
        <v>2025</v>
      </c>
      <c r="D205" s="56" t="n">
        <v>7</v>
      </c>
      <c r="E205" s="56" t="inlineStr">
        <is>
          <t>UAE</t>
        </is>
      </c>
      <c r="F205" s="56" t="inlineStr">
        <is>
          <t>Sharjah</t>
        </is>
      </c>
      <c r="G205" s="56" t="inlineStr">
        <is>
          <t>Meta Ads</t>
        </is>
      </c>
      <c r="H205" s="56" t="inlineStr">
        <is>
          <t>New Creative A/B</t>
        </is>
      </c>
      <c r="I205" s="56" t="inlineStr">
        <is>
          <t>P003</t>
        </is>
      </c>
      <c r="J205" s="56" t="inlineStr">
        <is>
          <t>LED Strip Lights</t>
        </is>
      </c>
      <c r="K205" s="56" t="inlineStr">
        <is>
          <t>Home Decor</t>
        </is>
      </c>
      <c r="L205" s="56" t="inlineStr">
        <is>
          <t>Yiwu Lighting Factory</t>
        </is>
      </c>
      <c r="M205" s="56" t="n">
        <v>22.94</v>
      </c>
      <c r="N205" s="56" t="n">
        <v>5.85</v>
      </c>
      <c r="O205" s="56" t="n">
        <v>3.54</v>
      </c>
      <c r="P205" s="56" t="n">
        <v>0.03</v>
      </c>
      <c r="Q205" s="56" t="n">
        <v>7.87</v>
      </c>
      <c r="R205" s="56" t="n">
        <v>1</v>
      </c>
      <c r="S205" s="56">
        <f>IF(AC205="Cancelled",0,M205*R205)</f>
        <v/>
      </c>
      <c r="T205" s="56">
        <f>IF(AC205="Cancelled",0,N205*R205)</f>
        <v/>
      </c>
      <c r="U205" s="56">
        <f>IF(AC205="Cancelled",0,O205*R205)</f>
        <v/>
      </c>
      <c r="V205" s="56">
        <f>IF(AC205="Cancelled",0,ROUND(P205*S205,2))</f>
        <v/>
      </c>
      <c r="W205" s="56" t="inlineStr">
        <is>
          <t>No</t>
        </is>
      </c>
      <c r="X205" s="56" t="n">
        <v>0</v>
      </c>
      <c r="Y205" s="56">
        <f>IF(AC205="Cancelled",0,T205+U205+V205+Q205+X205)</f>
        <v/>
      </c>
      <c r="Z205" s="56">
        <f>IF(AC205="Cancelled",-Q205,S205-Y205)</f>
        <v/>
      </c>
      <c r="AA205" s="56">
        <f>IF(OR(AC205="Cancelled",S205=0),0,Z205/S205)</f>
        <v/>
      </c>
      <c r="AB205" s="56">
        <f>IFERROR(IF(Q205=0,0,S205/Q205),0)</f>
        <v/>
      </c>
      <c r="AC205" s="56" t="inlineStr">
        <is>
          <t>Delivered</t>
        </is>
      </c>
      <c r="AD205" s="56">
        <f>IF(Z205&lt;=0,"Low Profit",IF(Z205&gt;=50,"HighProfit","Medium Profit"))</f>
        <v/>
      </c>
      <c r="AE205" s="56">
        <f>TEXT(B205,"mmmm")</f>
        <v/>
      </c>
    </row>
    <row r="206" ht="14.25" customHeight="1" s="57">
      <c r="A206" s="56" t="inlineStr">
        <is>
          <t>ORD-00494</t>
        </is>
      </c>
      <c r="B206" s="116" t="n">
        <v>45849</v>
      </c>
      <c r="C206" s="56" t="n">
        <v>2025</v>
      </c>
      <c r="D206" s="56" t="n">
        <v>7</v>
      </c>
      <c r="E206" s="56" t="inlineStr">
        <is>
          <t>UAE</t>
        </is>
      </c>
      <c r="F206" s="56" t="inlineStr">
        <is>
          <t>Abu Dhabi</t>
        </is>
      </c>
      <c r="G206" s="56" t="inlineStr">
        <is>
          <t>Influencer</t>
        </is>
      </c>
      <c r="H206" s="56" t="inlineStr">
        <is>
          <t>New Creative A/B</t>
        </is>
      </c>
      <c r="I206" s="56" t="inlineStr">
        <is>
          <t>P006</t>
        </is>
      </c>
      <c r="J206" s="56" t="inlineStr">
        <is>
          <t>Posture Corrector</t>
        </is>
      </c>
      <c r="K206" s="56" t="inlineStr">
        <is>
          <t>Fitness</t>
        </is>
      </c>
      <c r="L206" s="56" t="inlineStr">
        <is>
          <t>Hangzhou Health Gear</t>
        </is>
      </c>
      <c r="M206" s="56" t="n">
        <v>34.75</v>
      </c>
      <c r="N206" s="56" t="n">
        <v>8.57</v>
      </c>
      <c r="O206" s="56" t="n">
        <v>3.77</v>
      </c>
      <c r="P206" s="56" t="n">
        <v>0.03</v>
      </c>
      <c r="Q206" s="56" t="n">
        <v>1.53</v>
      </c>
      <c r="R206" s="56" t="n">
        <v>1</v>
      </c>
      <c r="S206" s="56">
        <f>IF(AC206="Cancelled",0,M206*R206)</f>
        <v/>
      </c>
      <c r="T206" s="56">
        <f>IF(AC206="Cancelled",0,N206*R206)</f>
        <v/>
      </c>
      <c r="U206" s="56">
        <f>IF(AC206="Cancelled",0,O206*R206)</f>
        <v/>
      </c>
      <c r="V206" s="56">
        <f>IF(AC206="Cancelled",0,ROUND(P206*S206,2))</f>
        <v/>
      </c>
      <c r="W206" s="56" t="inlineStr">
        <is>
          <t>No</t>
        </is>
      </c>
      <c r="X206" s="56" t="n">
        <v>0</v>
      </c>
      <c r="Y206" s="56">
        <f>IF(AC206="Cancelled",0,T206+U206+V206+Q206+X206)</f>
        <v/>
      </c>
      <c r="Z206" s="56">
        <f>IF(AC206="Cancelled",-Q206,S206-Y206)</f>
        <v/>
      </c>
      <c r="AA206" s="56">
        <f>IF(OR(AC206="Cancelled",S206=0),0,Z206/S206)</f>
        <v/>
      </c>
      <c r="AB206" s="56">
        <f>IFERROR(IF(Q206=0,0,S206/Q206),0)</f>
        <v/>
      </c>
      <c r="AC206" s="56" t="inlineStr">
        <is>
          <t>Delivered</t>
        </is>
      </c>
      <c r="AD206" s="56">
        <f>IF(Z206&lt;=0,"Low Profit",IF(Z206&gt;=50,"HighProfit","Medium Profit"))</f>
        <v/>
      </c>
      <c r="AE206" s="56">
        <f>TEXT(B206,"mmmm")</f>
        <v/>
      </c>
    </row>
    <row r="207" ht="14.25" customHeight="1" s="57">
      <c r="A207" s="56" t="inlineStr">
        <is>
          <t>ORD-00004</t>
        </is>
      </c>
      <c r="B207" s="116" t="n">
        <v>45850</v>
      </c>
      <c r="C207" s="56" t="n">
        <v>2025</v>
      </c>
      <c r="D207" s="56" t="n">
        <v>7</v>
      </c>
      <c r="E207" s="56" t="inlineStr">
        <is>
          <t>UAE</t>
        </is>
      </c>
      <c r="F207" s="56" t="inlineStr">
        <is>
          <t>Dubai</t>
        </is>
      </c>
      <c r="G207" s="56" t="inlineStr">
        <is>
          <t>TikTok Ads</t>
        </is>
      </c>
      <c r="H207" s="56" t="inlineStr">
        <is>
          <t>New Creative A/B</t>
        </is>
      </c>
      <c r="I207" s="56" t="inlineStr">
        <is>
          <t>P001</t>
        </is>
      </c>
      <c r="J207" s="56" t="inlineStr">
        <is>
          <t>Wireless Earbuds</t>
        </is>
      </c>
      <c r="K207" s="56" t="inlineStr">
        <is>
          <t>Electronics</t>
        </is>
      </c>
      <c r="L207" s="56" t="inlineStr">
        <is>
          <t>Shenzhen Audio Co.</t>
        </is>
      </c>
      <c r="M207" s="56" t="n">
        <v>43.99</v>
      </c>
      <c r="N207" s="56" t="n">
        <v>8.67</v>
      </c>
      <c r="O207" s="56" t="n">
        <v>4.37</v>
      </c>
      <c r="P207" s="56" t="n">
        <v>0.03</v>
      </c>
      <c r="Q207" s="56" t="n">
        <v>6.56</v>
      </c>
      <c r="R207" s="56" t="n">
        <v>2</v>
      </c>
      <c r="S207" s="56">
        <f>IF(AC207="Cancelled",0,M207*R207)</f>
        <v/>
      </c>
      <c r="T207" s="56">
        <f>IF(AC207="Cancelled",0,N207*R207)</f>
        <v/>
      </c>
      <c r="U207" s="56">
        <f>IF(AC207="Cancelled",0,O207*R207)</f>
        <v/>
      </c>
      <c r="V207" s="56">
        <f>IF(AC207="Cancelled",0,ROUND(P207*S207,2))</f>
        <v/>
      </c>
      <c r="W207" s="56" t="inlineStr">
        <is>
          <t>No</t>
        </is>
      </c>
      <c r="X207" s="56" t="n">
        <v>0</v>
      </c>
      <c r="Y207" s="56">
        <f>IF(AC207="Cancelled",0,T207+U207+V207+Q207+X207)</f>
        <v/>
      </c>
      <c r="Z207" s="56">
        <f>IF(AC207="Cancelled",-Q207,S207-Y207)</f>
        <v/>
      </c>
      <c r="AA207" s="56">
        <f>IF(OR(AC207="Cancelled",S207=0),0,Z207/S207)</f>
        <v/>
      </c>
      <c r="AB207" s="56">
        <f>IFERROR(IF(Q207=0,0,S207/Q207),0)</f>
        <v/>
      </c>
      <c r="AC207" s="56" t="inlineStr">
        <is>
          <t>Delivered</t>
        </is>
      </c>
      <c r="AD207" s="56">
        <f>IF(Z207&lt;=0,"Low Profit",IF(Z207&gt;=50,"HighProfit","Medium Profit"))</f>
        <v/>
      </c>
      <c r="AE207" s="56">
        <f>TEXT(B207,"mmmm")</f>
        <v/>
      </c>
    </row>
    <row r="208" ht="14.25" customHeight="1" s="57">
      <c r="A208" s="56" t="inlineStr">
        <is>
          <t>ORD-00140</t>
        </is>
      </c>
      <c r="B208" s="116" t="n">
        <v>45850</v>
      </c>
      <c r="C208" s="56" t="n">
        <v>2025</v>
      </c>
      <c r="D208" s="56" t="n">
        <v>7</v>
      </c>
      <c r="E208" s="56" t="inlineStr">
        <is>
          <t>Qatar</t>
        </is>
      </c>
      <c r="F208" s="56" t="inlineStr">
        <is>
          <t>Doha</t>
        </is>
      </c>
      <c r="G208" s="56" t="inlineStr">
        <is>
          <t>Email</t>
        </is>
      </c>
      <c r="H208" s="56" t="inlineStr">
        <is>
          <t>Bundle Promo</t>
        </is>
      </c>
      <c r="I208" s="56" t="inlineStr">
        <is>
          <t>P010</t>
        </is>
      </c>
      <c r="J208" s="56" t="inlineStr">
        <is>
          <t>Smart Water Bottle</t>
        </is>
      </c>
      <c r="K208" s="56" t="inlineStr">
        <is>
          <t>Lifestyle</t>
        </is>
      </c>
      <c r="L208" s="56" t="inlineStr">
        <is>
          <t>Shenzhen Smart Home</t>
        </is>
      </c>
      <c r="M208" s="56" t="n">
        <v>33.43</v>
      </c>
      <c r="N208" s="56" t="n">
        <v>10.61</v>
      </c>
      <c r="O208" s="56" t="n">
        <v>4.19</v>
      </c>
      <c r="P208" s="56" t="n">
        <v>0.03</v>
      </c>
      <c r="Q208" s="56" t="n">
        <v>16.98</v>
      </c>
      <c r="R208" s="56" t="n">
        <v>2</v>
      </c>
      <c r="S208" s="56">
        <f>IF(AC208="Cancelled",0,M208*R208)</f>
        <v/>
      </c>
      <c r="T208" s="56">
        <f>IF(AC208="Cancelled",0,N208*R208)</f>
        <v/>
      </c>
      <c r="U208" s="56">
        <f>IF(AC208="Cancelled",0,O208*R208)</f>
        <v/>
      </c>
      <c r="V208" s="56">
        <f>IF(AC208="Cancelled",0,ROUND(P208*S208,2))</f>
        <v/>
      </c>
      <c r="W208" s="56" t="inlineStr">
        <is>
          <t>No</t>
        </is>
      </c>
      <c r="X208" s="56" t="n">
        <v>0</v>
      </c>
      <c r="Y208" s="56">
        <f>IF(AC208="Cancelled",0,T208+U208+V208+Q208+X208)</f>
        <v/>
      </c>
      <c r="Z208" s="56">
        <f>IF(AC208="Cancelled",-Q208,S208-Y208)</f>
        <v/>
      </c>
      <c r="AA208" s="56">
        <f>IF(OR(AC208="Cancelled",S208=0),0,Z208/S208)</f>
        <v/>
      </c>
      <c r="AB208" s="56">
        <f>IFERROR(IF(Q208=0,0,S208/Q208),0)</f>
        <v/>
      </c>
      <c r="AC208" s="56" t="inlineStr">
        <is>
          <t>Delivered</t>
        </is>
      </c>
      <c r="AD208" s="56">
        <f>IF(Z208&lt;=0,"Low Profit",IF(Z208&gt;=50,"HighProfit","Medium Profit"))</f>
        <v/>
      </c>
      <c r="AE208" s="56">
        <f>TEXT(B208,"mmmm")</f>
        <v/>
      </c>
    </row>
    <row r="209" ht="14.25" customHeight="1" s="57">
      <c r="A209" s="56" t="inlineStr">
        <is>
          <t>ORD-00315</t>
        </is>
      </c>
      <c r="B209" s="116" t="n">
        <v>45851</v>
      </c>
      <c r="C209" s="56" t="n">
        <v>2025</v>
      </c>
      <c r="D209" s="56" t="n">
        <v>7</v>
      </c>
      <c r="E209" s="56" t="inlineStr">
        <is>
          <t>UAE</t>
        </is>
      </c>
      <c r="F209" s="56" t="inlineStr">
        <is>
          <t>Dubai</t>
        </is>
      </c>
      <c r="G209" s="56" t="inlineStr">
        <is>
          <t>Organic Search</t>
        </is>
      </c>
      <c r="H209" s="56" t="inlineStr">
        <is>
          <t>Launch Test</t>
        </is>
      </c>
      <c r="I209" s="56" t="inlineStr">
        <is>
          <t>P010</t>
        </is>
      </c>
      <c r="J209" s="56" t="inlineStr">
        <is>
          <t>Smart Water Bottle</t>
        </is>
      </c>
      <c r="K209" s="56" t="inlineStr">
        <is>
          <t>Lifestyle</t>
        </is>
      </c>
      <c r="L209" s="56" t="inlineStr">
        <is>
          <t>Shenzhen Smart Home</t>
        </is>
      </c>
      <c r="M209" s="56" t="n">
        <v>34.48</v>
      </c>
      <c r="N209" s="56" t="n">
        <v>10.41</v>
      </c>
      <c r="O209" s="56" t="n">
        <v>4.45</v>
      </c>
      <c r="P209" s="56" t="n">
        <v>0.03</v>
      </c>
      <c r="Q209" s="56" t="n">
        <v>0</v>
      </c>
      <c r="R209" s="56" t="n">
        <v>1</v>
      </c>
      <c r="S209" s="56">
        <f>IF(AC209="Cancelled",0,M209*R209)</f>
        <v/>
      </c>
      <c r="T209" s="56">
        <f>IF(AC209="Cancelled",0,N209*R209)</f>
        <v/>
      </c>
      <c r="U209" s="56">
        <f>IF(AC209="Cancelled",0,O209*R209)</f>
        <v/>
      </c>
      <c r="V209" s="56">
        <f>IF(AC209="Cancelled",0,ROUND(P209*S209,2))</f>
        <v/>
      </c>
      <c r="W209" s="56" t="inlineStr">
        <is>
          <t>No</t>
        </is>
      </c>
      <c r="X209" s="56" t="n">
        <v>0</v>
      </c>
      <c r="Y209" s="56">
        <f>IF(AC209="Cancelled",0,T209+U209+V209+Q209+X209)</f>
        <v/>
      </c>
      <c r="Z209" s="56">
        <f>IF(AC209="Cancelled",-Q209,S209-Y209)</f>
        <v/>
      </c>
      <c r="AA209" s="56">
        <f>IF(OR(AC209="Cancelled",S209=0),0,Z209/S209)</f>
        <v/>
      </c>
      <c r="AB209" s="56">
        <f>IFERROR(IF(Q209=0,0,S209/Q209),0)</f>
        <v/>
      </c>
      <c r="AC209" s="56" t="inlineStr">
        <is>
          <t>Delivered</t>
        </is>
      </c>
      <c r="AD209" s="56">
        <f>IF(Z209&lt;=0,"Low Profit",IF(Z209&gt;=50,"HighProfit","Medium Profit"))</f>
        <v/>
      </c>
      <c r="AE209" s="56">
        <f>TEXT(B209,"mmmm")</f>
        <v/>
      </c>
    </row>
    <row r="210" ht="14.25" customHeight="1" s="57">
      <c r="A210" s="56" t="inlineStr">
        <is>
          <t>ORD-00155</t>
        </is>
      </c>
      <c r="B210" s="116" t="n">
        <v>45852</v>
      </c>
      <c r="C210" s="56" t="n">
        <v>2025</v>
      </c>
      <c r="D210" s="56" t="n">
        <v>7</v>
      </c>
      <c r="E210" s="56" t="inlineStr">
        <is>
          <t>Qatar</t>
        </is>
      </c>
      <c r="F210" s="56" t="inlineStr">
        <is>
          <t>Doha</t>
        </is>
      </c>
      <c r="G210" s="56" t="inlineStr">
        <is>
          <t>Influencer</t>
        </is>
      </c>
      <c r="H210" s="56" t="inlineStr">
        <is>
          <t>Launch Test</t>
        </is>
      </c>
      <c r="I210" s="56" t="inlineStr">
        <is>
          <t>P004</t>
        </is>
      </c>
      <c r="J210" s="56" t="inlineStr">
        <is>
          <t>Beauty Tool</t>
        </is>
      </c>
      <c r="K210" s="56" t="inlineStr">
        <is>
          <t>Beauty</t>
        </is>
      </c>
      <c r="L210" s="56" t="inlineStr">
        <is>
          <t>Ningbo Beauty Supply</t>
        </is>
      </c>
      <c r="M210" s="56" t="n">
        <v>30.75</v>
      </c>
      <c r="N210" s="56" t="n">
        <v>7.37</v>
      </c>
      <c r="O210" s="56" t="n">
        <v>4.74</v>
      </c>
      <c r="P210" s="56" t="n">
        <v>0.03</v>
      </c>
      <c r="Q210" s="56" t="n">
        <v>1.6</v>
      </c>
      <c r="R210" s="56" t="n">
        <v>1</v>
      </c>
      <c r="S210" s="56">
        <f>IF(AC210="Cancelled",0,M210*R210)</f>
        <v/>
      </c>
      <c r="T210" s="56">
        <f>IF(AC210="Cancelled",0,N210*R210)</f>
        <v/>
      </c>
      <c r="U210" s="56">
        <f>IF(AC210="Cancelled",0,O210*R210)</f>
        <v/>
      </c>
      <c r="V210" s="56">
        <f>IF(AC210="Cancelled",0,ROUND(P210*S210,2))</f>
        <v/>
      </c>
      <c r="W210" s="56" t="inlineStr">
        <is>
          <t>No</t>
        </is>
      </c>
      <c r="X210" s="56" t="n">
        <v>0</v>
      </c>
      <c r="Y210" s="56">
        <f>IF(AC210="Cancelled",0,T210+U210+V210+Q210+X210)</f>
        <v/>
      </c>
      <c r="Z210" s="56">
        <f>IF(AC210="Cancelled",-Q210,S210-Y210)</f>
        <v/>
      </c>
      <c r="AA210" s="56">
        <f>IF(OR(AC210="Cancelled",S210=0),0,Z210/S210)</f>
        <v/>
      </c>
      <c r="AB210" s="56">
        <f>IFERROR(IF(Q210=0,0,S210/Q210),0)</f>
        <v/>
      </c>
      <c r="AC210" s="56" t="inlineStr">
        <is>
          <t>Delivered</t>
        </is>
      </c>
      <c r="AD210" s="56">
        <f>IF(Z210&lt;=0,"Low Profit",IF(Z210&gt;=50,"HighProfit","Medium Profit"))</f>
        <v/>
      </c>
      <c r="AE210" s="56">
        <f>TEXT(B210,"mmmm")</f>
        <v/>
      </c>
    </row>
    <row r="211" ht="14.25" customHeight="1" s="57">
      <c r="A211" s="56" t="inlineStr">
        <is>
          <t>ORD-00080</t>
        </is>
      </c>
      <c r="B211" s="116" t="n">
        <v>45856</v>
      </c>
      <c r="C211" s="56" t="n">
        <v>2025</v>
      </c>
      <c r="D211" s="56" t="n">
        <v>7</v>
      </c>
      <c r="E211" s="56" t="inlineStr">
        <is>
          <t>Saudi Arabia</t>
        </is>
      </c>
      <c r="F211" s="56" t="inlineStr">
        <is>
          <t>Jeddah</t>
        </is>
      </c>
      <c r="G211" s="56" t="inlineStr">
        <is>
          <t>TikTok Ads</t>
        </is>
      </c>
      <c r="H211" s="56" t="inlineStr">
        <is>
          <t>Retargeting</t>
        </is>
      </c>
      <c r="I211" s="56" t="inlineStr">
        <is>
          <t>P007</t>
        </is>
      </c>
      <c r="J211" s="56" t="inlineStr">
        <is>
          <t>Pet Grooming Glove</t>
        </is>
      </c>
      <c r="K211" s="56" t="inlineStr">
        <is>
          <t>Pets</t>
        </is>
      </c>
      <c r="L211" s="56" t="inlineStr">
        <is>
          <t>Yiwu Pet Products</t>
        </is>
      </c>
      <c r="M211" s="56" t="n">
        <v>18.46</v>
      </c>
      <c r="N211" s="56" t="n">
        <v>3.44</v>
      </c>
      <c r="O211" s="56" t="n">
        <v>2.4</v>
      </c>
      <c r="P211" s="56" t="n">
        <v>0.03</v>
      </c>
      <c r="Q211" s="56" t="n">
        <v>6.18</v>
      </c>
      <c r="R211" s="56" t="n">
        <v>1</v>
      </c>
      <c r="S211" s="56">
        <f>IF(AC211="Cancelled",0,M211*R211)</f>
        <v/>
      </c>
      <c r="T211" s="56">
        <f>IF(AC211="Cancelled",0,N211*R211)</f>
        <v/>
      </c>
      <c r="U211" s="56">
        <f>IF(AC211="Cancelled",0,O211*R211)</f>
        <v/>
      </c>
      <c r="V211" s="56">
        <f>IF(AC211="Cancelled",0,ROUND(P211*S211,2))</f>
        <v/>
      </c>
      <c r="W211" s="56" t="inlineStr">
        <is>
          <t>No</t>
        </is>
      </c>
      <c r="X211" s="56" t="n">
        <v>0</v>
      </c>
      <c r="Y211" s="56">
        <f>IF(AC211="Cancelled",0,T211+U211+V211+Q211+X211)</f>
        <v/>
      </c>
      <c r="Z211" s="56">
        <f>IF(AC211="Cancelled",-Q211,S211-Y211)</f>
        <v/>
      </c>
      <c r="AA211" s="56">
        <f>IF(OR(AC211="Cancelled",S211=0),0,Z211/S211)</f>
        <v/>
      </c>
      <c r="AB211" s="56">
        <f>IFERROR(IF(Q211=0,0,S211/Q211),0)</f>
        <v/>
      </c>
      <c r="AC211" s="56" t="inlineStr">
        <is>
          <t>Delivered</t>
        </is>
      </c>
      <c r="AD211" s="56">
        <f>IF(Z211&lt;=0,"Low Profit",IF(Z211&gt;=50,"HighProfit","Medium Profit"))</f>
        <v/>
      </c>
      <c r="AE211" s="56">
        <f>TEXT(B211,"mmmm")</f>
        <v/>
      </c>
    </row>
    <row r="212" ht="14.25" customHeight="1" s="57">
      <c r="A212" s="56" t="inlineStr">
        <is>
          <t>ORD-00010</t>
        </is>
      </c>
      <c r="B212" s="116" t="n">
        <v>45857</v>
      </c>
      <c r="C212" s="56" t="n">
        <v>2025</v>
      </c>
      <c r="D212" s="56" t="n">
        <v>7</v>
      </c>
      <c r="E212" s="56" t="inlineStr">
        <is>
          <t>Saudi Arabia</t>
        </is>
      </c>
      <c r="F212" s="56" t="inlineStr">
        <is>
          <t>Riyadh</t>
        </is>
      </c>
      <c r="G212" s="56" t="inlineStr">
        <is>
          <t>Influencer</t>
        </is>
      </c>
      <c r="H212" s="56" t="inlineStr">
        <is>
          <t>Bundle Promo</t>
        </is>
      </c>
      <c r="I212" s="56" t="inlineStr">
        <is>
          <t>P008</t>
        </is>
      </c>
      <c r="J212" s="56" t="inlineStr">
        <is>
          <t>Portable Blender</t>
        </is>
      </c>
      <c r="K212" s="56" t="inlineStr">
        <is>
          <t>Kitchen</t>
        </is>
      </c>
      <c r="L212" s="56" t="inlineStr">
        <is>
          <t>Foshan Appliances</t>
        </is>
      </c>
      <c r="M212" s="56" t="n">
        <v>47.98</v>
      </c>
      <c r="N212" s="56" t="n">
        <v>16.2</v>
      </c>
      <c r="O212" s="56" t="n">
        <v>6.15</v>
      </c>
      <c r="P212" s="56" t="n">
        <v>0.03</v>
      </c>
      <c r="Q212" s="56" t="n">
        <v>7.74</v>
      </c>
      <c r="R212" s="56" t="n">
        <v>3</v>
      </c>
      <c r="S212" s="56">
        <f>IF(AC212="Cancelled",0,M212*R212)</f>
        <v/>
      </c>
      <c r="T212" s="56">
        <f>IF(AC212="Cancelled",0,N212*R212)</f>
        <v/>
      </c>
      <c r="U212" s="56">
        <f>IF(AC212="Cancelled",0,O212*R212)</f>
        <v/>
      </c>
      <c r="V212" s="56">
        <f>IF(AC212="Cancelled",0,ROUND(P212*S212,2))</f>
        <v/>
      </c>
      <c r="W212" s="56" t="inlineStr">
        <is>
          <t>No</t>
        </is>
      </c>
      <c r="X212" s="56" t="n">
        <v>0</v>
      </c>
      <c r="Y212" s="56">
        <f>IF(AC212="Cancelled",0,T212+U212+V212+Q212+X212)</f>
        <v/>
      </c>
      <c r="Z212" s="56">
        <f>IF(AC212="Cancelled",-Q212,S212-Y212)</f>
        <v/>
      </c>
      <c r="AA212" s="56">
        <f>IF(OR(AC212="Cancelled",S212=0),0,Z212/S212)</f>
        <v/>
      </c>
      <c r="AB212" s="56">
        <f>IFERROR(IF(Q212=0,0,S212/Q212),0)</f>
        <v/>
      </c>
      <c r="AC212" s="56" t="inlineStr">
        <is>
          <t>Cancelled</t>
        </is>
      </c>
      <c r="AD212" s="56">
        <f>IF(Z212&lt;=0,"Low Profit",IF(Z212&gt;=50,"HighProfit","Medium Profit"))</f>
        <v/>
      </c>
      <c r="AE212" s="56">
        <f>TEXT(B212,"mmmm")</f>
        <v/>
      </c>
    </row>
    <row r="213" ht="14.25" customHeight="1" s="57">
      <c r="A213" s="56" t="inlineStr">
        <is>
          <t>ORD-00084</t>
        </is>
      </c>
      <c r="B213" s="116" t="n">
        <v>45857</v>
      </c>
      <c r="C213" s="56" t="n">
        <v>2025</v>
      </c>
      <c r="D213" s="56" t="n">
        <v>7</v>
      </c>
      <c r="E213" s="56" t="inlineStr">
        <is>
          <t>Kuwait</t>
        </is>
      </c>
      <c r="F213" s="56" t="inlineStr">
        <is>
          <t>Kuwait City</t>
        </is>
      </c>
      <c r="G213" s="56" t="inlineStr">
        <is>
          <t>Google Ads</t>
        </is>
      </c>
      <c r="H213" s="56" t="inlineStr">
        <is>
          <t>Launch Test</t>
        </is>
      </c>
      <c r="I213" s="56" t="inlineStr">
        <is>
          <t>P003</t>
        </is>
      </c>
      <c r="J213" s="56" t="inlineStr">
        <is>
          <t>LED Strip Lights</t>
        </is>
      </c>
      <c r="K213" s="56" t="inlineStr">
        <is>
          <t>Home Decor</t>
        </is>
      </c>
      <c r="L213" s="56" t="inlineStr">
        <is>
          <t>Yiwu Lighting Factory</t>
        </is>
      </c>
      <c r="M213" s="56" t="n">
        <v>25.13</v>
      </c>
      <c r="N213" s="56" t="n">
        <v>6.46</v>
      </c>
      <c r="O213" s="56" t="n">
        <v>3.51</v>
      </c>
      <c r="P213" s="56" t="n">
        <v>0.03</v>
      </c>
      <c r="Q213" s="56" t="n">
        <v>6.4</v>
      </c>
      <c r="R213" s="56" t="n">
        <v>1</v>
      </c>
      <c r="S213" s="56">
        <f>IF(AC213="Cancelled",0,M213*R213)</f>
        <v/>
      </c>
      <c r="T213" s="56">
        <f>IF(AC213="Cancelled",0,N213*R213)</f>
        <v/>
      </c>
      <c r="U213" s="56">
        <f>IF(AC213="Cancelled",0,O213*R213)</f>
        <v/>
      </c>
      <c r="V213" s="56">
        <f>IF(AC213="Cancelled",0,ROUND(P213*S213,2))</f>
        <v/>
      </c>
      <c r="W213" s="56" t="inlineStr">
        <is>
          <t>No</t>
        </is>
      </c>
      <c r="X213" s="56" t="n">
        <v>0</v>
      </c>
      <c r="Y213" s="56">
        <f>IF(AC213="Cancelled",0,T213+U213+V213+Q213+X213)</f>
        <v/>
      </c>
      <c r="Z213" s="56">
        <f>IF(AC213="Cancelled",-Q213,S213-Y213)</f>
        <v/>
      </c>
      <c r="AA213" s="56">
        <f>IF(OR(AC213="Cancelled",S213=0),0,Z213/S213)</f>
        <v/>
      </c>
      <c r="AB213" s="56">
        <f>IFERROR(IF(Q213=0,0,S213/Q213),0)</f>
        <v/>
      </c>
      <c r="AC213" s="56" t="inlineStr">
        <is>
          <t>Delivered</t>
        </is>
      </c>
      <c r="AD213" s="56">
        <f>IF(Z213&lt;=0,"Low Profit",IF(Z213&gt;=50,"HighProfit","Medium Profit"))</f>
        <v/>
      </c>
      <c r="AE213" s="56">
        <f>TEXT(B213,"mmmm")</f>
        <v/>
      </c>
    </row>
    <row r="214" ht="14.25" customHeight="1" s="57">
      <c r="A214" s="56" t="inlineStr">
        <is>
          <t>ORD-00055</t>
        </is>
      </c>
      <c r="B214" s="116" t="n">
        <v>45859</v>
      </c>
      <c r="C214" s="56" t="n">
        <v>2025</v>
      </c>
      <c r="D214" s="56" t="n">
        <v>7</v>
      </c>
      <c r="E214" s="56" t="inlineStr">
        <is>
          <t>Oman</t>
        </is>
      </c>
      <c r="F214" s="56" t="inlineStr">
        <is>
          <t>Muscat</t>
        </is>
      </c>
      <c r="G214" s="56" t="inlineStr">
        <is>
          <t>Google Ads</t>
        </is>
      </c>
      <c r="H214" s="56" t="inlineStr">
        <is>
          <t>Retargeting</t>
        </is>
      </c>
      <c r="I214" s="56" t="inlineStr">
        <is>
          <t>P001</t>
        </is>
      </c>
      <c r="J214" s="56" t="inlineStr">
        <is>
          <t>Wireless Earbuds</t>
        </is>
      </c>
      <c r="K214" s="56" t="inlineStr">
        <is>
          <t>Electronics</t>
        </is>
      </c>
      <c r="L214" s="56" t="inlineStr">
        <is>
          <t>Shenzhen Audio Co.</t>
        </is>
      </c>
      <c r="M214" s="56" t="n">
        <v>42.11</v>
      </c>
      <c r="N214" s="56" t="n">
        <v>8.41</v>
      </c>
      <c r="O214" s="56" t="n">
        <v>4.26</v>
      </c>
      <c r="P214" s="56" t="n">
        <v>0.03</v>
      </c>
      <c r="Q214" s="56" t="n">
        <v>10.56</v>
      </c>
      <c r="R214" s="56" t="n">
        <v>2</v>
      </c>
      <c r="S214" s="56">
        <f>IF(AC214="Cancelled",0,M214*R214)</f>
        <v/>
      </c>
      <c r="T214" s="56">
        <f>IF(AC214="Cancelled",0,N214*R214)</f>
        <v/>
      </c>
      <c r="U214" s="56">
        <f>IF(AC214="Cancelled",0,O214*R214)</f>
        <v/>
      </c>
      <c r="V214" s="56">
        <f>IF(AC214="Cancelled",0,ROUND(P214*S214,2))</f>
        <v/>
      </c>
      <c r="W214" s="56" t="inlineStr">
        <is>
          <t>No</t>
        </is>
      </c>
      <c r="X214" s="56" t="n">
        <v>0</v>
      </c>
      <c r="Y214" s="56">
        <f>IF(AC214="Cancelled",0,T214+U214+V214+Q214+X214)</f>
        <v/>
      </c>
      <c r="Z214" s="56">
        <f>IF(AC214="Cancelled",-Q214,S214-Y214)</f>
        <v/>
      </c>
      <c r="AA214" s="56">
        <f>IF(OR(AC214="Cancelled",S214=0),0,Z214/S214)</f>
        <v/>
      </c>
      <c r="AB214" s="56">
        <f>IFERROR(IF(Q214=0,0,S214/Q214),0)</f>
        <v/>
      </c>
      <c r="AC214" s="56" t="inlineStr">
        <is>
          <t>Delivered</t>
        </is>
      </c>
      <c r="AD214" s="56">
        <f>IF(Z214&lt;=0,"Low Profit",IF(Z214&gt;=50,"HighProfit","Medium Profit"))</f>
        <v/>
      </c>
      <c r="AE214" s="56">
        <f>TEXT(B214,"mmmm")</f>
        <v/>
      </c>
    </row>
    <row r="215" ht="14.25" customHeight="1" s="57">
      <c r="A215" s="56" t="inlineStr">
        <is>
          <t>ORD-00163</t>
        </is>
      </c>
      <c r="B215" s="116" t="n">
        <v>45862</v>
      </c>
      <c r="C215" s="56" t="n">
        <v>2025</v>
      </c>
      <c r="D215" s="56" t="n">
        <v>7</v>
      </c>
      <c r="E215" s="56" t="inlineStr">
        <is>
          <t>UAE</t>
        </is>
      </c>
      <c r="F215" s="56" t="inlineStr">
        <is>
          <t>Dubai</t>
        </is>
      </c>
      <c r="G215" s="56" t="inlineStr">
        <is>
          <t>Google Ads</t>
        </is>
      </c>
      <c r="H215" s="56" t="inlineStr">
        <is>
          <t>Summer Sale</t>
        </is>
      </c>
      <c r="I215" s="56" t="inlineStr">
        <is>
          <t>P006</t>
        </is>
      </c>
      <c r="J215" s="56" t="inlineStr">
        <is>
          <t>Posture Corrector</t>
        </is>
      </c>
      <c r="K215" s="56" t="inlineStr">
        <is>
          <t>Fitness</t>
        </is>
      </c>
      <c r="L215" s="56" t="inlineStr">
        <is>
          <t>Hangzhou Health Gear</t>
        </is>
      </c>
      <c r="M215" s="56" t="n">
        <v>33.88</v>
      </c>
      <c r="N215" s="56" t="n">
        <v>9.01</v>
      </c>
      <c r="O215" s="56" t="n">
        <v>4.25</v>
      </c>
      <c r="P215" s="56" t="n">
        <v>0.03</v>
      </c>
      <c r="Q215" s="56" t="n">
        <v>16.52</v>
      </c>
      <c r="R215" s="56" t="n">
        <v>2</v>
      </c>
      <c r="S215" s="56">
        <f>IF(AC215="Cancelled",0,M215*R215)</f>
        <v/>
      </c>
      <c r="T215" s="56">
        <f>IF(AC215="Cancelled",0,N215*R215)</f>
        <v/>
      </c>
      <c r="U215" s="56">
        <f>IF(AC215="Cancelled",0,O215*R215)</f>
        <v/>
      </c>
      <c r="V215" s="56">
        <f>IF(AC215="Cancelled",0,ROUND(P215*S215,2))</f>
        <v/>
      </c>
      <c r="W215" s="56" t="inlineStr">
        <is>
          <t>No</t>
        </is>
      </c>
      <c r="X215" s="56" t="n">
        <v>0</v>
      </c>
      <c r="Y215" s="56">
        <f>IF(AC215="Cancelled",0,T215+U215+V215+Q215+X215)</f>
        <v/>
      </c>
      <c r="Z215" s="56">
        <f>IF(AC215="Cancelled",-Q215,S215-Y215)</f>
        <v/>
      </c>
      <c r="AA215" s="56">
        <f>IF(OR(AC215="Cancelled",S215=0),0,Z215/S215)</f>
        <v/>
      </c>
      <c r="AB215" s="56">
        <f>IFERROR(IF(Q215=0,0,S215/Q215),0)</f>
        <v/>
      </c>
      <c r="AC215" s="56" t="inlineStr">
        <is>
          <t>Delivered</t>
        </is>
      </c>
      <c r="AD215" s="56">
        <f>IF(Z215&lt;=0,"Low Profit",IF(Z215&gt;=50,"HighProfit","Medium Profit"))</f>
        <v/>
      </c>
      <c r="AE215" s="56">
        <f>TEXT(B215,"mmmm")</f>
        <v/>
      </c>
    </row>
    <row r="216" ht="14.25" customHeight="1" s="57">
      <c r="A216" s="56" t="inlineStr">
        <is>
          <t>ORD-00267</t>
        </is>
      </c>
      <c r="B216" s="116" t="n">
        <v>45862</v>
      </c>
      <c r="C216" s="56" t="n">
        <v>2025</v>
      </c>
      <c r="D216" s="56" t="n">
        <v>7</v>
      </c>
      <c r="E216" s="56" t="inlineStr">
        <is>
          <t>Saudi Arabia</t>
        </is>
      </c>
      <c r="F216" s="56" t="inlineStr">
        <is>
          <t>Riyadh</t>
        </is>
      </c>
      <c r="G216" s="56" t="inlineStr">
        <is>
          <t>Meta Ads</t>
        </is>
      </c>
      <c r="H216" s="56" t="inlineStr">
        <is>
          <t>Retargeting</t>
        </is>
      </c>
      <c r="I216" s="56" t="inlineStr">
        <is>
          <t>P009</t>
        </is>
      </c>
      <c r="J216" s="56" t="inlineStr">
        <is>
          <t>Car Vacuum Cleaner</t>
        </is>
      </c>
      <c r="K216" s="56" t="inlineStr">
        <is>
          <t>Automotive</t>
        </is>
      </c>
      <c r="L216" s="56" t="inlineStr">
        <is>
          <t>Dongguan Auto Tools</t>
        </is>
      </c>
      <c r="M216" s="56" t="n">
        <v>41.05</v>
      </c>
      <c r="N216" s="56" t="n">
        <v>13.86</v>
      </c>
      <c r="O216" s="56" t="n">
        <v>6.27</v>
      </c>
      <c r="P216" s="56" t="n">
        <v>0.03</v>
      </c>
      <c r="Q216" s="56" t="n">
        <v>12.39</v>
      </c>
      <c r="R216" s="56" t="n">
        <v>3</v>
      </c>
      <c r="S216" s="56">
        <f>IF(AC216="Cancelled",0,M216*R216)</f>
        <v/>
      </c>
      <c r="T216" s="56">
        <f>IF(AC216="Cancelled",0,N216*R216)</f>
        <v/>
      </c>
      <c r="U216" s="56">
        <f>IF(AC216="Cancelled",0,O216*R216)</f>
        <v/>
      </c>
      <c r="V216" s="56">
        <f>IF(AC216="Cancelled",0,ROUND(P216*S216,2))</f>
        <v/>
      </c>
      <c r="W216" s="56" t="inlineStr">
        <is>
          <t>No</t>
        </is>
      </c>
      <c r="X216" s="56" t="n">
        <v>0</v>
      </c>
      <c r="Y216" s="56">
        <f>IF(AC216="Cancelled",0,T216+U216+V216+Q216+X216)</f>
        <v/>
      </c>
      <c r="Z216" s="56">
        <f>IF(AC216="Cancelled",-Q216,S216-Y216)</f>
        <v/>
      </c>
      <c r="AA216" s="56">
        <f>IF(OR(AC216="Cancelled",S216=0),0,Z216/S216)</f>
        <v/>
      </c>
      <c r="AB216" s="56">
        <f>IFERROR(IF(Q216=0,0,S216/Q216),0)</f>
        <v/>
      </c>
      <c r="AC216" s="56" t="inlineStr">
        <is>
          <t>Delivered</t>
        </is>
      </c>
      <c r="AD216" s="56">
        <f>IF(Z216&lt;=0,"Low Profit",IF(Z216&gt;=50,"HighProfit","Medium Profit"))</f>
        <v/>
      </c>
      <c r="AE216" s="56">
        <f>TEXT(B216,"mmmm")</f>
        <v/>
      </c>
    </row>
    <row r="217" ht="14.25" customHeight="1" s="57">
      <c r="A217" s="56" t="inlineStr">
        <is>
          <t>ORD-00269</t>
        </is>
      </c>
      <c r="B217" s="116" t="n">
        <v>45862</v>
      </c>
      <c r="C217" s="56" t="n">
        <v>2025</v>
      </c>
      <c r="D217" s="56" t="n">
        <v>7</v>
      </c>
      <c r="E217" s="56" t="inlineStr">
        <is>
          <t>Oman</t>
        </is>
      </c>
      <c r="F217" s="56" t="inlineStr">
        <is>
          <t>Muscat</t>
        </is>
      </c>
      <c r="G217" s="56" t="inlineStr">
        <is>
          <t>Meta Ads</t>
        </is>
      </c>
      <c r="H217" s="56" t="inlineStr">
        <is>
          <t>Retargeting</t>
        </is>
      </c>
      <c r="I217" s="56" t="inlineStr">
        <is>
          <t>P001</t>
        </is>
      </c>
      <c r="J217" s="56" t="inlineStr">
        <is>
          <t>Wireless Earbuds</t>
        </is>
      </c>
      <c r="K217" s="56" t="inlineStr">
        <is>
          <t>Electronics</t>
        </is>
      </c>
      <c r="L217" s="56" t="inlineStr">
        <is>
          <t>Shenzhen Audio Co.</t>
        </is>
      </c>
      <c r="M217" s="56" t="n">
        <v>44.01</v>
      </c>
      <c r="N217" s="56" t="n">
        <v>8.199999999999999</v>
      </c>
      <c r="O217" s="56" t="n">
        <v>3.75</v>
      </c>
      <c r="P217" s="56" t="n">
        <v>0.03</v>
      </c>
      <c r="Q217" s="56" t="n">
        <v>8.4</v>
      </c>
      <c r="R217" s="56" t="n">
        <v>1</v>
      </c>
      <c r="S217" s="56">
        <f>IF(AC217="Cancelled",0,M217*R217)</f>
        <v/>
      </c>
      <c r="T217" s="56">
        <f>IF(AC217="Cancelled",0,N217*R217)</f>
        <v/>
      </c>
      <c r="U217" s="56">
        <f>IF(AC217="Cancelled",0,O217*R217)</f>
        <v/>
      </c>
      <c r="V217" s="56">
        <f>IF(AC217="Cancelled",0,ROUND(P217*S217,2))</f>
        <v/>
      </c>
      <c r="W217" s="56" t="inlineStr">
        <is>
          <t>No</t>
        </is>
      </c>
      <c r="X217" s="56" t="n">
        <v>0</v>
      </c>
      <c r="Y217" s="56">
        <f>IF(AC217="Cancelled",0,T217+U217+V217+Q217+X217)</f>
        <v/>
      </c>
      <c r="Z217" s="56">
        <f>IF(AC217="Cancelled",-Q217,S217-Y217)</f>
        <v/>
      </c>
      <c r="AA217" s="56">
        <f>IF(OR(AC217="Cancelled",S217=0),0,Z217/S217)</f>
        <v/>
      </c>
      <c r="AB217" s="56">
        <f>IFERROR(IF(Q217=0,0,S217/Q217),0)</f>
        <v/>
      </c>
      <c r="AC217" s="56" t="inlineStr">
        <is>
          <t>Delivered</t>
        </is>
      </c>
      <c r="AD217" s="56">
        <f>IF(Z217&lt;=0,"Low Profit",IF(Z217&gt;=50,"HighProfit","Medium Profit"))</f>
        <v/>
      </c>
      <c r="AE217" s="56">
        <f>TEXT(B217,"mmmm")</f>
        <v/>
      </c>
    </row>
    <row r="218" ht="14.25" customHeight="1" s="57">
      <c r="A218" s="56" t="inlineStr">
        <is>
          <t>ORD-00441</t>
        </is>
      </c>
      <c r="B218" s="116" t="n">
        <v>45865</v>
      </c>
      <c r="C218" s="56" t="n">
        <v>2025</v>
      </c>
      <c r="D218" s="56" t="n">
        <v>7</v>
      </c>
      <c r="E218" s="56" t="inlineStr">
        <is>
          <t>Saudi Arabia</t>
        </is>
      </c>
      <c r="F218" s="56" t="inlineStr">
        <is>
          <t>Riyadh</t>
        </is>
      </c>
      <c r="G218" s="56" t="inlineStr">
        <is>
          <t>TikTok Ads</t>
        </is>
      </c>
      <c r="H218" s="56" t="inlineStr">
        <is>
          <t>New Creative A/B</t>
        </is>
      </c>
      <c r="I218" s="56" t="inlineStr">
        <is>
          <t>P007</t>
        </is>
      </c>
      <c r="J218" s="56" t="inlineStr">
        <is>
          <t>Pet Grooming Glove</t>
        </is>
      </c>
      <c r="K218" s="56" t="inlineStr">
        <is>
          <t>Pets</t>
        </is>
      </c>
      <c r="L218" s="56" t="inlineStr">
        <is>
          <t>Yiwu Pet Products</t>
        </is>
      </c>
      <c r="M218" s="56" t="n">
        <v>18.74</v>
      </c>
      <c r="N218" s="56" t="n">
        <v>3.51</v>
      </c>
      <c r="O218" s="56" t="n">
        <v>2.7</v>
      </c>
      <c r="P218" s="56" t="n">
        <v>0.03</v>
      </c>
      <c r="Q218" s="56" t="n">
        <v>5.48</v>
      </c>
      <c r="R218" s="56" t="n">
        <v>1</v>
      </c>
      <c r="S218" s="56">
        <f>IF(AC218="Cancelled",0,M218*R218)</f>
        <v/>
      </c>
      <c r="T218" s="56">
        <f>IF(AC218="Cancelled",0,N218*R218)</f>
        <v/>
      </c>
      <c r="U218" s="56">
        <f>IF(AC218="Cancelled",0,O218*R218)</f>
        <v/>
      </c>
      <c r="V218" s="56">
        <f>IF(AC218="Cancelled",0,ROUND(P218*S218,2))</f>
        <v/>
      </c>
      <c r="W218" s="56" t="inlineStr">
        <is>
          <t>No</t>
        </is>
      </c>
      <c r="X218" s="56" t="n">
        <v>0</v>
      </c>
      <c r="Y218" s="56">
        <f>IF(AC218="Cancelled",0,T218+U218+V218+Q218+X218)</f>
        <v/>
      </c>
      <c r="Z218" s="56">
        <f>IF(AC218="Cancelled",-Q218,S218-Y218)</f>
        <v/>
      </c>
      <c r="AA218" s="56">
        <f>IF(OR(AC218="Cancelled",S218=0),0,Z218/S218)</f>
        <v/>
      </c>
      <c r="AB218" s="56">
        <f>IFERROR(IF(Q218=0,0,S218/Q218),0)</f>
        <v/>
      </c>
      <c r="AC218" s="56" t="inlineStr">
        <is>
          <t>Delivered</t>
        </is>
      </c>
      <c r="AD218" s="56">
        <f>IF(Z218&lt;=0,"Low Profit",IF(Z218&gt;=50,"HighProfit","Medium Profit"))</f>
        <v/>
      </c>
      <c r="AE218" s="56">
        <f>TEXT(B218,"mmmm")</f>
        <v/>
      </c>
    </row>
    <row r="219" ht="14.25" customHeight="1" s="57">
      <c r="A219" s="56" t="inlineStr">
        <is>
          <t>ORD-00290</t>
        </is>
      </c>
      <c r="B219" s="116" t="n">
        <v>45868</v>
      </c>
      <c r="C219" s="56" t="n">
        <v>2025</v>
      </c>
      <c r="D219" s="56" t="n">
        <v>7</v>
      </c>
      <c r="E219" s="56" t="inlineStr">
        <is>
          <t>UAE</t>
        </is>
      </c>
      <c r="F219" s="56" t="inlineStr">
        <is>
          <t>Dubai</t>
        </is>
      </c>
      <c r="G219" s="56" t="inlineStr">
        <is>
          <t>Email</t>
        </is>
      </c>
      <c r="H219" s="56" t="inlineStr">
        <is>
          <t>Launch Test</t>
        </is>
      </c>
      <c r="I219" s="56" t="inlineStr">
        <is>
          <t>P003</t>
        </is>
      </c>
      <c r="J219" s="56" t="inlineStr">
        <is>
          <t>LED Strip Lights</t>
        </is>
      </c>
      <c r="K219" s="56" t="inlineStr">
        <is>
          <t>Home Decor</t>
        </is>
      </c>
      <c r="L219" s="56" t="inlineStr">
        <is>
          <t>Yiwu Lighting Factory</t>
        </is>
      </c>
      <c r="M219" s="56" t="n">
        <v>27.05</v>
      </c>
      <c r="N219" s="56" t="n">
        <v>6.24</v>
      </c>
      <c r="O219" s="56" t="n">
        <v>3.38</v>
      </c>
      <c r="P219" s="56" t="n">
        <v>0.03</v>
      </c>
      <c r="Q219" s="56" t="n">
        <v>14.93</v>
      </c>
      <c r="R219" s="56" t="n">
        <v>2</v>
      </c>
      <c r="S219" s="56">
        <f>IF(AC219="Cancelled",0,M219*R219)</f>
        <v/>
      </c>
      <c r="T219" s="56">
        <f>IF(AC219="Cancelled",0,N219*R219)</f>
        <v/>
      </c>
      <c r="U219" s="56">
        <f>IF(AC219="Cancelled",0,O219*R219)</f>
        <v/>
      </c>
      <c r="V219" s="56">
        <f>IF(AC219="Cancelled",0,ROUND(P219*S219,2))</f>
        <v/>
      </c>
      <c r="W219" s="56" t="inlineStr">
        <is>
          <t>No</t>
        </is>
      </c>
      <c r="X219" s="56" t="n">
        <v>0</v>
      </c>
      <c r="Y219" s="56">
        <f>IF(AC219="Cancelled",0,T219+U219+V219+Q219+X219)</f>
        <v/>
      </c>
      <c r="Z219" s="56">
        <f>IF(AC219="Cancelled",-Q219,S219-Y219)</f>
        <v/>
      </c>
      <c r="AA219" s="56">
        <f>IF(OR(AC219="Cancelled",S219=0),0,Z219/S219)</f>
        <v/>
      </c>
      <c r="AB219" s="56">
        <f>IFERROR(IF(Q219=0,0,S219/Q219),0)</f>
        <v/>
      </c>
      <c r="AC219" s="56" t="inlineStr">
        <is>
          <t>Delivered</t>
        </is>
      </c>
      <c r="AD219" s="56">
        <f>IF(Z219&lt;=0,"Low Profit",IF(Z219&gt;=50,"HighProfit","Medium Profit"))</f>
        <v/>
      </c>
      <c r="AE219" s="56">
        <f>TEXT(B219,"mmmm")</f>
        <v/>
      </c>
    </row>
    <row r="220" ht="14.25" customHeight="1" s="57">
      <c r="A220" s="56" t="inlineStr">
        <is>
          <t>ORD-00091</t>
        </is>
      </c>
      <c r="B220" s="116" t="n">
        <v>45869</v>
      </c>
      <c r="C220" s="56" t="n">
        <v>2025</v>
      </c>
      <c r="D220" s="56" t="n">
        <v>7</v>
      </c>
      <c r="E220" s="56" t="inlineStr">
        <is>
          <t>Saudi Arabia</t>
        </is>
      </c>
      <c r="F220" s="56" t="inlineStr">
        <is>
          <t>Jeddah</t>
        </is>
      </c>
      <c r="G220" s="56" t="inlineStr">
        <is>
          <t>Meta Ads</t>
        </is>
      </c>
      <c r="H220" s="56" t="inlineStr">
        <is>
          <t>Bundle Promo</t>
        </is>
      </c>
      <c r="I220" s="56" t="inlineStr">
        <is>
          <t>P006</t>
        </is>
      </c>
      <c r="J220" s="56" t="inlineStr">
        <is>
          <t>Posture Corrector</t>
        </is>
      </c>
      <c r="K220" s="56" t="inlineStr">
        <is>
          <t>Fitness</t>
        </is>
      </c>
      <c r="L220" s="56" t="inlineStr">
        <is>
          <t>Hangzhou Health Gear</t>
        </is>
      </c>
      <c r="M220" s="56" t="n">
        <v>31.61</v>
      </c>
      <c r="N220" s="56" t="n">
        <v>9.18</v>
      </c>
      <c r="O220" s="56" t="n">
        <v>4.07</v>
      </c>
      <c r="P220" s="56" t="n">
        <v>0.03</v>
      </c>
      <c r="Q220" s="56" t="n">
        <v>6.28</v>
      </c>
      <c r="R220" s="56" t="n">
        <v>1</v>
      </c>
      <c r="S220" s="56">
        <f>IF(AC220="Cancelled",0,M220*R220)</f>
        <v/>
      </c>
      <c r="T220" s="56">
        <f>IF(AC220="Cancelled",0,N220*R220)</f>
        <v/>
      </c>
      <c r="U220" s="56">
        <f>IF(AC220="Cancelled",0,O220*R220)</f>
        <v/>
      </c>
      <c r="V220" s="56">
        <f>IF(AC220="Cancelled",0,ROUND(P220*S220,2))</f>
        <v/>
      </c>
      <c r="W220" s="56" t="inlineStr">
        <is>
          <t>No</t>
        </is>
      </c>
      <c r="X220" s="56" t="n">
        <v>0</v>
      </c>
      <c r="Y220" s="56">
        <f>IF(AC220="Cancelled",0,T220+U220+V220+Q220+X220)</f>
        <v/>
      </c>
      <c r="Z220" s="56">
        <f>IF(AC220="Cancelled",-Q220,S220-Y220)</f>
        <v/>
      </c>
      <c r="AA220" s="56">
        <f>IF(OR(AC220="Cancelled",S220=0),0,Z220/S220)</f>
        <v/>
      </c>
      <c r="AB220" s="56">
        <f>IFERROR(IF(Q220=0,0,S220/Q220),0)</f>
        <v/>
      </c>
      <c r="AC220" s="56" t="inlineStr">
        <is>
          <t>Delivered</t>
        </is>
      </c>
      <c r="AD220" s="56">
        <f>IF(Z220&lt;=0,"Low Profit",IF(Z220&gt;=50,"HighProfit","Medium Profit"))</f>
        <v/>
      </c>
      <c r="AE220" s="56">
        <f>TEXT(B220,"mmmm")</f>
        <v/>
      </c>
    </row>
    <row r="221" ht="14.25" customHeight="1" s="57">
      <c r="A221" s="56" t="inlineStr">
        <is>
          <t>ORD-00191</t>
        </is>
      </c>
      <c r="B221" s="116" t="n">
        <v>45870</v>
      </c>
      <c r="C221" s="56" t="n">
        <v>2025</v>
      </c>
      <c r="D221" s="56" t="n">
        <v>8</v>
      </c>
      <c r="E221" s="56" t="inlineStr">
        <is>
          <t>Kuwait</t>
        </is>
      </c>
      <c r="F221" s="56" t="inlineStr">
        <is>
          <t>Kuwait City</t>
        </is>
      </c>
      <c r="G221" s="56" t="inlineStr">
        <is>
          <t>Google Ads</t>
        </is>
      </c>
      <c r="H221" s="56" t="inlineStr">
        <is>
          <t>Retargeting</t>
        </is>
      </c>
      <c r="I221" s="56" t="inlineStr">
        <is>
          <t>P004</t>
        </is>
      </c>
      <c r="J221" s="56" t="inlineStr">
        <is>
          <t>Beauty Tool</t>
        </is>
      </c>
      <c r="K221" s="56" t="inlineStr">
        <is>
          <t>Beauty</t>
        </is>
      </c>
      <c r="L221" s="56" t="inlineStr">
        <is>
          <t>Ningbo Beauty Supply</t>
        </is>
      </c>
      <c r="M221" s="56" t="n">
        <v>28.49</v>
      </c>
      <c r="N221" s="56" t="n">
        <v>6.72</v>
      </c>
      <c r="O221" s="56" t="n">
        <v>4.33</v>
      </c>
      <c r="P221" s="56" t="n">
        <v>0.03</v>
      </c>
      <c r="Q221" s="56" t="n">
        <v>9.279999999999999</v>
      </c>
      <c r="R221" s="56" t="n">
        <v>2</v>
      </c>
      <c r="S221" s="56">
        <f>IF(AC221="Cancelled",0,M221*R221)</f>
        <v/>
      </c>
      <c r="T221" s="56">
        <f>IF(AC221="Cancelled",0,N221*R221)</f>
        <v/>
      </c>
      <c r="U221" s="56">
        <f>IF(AC221="Cancelled",0,O221*R221)</f>
        <v/>
      </c>
      <c r="V221" s="56">
        <f>IF(AC221="Cancelled",0,ROUND(P221*S221,2))</f>
        <v/>
      </c>
      <c r="W221" s="56" t="inlineStr">
        <is>
          <t>No</t>
        </is>
      </c>
      <c r="X221" s="56" t="n">
        <v>0</v>
      </c>
      <c r="Y221" s="56">
        <f>IF(AC221="Cancelled",0,T221+U221+V221+Q221+X221)</f>
        <v/>
      </c>
      <c r="Z221" s="56">
        <f>IF(AC221="Cancelled",-Q221,S221-Y221)</f>
        <v/>
      </c>
      <c r="AA221" s="56">
        <f>IF(OR(AC221="Cancelled",S221=0),0,Z221/S221)</f>
        <v/>
      </c>
      <c r="AB221" s="56">
        <f>IFERROR(IF(Q221=0,0,S221/Q221),0)</f>
        <v/>
      </c>
      <c r="AC221" s="56" t="inlineStr">
        <is>
          <t>Delivered</t>
        </is>
      </c>
      <c r="AD221" s="56">
        <f>IF(Z221&lt;=0,"Low Profit",IF(Z221&gt;=50,"HighProfit","Medium Profit"))</f>
        <v/>
      </c>
      <c r="AE221" s="56">
        <f>TEXT(B221,"mmmm")</f>
        <v/>
      </c>
    </row>
    <row r="222" ht="14.25" customHeight="1" s="57">
      <c r="A222" s="56" t="inlineStr">
        <is>
          <t>ORD-00478</t>
        </is>
      </c>
      <c r="B222" s="116" t="n">
        <v>45871</v>
      </c>
      <c r="C222" s="56" t="n">
        <v>2025</v>
      </c>
      <c r="D222" s="56" t="n">
        <v>8</v>
      </c>
      <c r="E222" s="56" t="inlineStr">
        <is>
          <t>Saudi Arabia</t>
        </is>
      </c>
      <c r="F222" s="56" t="inlineStr">
        <is>
          <t>Riyadh</t>
        </is>
      </c>
      <c r="G222" s="56" t="inlineStr">
        <is>
          <t>Influencer</t>
        </is>
      </c>
      <c r="H222" s="56" t="inlineStr">
        <is>
          <t>Summer Sale</t>
        </is>
      </c>
      <c r="I222" s="56" t="inlineStr">
        <is>
          <t>P003</t>
        </is>
      </c>
      <c r="J222" s="56" t="inlineStr">
        <is>
          <t>LED Strip Lights</t>
        </is>
      </c>
      <c r="K222" s="56" t="inlineStr">
        <is>
          <t>Home Decor</t>
        </is>
      </c>
      <c r="L222" s="56" t="inlineStr">
        <is>
          <t>Yiwu Lighting Factory</t>
        </is>
      </c>
      <c r="M222" s="56" t="n">
        <v>23.9</v>
      </c>
      <c r="N222" s="56" t="n">
        <v>5.95</v>
      </c>
      <c r="O222" s="56" t="n">
        <v>3.56</v>
      </c>
      <c r="P222" s="56" t="n">
        <v>0.03</v>
      </c>
      <c r="Q222" s="56" t="n">
        <v>7.29</v>
      </c>
      <c r="R222" s="56" t="n">
        <v>2</v>
      </c>
      <c r="S222" s="56">
        <f>IF(AC222="Cancelled",0,M222*R222)</f>
        <v/>
      </c>
      <c r="T222" s="56">
        <f>IF(AC222="Cancelled",0,N222*R222)</f>
        <v/>
      </c>
      <c r="U222" s="56">
        <f>IF(AC222="Cancelled",0,O222*R222)</f>
        <v/>
      </c>
      <c r="V222" s="56">
        <f>IF(AC222="Cancelled",0,ROUND(P222*S222,2))</f>
        <v/>
      </c>
      <c r="W222" s="56" t="inlineStr">
        <is>
          <t>No</t>
        </is>
      </c>
      <c r="X222" s="56" t="n">
        <v>0</v>
      </c>
      <c r="Y222" s="56">
        <f>IF(AC222="Cancelled",0,T222+U222+V222+Q222+X222)</f>
        <v/>
      </c>
      <c r="Z222" s="56">
        <f>IF(AC222="Cancelled",-Q222,S222-Y222)</f>
        <v/>
      </c>
      <c r="AA222" s="56">
        <f>IF(OR(AC222="Cancelled",S222=0),0,Z222/S222)</f>
        <v/>
      </c>
      <c r="AB222" s="56">
        <f>IFERROR(IF(Q222=0,0,S222/Q222),0)</f>
        <v/>
      </c>
      <c r="AC222" s="56" t="inlineStr">
        <is>
          <t>Delivered</t>
        </is>
      </c>
      <c r="AD222" s="56">
        <f>IF(Z222&lt;=0,"Low Profit",IF(Z222&gt;=50,"HighProfit","Medium Profit"))</f>
        <v/>
      </c>
      <c r="AE222" s="56">
        <f>TEXT(B222,"mmmm")</f>
        <v/>
      </c>
    </row>
    <row r="223" ht="14.25" customHeight="1" s="57">
      <c r="A223" s="56" t="inlineStr">
        <is>
          <t>ORD-00172</t>
        </is>
      </c>
      <c r="B223" s="116" t="n">
        <v>45873</v>
      </c>
      <c r="C223" s="56" t="n">
        <v>2025</v>
      </c>
      <c r="D223" s="56" t="n">
        <v>8</v>
      </c>
      <c r="E223" s="56" t="inlineStr">
        <is>
          <t>Saudi Arabia</t>
        </is>
      </c>
      <c r="F223" s="56" t="inlineStr">
        <is>
          <t>Jeddah</t>
        </is>
      </c>
      <c r="G223" s="56" t="inlineStr">
        <is>
          <t>Email</t>
        </is>
      </c>
      <c r="H223" s="56" t="inlineStr">
        <is>
          <t>Summer Sale</t>
        </is>
      </c>
      <c r="I223" s="56" t="inlineStr">
        <is>
          <t>P010</t>
        </is>
      </c>
      <c r="J223" s="56" t="inlineStr">
        <is>
          <t>Smart Water Bottle</t>
        </is>
      </c>
      <c r="K223" s="56" t="inlineStr">
        <is>
          <t>Lifestyle</t>
        </is>
      </c>
      <c r="L223" s="56" t="inlineStr">
        <is>
          <t>Shenzhen Smart Home</t>
        </is>
      </c>
      <c r="M223" s="56" t="n">
        <v>36.42</v>
      </c>
      <c r="N223" s="56" t="n">
        <v>10.2</v>
      </c>
      <c r="O223" s="56" t="n">
        <v>4.54</v>
      </c>
      <c r="P223" s="56" t="n">
        <v>0.03</v>
      </c>
      <c r="Q223" s="56" t="n">
        <v>15.97</v>
      </c>
      <c r="R223" s="56" t="n">
        <v>2</v>
      </c>
      <c r="S223" s="56">
        <f>IF(AC223="Cancelled",0,M223*R223)</f>
        <v/>
      </c>
      <c r="T223" s="56">
        <f>IF(AC223="Cancelled",0,N223*R223)</f>
        <v/>
      </c>
      <c r="U223" s="56">
        <f>IF(AC223="Cancelled",0,O223*R223)</f>
        <v/>
      </c>
      <c r="V223" s="56">
        <f>IF(AC223="Cancelled",0,ROUND(P223*S223,2))</f>
        <v/>
      </c>
      <c r="W223" s="56" t="inlineStr">
        <is>
          <t>No</t>
        </is>
      </c>
      <c r="X223" s="56" t="n">
        <v>0</v>
      </c>
      <c r="Y223" s="56">
        <f>IF(AC223="Cancelled",0,T223+U223+V223+Q223+X223)</f>
        <v/>
      </c>
      <c r="Z223" s="56">
        <f>IF(AC223="Cancelled",-Q223,S223-Y223)</f>
        <v/>
      </c>
      <c r="AA223" s="56">
        <f>IF(OR(AC223="Cancelled",S223=0),0,Z223/S223)</f>
        <v/>
      </c>
      <c r="AB223" s="56">
        <f>IFERROR(IF(Q223=0,0,S223/Q223),0)</f>
        <v/>
      </c>
      <c r="AC223" s="56" t="inlineStr">
        <is>
          <t>Delivered</t>
        </is>
      </c>
      <c r="AD223" s="56">
        <f>IF(Z223&lt;=0,"Low Profit",IF(Z223&gt;=50,"HighProfit","Medium Profit"))</f>
        <v/>
      </c>
      <c r="AE223" s="56">
        <f>TEXT(B223,"mmmm")</f>
        <v/>
      </c>
    </row>
    <row r="224" ht="14.25" customHeight="1" s="57">
      <c r="A224" s="56" t="inlineStr">
        <is>
          <t>ORD-00312</t>
        </is>
      </c>
      <c r="B224" s="116" t="n">
        <v>45873</v>
      </c>
      <c r="C224" s="56" t="n">
        <v>2025</v>
      </c>
      <c r="D224" s="56" t="n">
        <v>8</v>
      </c>
      <c r="E224" s="56" t="inlineStr">
        <is>
          <t>Qatar</t>
        </is>
      </c>
      <c r="F224" s="56" t="inlineStr">
        <is>
          <t>Doha</t>
        </is>
      </c>
      <c r="G224" s="56" t="inlineStr">
        <is>
          <t>Meta Ads</t>
        </is>
      </c>
      <c r="H224" s="56" t="inlineStr">
        <is>
          <t>Bundle Promo</t>
        </is>
      </c>
      <c r="I224" s="56" t="inlineStr">
        <is>
          <t>P010</t>
        </is>
      </c>
      <c r="J224" s="56" t="inlineStr">
        <is>
          <t>Smart Water Bottle</t>
        </is>
      </c>
      <c r="K224" s="56" t="inlineStr">
        <is>
          <t>Lifestyle</t>
        </is>
      </c>
      <c r="L224" s="56" t="inlineStr">
        <is>
          <t>Shenzhen Smart Home</t>
        </is>
      </c>
      <c r="M224" s="56" t="n">
        <v>30.02</v>
      </c>
      <c r="N224" s="56" t="n">
        <v>9.58</v>
      </c>
      <c r="O224" s="56" t="n">
        <v>4.41</v>
      </c>
      <c r="P224" s="56" t="n">
        <v>0.03</v>
      </c>
      <c r="Q224" s="56" t="n">
        <v>8.01</v>
      </c>
      <c r="R224" s="56" t="n">
        <v>1</v>
      </c>
      <c r="S224" s="56">
        <f>IF(AC224="Cancelled",0,M224*R224)</f>
        <v/>
      </c>
      <c r="T224" s="56">
        <f>IF(AC224="Cancelled",0,N224*R224)</f>
        <v/>
      </c>
      <c r="U224" s="56">
        <f>IF(AC224="Cancelled",0,O224*R224)</f>
        <v/>
      </c>
      <c r="V224" s="56">
        <f>IF(AC224="Cancelled",0,ROUND(P224*S224,2))</f>
        <v/>
      </c>
      <c r="W224" s="56" t="inlineStr">
        <is>
          <t>No</t>
        </is>
      </c>
      <c r="X224" s="56" t="n">
        <v>0</v>
      </c>
      <c r="Y224" s="56">
        <f>IF(AC224="Cancelled",0,T224+U224+V224+Q224+X224)</f>
        <v/>
      </c>
      <c r="Z224" s="56">
        <f>IF(AC224="Cancelled",-Q224,S224-Y224)</f>
        <v/>
      </c>
      <c r="AA224" s="56">
        <f>IF(OR(AC224="Cancelled",S224=0),0,Z224/S224)</f>
        <v/>
      </c>
      <c r="AB224" s="56">
        <f>IFERROR(IF(Q224=0,0,S224/Q224),0)</f>
        <v/>
      </c>
      <c r="AC224" s="56" t="inlineStr">
        <is>
          <t>Delivered</t>
        </is>
      </c>
      <c r="AD224" s="56">
        <f>IF(Z224&lt;=0,"Low Profit",IF(Z224&gt;=50,"HighProfit","Medium Profit"))</f>
        <v/>
      </c>
      <c r="AE224" s="56">
        <f>TEXT(B224,"mmmm")</f>
        <v/>
      </c>
    </row>
    <row r="225" ht="14.25" customHeight="1" s="57">
      <c r="A225" s="56" t="inlineStr">
        <is>
          <t>ORD-00108</t>
        </is>
      </c>
      <c r="B225" s="116" t="n">
        <v>45874</v>
      </c>
      <c r="C225" s="56" t="n">
        <v>2025</v>
      </c>
      <c r="D225" s="56" t="n">
        <v>8</v>
      </c>
      <c r="E225" s="56" t="inlineStr">
        <is>
          <t>Oman</t>
        </is>
      </c>
      <c r="F225" s="56" t="inlineStr">
        <is>
          <t>Muscat</t>
        </is>
      </c>
      <c r="G225" s="56" t="inlineStr">
        <is>
          <t>Meta Ads</t>
        </is>
      </c>
      <c r="H225" s="56" t="inlineStr">
        <is>
          <t>Launch Test</t>
        </is>
      </c>
      <c r="I225" s="56" t="inlineStr">
        <is>
          <t>P010</t>
        </is>
      </c>
      <c r="J225" s="56" t="inlineStr">
        <is>
          <t>Smart Water Bottle</t>
        </is>
      </c>
      <c r="K225" s="56" t="inlineStr">
        <is>
          <t>Lifestyle</t>
        </is>
      </c>
      <c r="L225" s="56" t="inlineStr">
        <is>
          <t>Shenzhen Smart Home</t>
        </is>
      </c>
      <c r="M225" s="56" t="n">
        <v>36.81</v>
      </c>
      <c r="N225" s="56" t="n">
        <v>10.23</v>
      </c>
      <c r="O225" s="56" t="n">
        <v>3.83</v>
      </c>
      <c r="P225" s="56" t="n">
        <v>0.03</v>
      </c>
      <c r="Q225" s="56" t="n">
        <v>12.21</v>
      </c>
      <c r="R225" s="56" t="n">
        <v>2</v>
      </c>
      <c r="S225" s="56">
        <f>IF(AC225="Cancelled",0,M225*R225)</f>
        <v/>
      </c>
      <c r="T225" s="56">
        <f>IF(AC225="Cancelled",0,N225*R225)</f>
        <v/>
      </c>
      <c r="U225" s="56">
        <f>IF(AC225="Cancelled",0,O225*R225)</f>
        <v/>
      </c>
      <c r="V225" s="56">
        <f>IF(AC225="Cancelled",0,ROUND(P225*S225,2))</f>
        <v/>
      </c>
      <c r="W225" s="56" t="inlineStr">
        <is>
          <t>No</t>
        </is>
      </c>
      <c r="X225" s="56" t="n">
        <v>0</v>
      </c>
      <c r="Y225" s="56">
        <f>IF(AC225="Cancelled",0,T225+U225+V225+Q225+X225)</f>
        <v/>
      </c>
      <c r="Z225" s="56">
        <f>IF(AC225="Cancelled",-Q225,S225-Y225)</f>
        <v/>
      </c>
      <c r="AA225" s="56">
        <f>IF(OR(AC225="Cancelled",S225=0),0,Z225/S225)</f>
        <v/>
      </c>
      <c r="AB225" s="56">
        <f>IFERROR(IF(Q225=0,0,S225/Q225),0)</f>
        <v/>
      </c>
      <c r="AC225" s="56" t="inlineStr">
        <is>
          <t>Delivered</t>
        </is>
      </c>
      <c r="AD225" s="56">
        <f>IF(Z225&lt;=0,"Low Profit",IF(Z225&gt;=50,"HighProfit","Medium Profit"))</f>
        <v/>
      </c>
      <c r="AE225" s="56">
        <f>TEXT(B225,"mmmm")</f>
        <v/>
      </c>
    </row>
    <row r="226" ht="14.25" customHeight="1" s="57">
      <c r="A226" s="56" t="inlineStr">
        <is>
          <t>ORD-00160</t>
        </is>
      </c>
      <c r="B226" s="116" t="n">
        <v>45874</v>
      </c>
      <c r="C226" s="56" t="n">
        <v>2025</v>
      </c>
      <c r="D226" s="56" t="n">
        <v>8</v>
      </c>
      <c r="E226" s="56" t="inlineStr">
        <is>
          <t>Oman</t>
        </is>
      </c>
      <c r="F226" s="56" t="inlineStr">
        <is>
          <t>Muscat</t>
        </is>
      </c>
      <c r="G226" s="56" t="inlineStr">
        <is>
          <t>Meta Ads</t>
        </is>
      </c>
      <c r="H226" s="56" t="inlineStr">
        <is>
          <t>Launch Test</t>
        </is>
      </c>
      <c r="I226" s="56" t="inlineStr">
        <is>
          <t>P002</t>
        </is>
      </c>
      <c r="J226" s="56" t="inlineStr">
        <is>
          <t>Phone Case</t>
        </is>
      </c>
      <c r="K226" s="56" t="inlineStr">
        <is>
          <t>Accessories</t>
        </is>
      </c>
      <c r="L226" s="56" t="inlineStr">
        <is>
          <t>Guangzhou Cases Ltd.</t>
        </is>
      </c>
      <c r="M226" s="56" t="n">
        <v>14.67</v>
      </c>
      <c r="N226" s="56" t="n">
        <v>1.91</v>
      </c>
      <c r="O226" s="56" t="n">
        <v>1.86</v>
      </c>
      <c r="P226" s="56" t="n">
        <v>0.03</v>
      </c>
      <c r="Q226" s="56" t="n">
        <v>18.74</v>
      </c>
      <c r="R226" s="56" t="n">
        <v>2</v>
      </c>
      <c r="S226" s="56">
        <f>IF(AC226="Cancelled",0,M226*R226)</f>
        <v/>
      </c>
      <c r="T226" s="56">
        <f>IF(AC226="Cancelled",0,N226*R226)</f>
        <v/>
      </c>
      <c r="U226" s="56">
        <f>IF(AC226="Cancelled",0,O226*R226)</f>
        <v/>
      </c>
      <c r="V226" s="56">
        <f>IF(AC226="Cancelled",0,ROUND(P226*S226,2))</f>
        <v/>
      </c>
      <c r="W226" s="56" t="inlineStr">
        <is>
          <t>No</t>
        </is>
      </c>
      <c r="X226" s="56" t="n">
        <v>0</v>
      </c>
      <c r="Y226" s="56">
        <f>IF(AC226="Cancelled",0,T226+U226+V226+Q226+X226)</f>
        <v/>
      </c>
      <c r="Z226" s="56">
        <f>IF(AC226="Cancelled",-Q226,S226-Y226)</f>
        <v/>
      </c>
      <c r="AA226" s="56">
        <f>IF(OR(AC226="Cancelled",S226=0),0,Z226/S226)</f>
        <v/>
      </c>
      <c r="AB226" s="56">
        <f>IFERROR(IF(Q226=0,0,S226/Q226),0)</f>
        <v/>
      </c>
      <c r="AC226" s="56" t="inlineStr">
        <is>
          <t>Delivered</t>
        </is>
      </c>
      <c r="AD226" s="56">
        <f>IF(Z226&lt;=0,"Low Profit",IF(Z226&gt;=50,"HighProfit","Medium Profit"))</f>
        <v/>
      </c>
      <c r="AE226" s="56">
        <f>TEXT(B226,"mmmm")</f>
        <v/>
      </c>
    </row>
    <row r="227" ht="14.25" customHeight="1" s="57">
      <c r="A227" s="56" t="inlineStr">
        <is>
          <t>ORD-00237</t>
        </is>
      </c>
      <c r="B227" s="116" t="n">
        <v>45876</v>
      </c>
      <c r="C227" s="56" t="n">
        <v>2025</v>
      </c>
      <c r="D227" s="56" t="n">
        <v>8</v>
      </c>
      <c r="E227" s="56" t="inlineStr">
        <is>
          <t>Saudi Arabia</t>
        </is>
      </c>
      <c r="F227" s="56" t="inlineStr">
        <is>
          <t>Riyadh</t>
        </is>
      </c>
      <c r="G227" s="56" t="inlineStr">
        <is>
          <t>Google Ads</t>
        </is>
      </c>
      <c r="H227" s="56" t="inlineStr">
        <is>
          <t>Retargeting</t>
        </is>
      </c>
      <c r="I227" s="56" t="inlineStr">
        <is>
          <t>P010</t>
        </is>
      </c>
      <c r="J227" s="56" t="inlineStr">
        <is>
          <t>Smart Water Bottle</t>
        </is>
      </c>
      <c r="K227" s="56" t="inlineStr">
        <is>
          <t>Lifestyle</t>
        </is>
      </c>
      <c r="L227" s="56" t="inlineStr">
        <is>
          <t>Shenzhen Smart Home</t>
        </is>
      </c>
      <c r="M227" s="56" t="n">
        <v>31.94</v>
      </c>
      <c r="N227" s="56" t="n">
        <v>10.06</v>
      </c>
      <c r="O227" s="56" t="n">
        <v>3.73</v>
      </c>
      <c r="P227" s="56" t="n">
        <v>0.03</v>
      </c>
      <c r="Q227" s="56" t="n">
        <v>15</v>
      </c>
      <c r="R227" s="56" t="n">
        <v>3</v>
      </c>
      <c r="S227" s="56">
        <f>IF(AC227="Cancelled",0,M227*R227)</f>
        <v/>
      </c>
      <c r="T227" s="56">
        <f>IF(AC227="Cancelled",0,N227*R227)</f>
        <v/>
      </c>
      <c r="U227" s="56">
        <f>IF(AC227="Cancelled",0,O227*R227)</f>
        <v/>
      </c>
      <c r="V227" s="56">
        <f>IF(AC227="Cancelled",0,ROUND(P227*S227,2))</f>
        <v/>
      </c>
      <c r="W227" s="56" t="inlineStr">
        <is>
          <t>No</t>
        </is>
      </c>
      <c r="X227" s="56" t="n">
        <v>0</v>
      </c>
      <c r="Y227" s="56">
        <f>IF(AC227="Cancelled",0,T227+U227+V227+Q227+X227)</f>
        <v/>
      </c>
      <c r="Z227" s="56">
        <f>IF(AC227="Cancelled",-Q227,S227-Y227)</f>
        <v/>
      </c>
      <c r="AA227" s="56">
        <f>IF(OR(AC227="Cancelled",S227=0),0,Z227/S227)</f>
        <v/>
      </c>
      <c r="AB227" s="56">
        <f>IFERROR(IF(Q227=0,0,S227/Q227),0)</f>
        <v/>
      </c>
      <c r="AC227" s="56" t="inlineStr">
        <is>
          <t>Delivered</t>
        </is>
      </c>
      <c r="AD227" s="56">
        <f>IF(Z227&lt;=0,"Low Profit",IF(Z227&gt;=50,"HighProfit","Medium Profit"))</f>
        <v/>
      </c>
      <c r="AE227" s="56">
        <f>TEXT(B227,"mmmm")</f>
        <v/>
      </c>
    </row>
    <row r="228" ht="14.25" customHeight="1" s="57">
      <c r="A228" s="56" t="inlineStr">
        <is>
          <t>ORD-00029</t>
        </is>
      </c>
      <c r="B228" s="116" t="n">
        <v>45877</v>
      </c>
      <c r="C228" s="56" t="n">
        <v>2025</v>
      </c>
      <c r="D228" s="56" t="n">
        <v>8</v>
      </c>
      <c r="E228" s="56" t="inlineStr">
        <is>
          <t>Kuwait</t>
        </is>
      </c>
      <c r="F228" s="56" t="inlineStr">
        <is>
          <t>Kuwait City</t>
        </is>
      </c>
      <c r="G228" s="56" t="inlineStr">
        <is>
          <t>Email</t>
        </is>
      </c>
      <c r="H228" s="56" t="inlineStr">
        <is>
          <t>Launch Test</t>
        </is>
      </c>
      <c r="I228" s="56" t="inlineStr">
        <is>
          <t>P006</t>
        </is>
      </c>
      <c r="J228" s="56" t="inlineStr">
        <is>
          <t>Posture Corrector</t>
        </is>
      </c>
      <c r="K228" s="56" t="inlineStr">
        <is>
          <t>Fitness</t>
        </is>
      </c>
      <c r="L228" s="56" t="inlineStr">
        <is>
          <t>Hangzhou Health Gear</t>
        </is>
      </c>
      <c r="M228" s="56" t="n">
        <v>32.76</v>
      </c>
      <c r="N228" s="56" t="n">
        <v>9.67</v>
      </c>
      <c r="O228" s="56" t="n">
        <v>3.82</v>
      </c>
      <c r="P228" s="56" t="n">
        <v>0.03</v>
      </c>
      <c r="Q228" s="56" t="n">
        <v>13.02</v>
      </c>
      <c r="R228" s="56" t="n">
        <v>2</v>
      </c>
      <c r="S228" s="56">
        <f>IF(AC228="Cancelled",0,M228*R228)</f>
        <v/>
      </c>
      <c r="T228" s="56">
        <f>IF(AC228="Cancelled",0,N228*R228)</f>
        <v/>
      </c>
      <c r="U228" s="56">
        <f>IF(AC228="Cancelled",0,O228*R228)</f>
        <v/>
      </c>
      <c r="V228" s="56">
        <f>IF(AC228="Cancelled",0,ROUND(P228*S228,2))</f>
        <v/>
      </c>
      <c r="W228" s="56" t="inlineStr">
        <is>
          <t>No</t>
        </is>
      </c>
      <c r="X228" s="56" t="n">
        <v>0</v>
      </c>
      <c r="Y228" s="56">
        <f>IF(AC228="Cancelled",0,T228+U228+V228+Q228+X228)</f>
        <v/>
      </c>
      <c r="Z228" s="56">
        <f>IF(AC228="Cancelled",-Q228,S228-Y228)</f>
        <v/>
      </c>
      <c r="AA228" s="56">
        <f>IF(OR(AC228="Cancelled",S228=0),0,Z228/S228)</f>
        <v/>
      </c>
      <c r="AB228" s="56">
        <f>IFERROR(IF(Q228=0,0,S228/Q228),0)</f>
        <v/>
      </c>
      <c r="AC228" s="56" t="inlineStr">
        <is>
          <t>Delivered</t>
        </is>
      </c>
      <c r="AD228" s="56">
        <f>IF(Z228&lt;=0,"Low Profit",IF(Z228&gt;=50,"HighProfit","Medium Profit"))</f>
        <v/>
      </c>
      <c r="AE228" s="56">
        <f>TEXT(B228,"mmmm")</f>
        <v/>
      </c>
    </row>
    <row r="229" ht="14.25" customHeight="1" s="57">
      <c r="A229" s="56" t="inlineStr">
        <is>
          <t>ORD-00061</t>
        </is>
      </c>
      <c r="B229" s="116" t="n">
        <v>45877</v>
      </c>
      <c r="C229" s="56" t="n">
        <v>2025</v>
      </c>
      <c r="D229" s="56" t="n">
        <v>8</v>
      </c>
      <c r="E229" s="56" t="inlineStr">
        <is>
          <t>Oman</t>
        </is>
      </c>
      <c r="F229" s="56" t="inlineStr">
        <is>
          <t>Muscat</t>
        </is>
      </c>
      <c r="G229" s="56" t="inlineStr">
        <is>
          <t>Google Ads</t>
        </is>
      </c>
      <c r="H229" s="56" t="inlineStr">
        <is>
          <t>Retargeting</t>
        </is>
      </c>
      <c r="I229" s="56" t="inlineStr">
        <is>
          <t>P001</t>
        </is>
      </c>
      <c r="J229" s="56" t="inlineStr">
        <is>
          <t>Wireless Earbuds</t>
        </is>
      </c>
      <c r="K229" s="56" t="inlineStr">
        <is>
          <t>Electronics</t>
        </is>
      </c>
      <c r="L229" s="56" t="inlineStr">
        <is>
          <t>Shenzhen Audio Co.</t>
        </is>
      </c>
      <c r="M229" s="56" t="n">
        <v>40.27</v>
      </c>
      <c r="N229" s="56" t="n">
        <v>8.56</v>
      </c>
      <c r="O229" s="56" t="n">
        <v>3.96</v>
      </c>
      <c r="P229" s="56" t="n">
        <v>0.03</v>
      </c>
      <c r="Q229" s="56" t="n">
        <v>2.5</v>
      </c>
      <c r="R229" s="56" t="n">
        <v>1</v>
      </c>
      <c r="S229" s="56">
        <f>IF(AC229="Cancelled",0,M229*R229)</f>
        <v/>
      </c>
      <c r="T229" s="56">
        <f>IF(AC229="Cancelled",0,N229*R229)</f>
        <v/>
      </c>
      <c r="U229" s="56">
        <f>IF(AC229="Cancelled",0,O229*R229)</f>
        <v/>
      </c>
      <c r="V229" s="56">
        <f>IF(AC229="Cancelled",0,ROUND(P229*S229,2))</f>
        <v/>
      </c>
      <c r="W229" s="56" t="inlineStr">
        <is>
          <t>No</t>
        </is>
      </c>
      <c r="X229" s="56" t="n">
        <v>0</v>
      </c>
      <c r="Y229" s="56">
        <f>IF(AC229="Cancelled",0,T229+U229+V229+Q229+X229)</f>
        <v/>
      </c>
      <c r="Z229" s="56">
        <f>IF(AC229="Cancelled",-Q229,S229-Y229)</f>
        <v/>
      </c>
      <c r="AA229" s="56">
        <f>IF(OR(AC229="Cancelled",S229=0),0,Z229/S229)</f>
        <v/>
      </c>
      <c r="AB229" s="56">
        <f>IFERROR(IF(Q229=0,0,S229/Q229),0)</f>
        <v/>
      </c>
      <c r="AC229" s="56" t="inlineStr">
        <is>
          <t>Delivered</t>
        </is>
      </c>
      <c r="AD229" s="56">
        <f>IF(Z229&lt;=0,"Low Profit",IF(Z229&gt;=50,"HighProfit","Medium Profit"))</f>
        <v/>
      </c>
      <c r="AE229" s="56">
        <f>TEXT(B229,"mmmm")</f>
        <v/>
      </c>
    </row>
    <row r="230" ht="14.25" customHeight="1" s="57">
      <c r="A230" s="56" t="inlineStr">
        <is>
          <t>ORD-00159</t>
        </is>
      </c>
      <c r="B230" s="116" t="n">
        <v>45877</v>
      </c>
      <c r="C230" s="56" t="n">
        <v>2025</v>
      </c>
      <c r="D230" s="56" t="n">
        <v>8</v>
      </c>
      <c r="E230" s="56" t="inlineStr">
        <is>
          <t>Oman</t>
        </is>
      </c>
      <c r="F230" s="56" t="inlineStr">
        <is>
          <t>Muscat</t>
        </is>
      </c>
      <c r="G230" s="56" t="inlineStr">
        <is>
          <t>Influencer</t>
        </is>
      </c>
      <c r="H230" s="56" t="inlineStr">
        <is>
          <t>Retargeting</t>
        </is>
      </c>
      <c r="I230" s="56" t="inlineStr">
        <is>
          <t>P008</t>
        </is>
      </c>
      <c r="J230" s="56" t="inlineStr">
        <is>
          <t>Portable Blender</t>
        </is>
      </c>
      <c r="K230" s="56" t="inlineStr">
        <is>
          <t>Kitchen</t>
        </is>
      </c>
      <c r="L230" s="56" t="inlineStr">
        <is>
          <t>Foshan Appliances</t>
        </is>
      </c>
      <c r="M230" s="56" t="n">
        <v>49.69</v>
      </c>
      <c r="N230" s="56" t="n">
        <v>17.19</v>
      </c>
      <c r="O230" s="56" t="n">
        <v>5.81</v>
      </c>
      <c r="P230" s="56" t="n">
        <v>0.03</v>
      </c>
      <c r="Q230" s="56" t="n">
        <v>5.29</v>
      </c>
      <c r="R230" s="56" t="n">
        <v>2</v>
      </c>
      <c r="S230" s="56">
        <f>IF(AC230="Cancelled",0,M230*R230)</f>
        <v/>
      </c>
      <c r="T230" s="56">
        <f>IF(AC230="Cancelled",0,N230*R230)</f>
        <v/>
      </c>
      <c r="U230" s="56">
        <f>IF(AC230="Cancelled",0,O230*R230)</f>
        <v/>
      </c>
      <c r="V230" s="56">
        <f>IF(AC230="Cancelled",0,ROUND(P230*S230,2))</f>
        <v/>
      </c>
      <c r="W230" s="56" t="inlineStr">
        <is>
          <t>No</t>
        </is>
      </c>
      <c r="X230" s="56" t="n">
        <v>0</v>
      </c>
      <c r="Y230" s="56">
        <f>IF(AC230="Cancelled",0,T230+U230+V230+Q230+X230)</f>
        <v/>
      </c>
      <c r="Z230" s="56">
        <f>IF(AC230="Cancelled",-Q230,S230-Y230)</f>
        <v/>
      </c>
      <c r="AA230" s="56">
        <f>IF(OR(AC230="Cancelled",S230=0),0,Z230/S230)</f>
        <v/>
      </c>
      <c r="AB230" s="56">
        <f>IFERROR(IF(Q230=0,0,S230/Q230),0)</f>
        <v/>
      </c>
      <c r="AC230" s="56" t="inlineStr">
        <is>
          <t>Delivered</t>
        </is>
      </c>
      <c r="AD230" s="56">
        <f>IF(Z230&lt;=0,"Low Profit",IF(Z230&gt;=50,"HighProfit","Medium Profit"))</f>
        <v/>
      </c>
      <c r="AE230" s="56">
        <f>TEXT(B230,"mmmm")</f>
        <v/>
      </c>
    </row>
    <row r="231" ht="14.25" customHeight="1" s="57">
      <c r="A231" s="56" t="inlineStr">
        <is>
          <t>ORD-00435</t>
        </is>
      </c>
      <c r="B231" s="116" t="n">
        <v>45877</v>
      </c>
      <c r="C231" s="56" t="n">
        <v>2025</v>
      </c>
      <c r="D231" s="56" t="n">
        <v>8</v>
      </c>
      <c r="E231" s="56" t="inlineStr">
        <is>
          <t>UAE</t>
        </is>
      </c>
      <c r="F231" s="56" t="inlineStr">
        <is>
          <t>Sharjah</t>
        </is>
      </c>
      <c r="G231" s="56" t="inlineStr">
        <is>
          <t>TikTok Ads</t>
        </is>
      </c>
      <c r="H231" s="56" t="inlineStr">
        <is>
          <t>Summer Sale</t>
        </is>
      </c>
      <c r="I231" s="56" t="inlineStr">
        <is>
          <t>P004</t>
        </is>
      </c>
      <c r="J231" s="56" t="inlineStr">
        <is>
          <t>Beauty Tool</t>
        </is>
      </c>
      <c r="K231" s="56" t="inlineStr">
        <is>
          <t>Beauty</t>
        </is>
      </c>
      <c r="L231" s="56" t="inlineStr">
        <is>
          <t>Ningbo Beauty Supply</t>
        </is>
      </c>
      <c r="M231" s="56" t="n">
        <v>32.19</v>
      </c>
      <c r="N231" s="56" t="n">
        <v>7.03</v>
      </c>
      <c r="O231" s="56" t="n">
        <v>4.32</v>
      </c>
      <c r="P231" s="56" t="n">
        <v>0.03</v>
      </c>
      <c r="Q231" s="56" t="n">
        <v>7.06</v>
      </c>
      <c r="R231" s="56" t="n">
        <v>1</v>
      </c>
      <c r="S231" s="56">
        <f>IF(AC231="Cancelled",0,M231*R231)</f>
        <v/>
      </c>
      <c r="T231" s="56">
        <f>IF(AC231="Cancelled",0,N231*R231)</f>
        <v/>
      </c>
      <c r="U231" s="56">
        <f>IF(AC231="Cancelled",0,O231*R231)</f>
        <v/>
      </c>
      <c r="V231" s="56">
        <f>IF(AC231="Cancelled",0,ROUND(P231*S231,2))</f>
        <v/>
      </c>
      <c r="W231" s="56" t="inlineStr">
        <is>
          <t>Yes</t>
        </is>
      </c>
      <c r="X231" s="56" t="n">
        <v>25.8</v>
      </c>
      <c r="Y231" s="56">
        <f>IF(AC231="Cancelled",0,T231+U231+V231+Q231+X231)</f>
        <v/>
      </c>
      <c r="Z231" s="56">
        <f>IF(AC231="Cancelled",-Q231,S231-Y231)</f>
        <v/>
      </c>
      <c r="AA231" s="56">
        <f>IF(OR(AC231="Cancelled",S231=0),0,Z231/S231)</f>
        <v/>
      </c>
      <c r="AB231" s="56">
        <f>IFERROR(IF(Q231=0,0,S231/Q231),0)</f>
        <v/>
      </c>
      <c r="AC231" s="56" t="inlineStr">
        <is>
          <t>Refunded</t>
        </is>
      </c>
      <c r="AD231" s="56">
        <f>IF(Z231&lt;=0,"Low Profit",IF(Z231&gt;=50,"HighProfit","Medium Profit"))</f>
        <v/>
      </c>
      <c r="AE231" s="56">
        <f>TEXT(B231,"mmmm")</f>
        <v/>
      </c>
    </row>
    <row r="232" ht="14.25" customHeight="1" s="57">
      <c r="A232" s="56" t="inlineStr">
        <is>
          <t>ORD-00116</t>
        </is>
      </c>
      <c r="B232" s="116" t="n">
        <v>45878</v>
      </c>
      <c r="C232" s="56" t="n">
        <v>2025</v>
      </c>
      <c r="D232" s="56" t="n">
        <v>8</v>
      </c>
      <c r="E232" s="56" t="inlineStr">
        <is>
          <t>UAE</t>
        </is>
      </c>
      <c r="F232" s="56" t="inlineStr">
        <is>
          <t>Sharjah</t>
        </is>
      </c>
      <c r="G232" s="56" t="inlineStr">
        <is>
          <t>Organic Search</t>
        </is>
      </c>
      <c r="H232" s="56" t="inlineStr">
        <is>
          <t>Retargeting</t>
        </is>
      </c>
      <c r="I232" s="56" t="inlineStr">
        <is>
          <t>P002</t>
        </is>
      </c>
      <c r="J232" s="56" t="inlineStr">
        <is>
          <t>Phone Case</t>
        </is>
      </c>
      <c r="K232" s="56" t="inlineStr">
        <is>
          <t>Accessories</t>
        </is>
      </c>
      <c r="L232" s="56" t="inlineStr">
        <is>
          <t>Guangzhou Cases Ltd.</t>
        </is>
      </c>
      <c r="M232" s="56" t="n">
        <v>16.34</v>
      </c>
      <c r="N232" s="56" t="n">
        <v>1.92</v>
      </c>
      <c r="O232" s="56" t="n">
        <v>2.12</v>
      </c>
      <c r="P232" s="56" t="n">
        <v>0.03</v>
      </c>
      <c r="Q232" s="56" t="n">
        <v>0</v>
      </c>
      <c r="R232" s="56" t="n">
        <v>1</v>
      </c>
      <c r="S232" s="56">
        <f>IF(AC232="Cancelled",0,M232*R232)</f>
        <v/>
      </c>
      <c r="T232" s="56">
        <f>IF(AC232="Cancelled",0,N232*R232)</f>
        <v/>
      </c>
      <c r="U232" s="56">
        <f>IF(AC232="Cancelled",0,O232*R232)</f>
        <v/>
      </c>
      <c r="V232" s="56">
        <f>IF(AC232="Cancelled",0,ROUND(P232*S232,2))</f>
        <v/>
      </c>
      <c r="W232" s="56" t="inlineStr">
        <is>
          <t>No</t>
        </is>
      </c>
      <c r="X232" s="56" t="n">
        <v>0</v>
      </c>
      <c r="Y232" s="56">
        <f>IF(AC232="Cancelled",0,T232+U232+V232+Q232+X232)</f>
        <v/>
      </c>
      <c r="Z232" s="56">
        <f>IF(AC232="Cancelled",-Q232,S232-Y232)</f>
        <v/>
      </c>
      <c r="AA232" s="56">
        <f>IF(OR(AC232="Cancelled",S232=0),0,Z232/S232)</f>
        <v/>
      </c>
      <c r="AB232" s="56">
        <f>IFERROR(IF(Q232=0,0,S232/Q232),0)</f>
        <v/>
      </c>
      <c r="AC232" s="56" t="inlineStr">
        <is>
          <t>Delivered</t>
        </is>
      </c>
      <c r="AD232" s="56">
        <f>IF(Z232&lt;=0,"Low Profit",IF(Z232&gt;=50,"HighProfit","Medium Profit"))</f>
        <v/>
      </c>
      <c r="AE232" s="56">
        <f>TEXT(B232,"mmmm")</f>
        <v/>
      </c>
    </row>
    <row r="233" ht="14.25" customHeight="1" s="57">
      <c r="A233" s="56" t="inlineStr">
        <is>
          <t>ORD-00462</t>
        </is>
      </c>
      <c r="B233" s="116" t="n">
        <v>45879</v>
      </c>
      <c r="C233" s="56" t="n">
        <v>2025</v>
      </c>
      <c r="D233" s="56" t="n">
        <v>8</v>
      </c>
      <c r="E233" s="56" t="inlineStr">
        <is>
          <t>Saudi Arabia</t>
        </is>
      </c>
      <c r="F233" s="56" t="inlineStr">
        <is>
          <t>Riyadh</t>
        </is>
      </c>
      <c r="G233" s="56" t="inlineStr">
        <is>
          <t>Google Ads</t>
        </is>
      </c>
      <c r="H233" s="56" t="inlineStr">
        <is>
          <t>New Creative A/B</t>
        </is>
      </c>
      <c r="I233" s="56" t="inlineStr">
        <is>
          <t>P003</t>
        </is>
      </c>
      <c r="J233" s="56" t="inlineStr">
        <is>
          <t>LED Strip Lights</t>
        </is>
      </c>
      <c r="K233" s="56" t="inlineStr">
        <is>
          <t>Home Decor</t>
        </is>
      </c>
      <c r="L233" s="56" t="inlineStr">
        <is>
          <t>Yiwu Lighting Factory</t>
        </is>
      </c>
      <c r="M233" s="56" t="n">
        <v>25.14</v>
      </c>
      <c r="N233" s="56" t="n">
        <v>5.9</v>
      </c>
      <c r="O233" s="56" t="n">
        <v>3.87</v>
      </c>
      <c r="P233" s="56" t="n">
        <v>0.03</v>
      </c>
      <c r="Q233" s="56" t="n">
        <v>5.8</v>
      </c>
      <c r="R233" s="56" t="n">
        <v>1</v>
      </c>
      <c r="S233" s="56">
        <f>IF(AC233="Cancelled",0,M233*R233)</f>
        <v/>
      </c>
      <c r="T233" s="56">
        <f>IF(AC233="Cancelled",0,N233*R233)</f>
        <v/>
      </c>
      <c r="U233" s="56">
        <f>IF(AC233="Cancelled",0,O233*R233)</f>
        <v/>
      </c>
      <c r="V233" s="56">
        <f>IF(AC233="Cancelled",0,ROUND(P233*S233,2))</f>
        <v/>
      </c>
      <c r="W233" s="56" t="inlineStr">
        <is>
          <t>No</t>
        </is>
      </c>
      <c r="X233" s="56" t="n">
        <v>0</v>
      </c>
      <c r="Y233" s="56">
        <f>IF(AC233="Cancelled",0,T233+U233+V233+Q233+X233)</f>
        <v/>
      </c>
      <c r="Z233" s="56">
        <f>IF(AC233="Cancelled",-Q233,S233-Y233)</f>
        <v/>
      </c>
      <c r="AA233" s="56">
        <f>IF(OR(AC233="Cancelled",S233=0),0,Z233/S233)</f>
        <v/>
      </c>
      <c r="AB233" s="56">
        <f>IFERROR(IF(Q233=0,0,S233/Q233),0)</f>
        <v/>
      </c>
      <c r="AC233" s="56" t="inlineStr">
        <is>
          <t>Delivered</t>
        </is>
      </c>
      <c r="AD233" s="56">
        <f>IF(Z233&lt;=0,"Low Profit",IF(Z233&gt;=50,"HighProfit","Medium Profit"))</f>
        <v/>
      </c>
      <c r="AE233" s="56">
        <f>TEXT(B233,"mmmm")</f>
        <v/>
      </c>
    </row>
    <row r="234" ht="14.25" customHeight="1" s="57">
      <c r="A234" s="56" t="inlineStr">
        <is>
          <t>ORD-00015</t>
        </is>
      </c>
      <c r="B234" s="116" t="n">
        <v>45880</v>
      </c>
      <c r="C234" s="56" t="n">
        <v>2025</v>
      </c>
      <c r="D234" s="56" t="n">
        <v>8</v>
      </c>
      <c r="E234" s="56" t="inlineStr">
        <is>
          <t>Saudi Arabia</t>
        </is>
      </c>
      <c r="F234" s="56" t="inlineStr">
        <is>
          <t>Jeddah</t>
        </is>
      </c>
      <c r="G234" s="56" t="inlineStr">
        <is>
          <t>Organic Search</t>
        </is>
      </c>
      <c r="H234" s="56" t="inlineStr">
        <is>
          <t>Summer Sale</t>
        </is>
      </c>
      <c r="I234" s="56" t="inlineStr">
        <is>
          <t>P004</t>
        </is>
      </c>
      <c r="J234" s="56" t="inlineStr">
        <is>
          <t>Beauty Tool</t>
        </is>
      </c>
      <c r="K234" s="56" t="inlineStr">
        <is>
          <t>Beauty</t>
        </is>
      </c>
      <c r="L234" s="56" t="inlineStr">
        <is>
          <t>Ningbo Beauty Supply</t>
        </is>
      </c>
      <c r="M234" s="56" t="n">
        <v>33.02</v>
      </c>
      <c r="N234" s="56" t="n">
        <v>7.35</v>
      </c>
      <c r="O234" s="56" t="n">
        <v>5.13</v>
      </c>
      <c r="P234" s="56" t="n">
        <v>0.03</v>
      </c>
      <c r="Q234" s="56" t="n">
        <v>0</v>
      </c>
      <c r="R234" s="56" t="n">
        <v>3</v>
      </c>
      <c r="S234" s="56">
        <f>IF(AC234="Cancelled",0,M234*R234)</f>
        <v/>
      </c>
      <c r="T234" s="56">
        <f>IF(AC234="Cancelled",0,N234*R234)</f>
        <v/>
      </c>
      <c r="U234" s="56">
        <f>IF(AC234="Cancelled",0,O234*R234)</f>
        <v/>
      </c>
      <c r="V234" s="56">
        <f>IF(AC234="Cancelled",0,ROUND(P234*S234,2))</f>
        <v/>
      </c>
      <c r="W234" s="56" t="inlineStr">
        <is>
          <t>No</t>
        </is>
      </c>
      <c r="X234" s="56" t="n">
        <v>0</v>
      </c>
      <c r="Y234" s="56">
        <f>IF(AC234="Cancelled",0,T234+U234+V234+Q234+X234)</f>
        <v/>
      </c>
      <c r="Z234" s="56">
        <f>IF(AC234="Cancelled",-Q234,S234-Y234)</f>
        <v/>
      </c>
      <c r="AA234" s="56">
        <f>IF(OR(AC234="Cancelled",S234=0),0,Z234/S234)</f>
        <v/>
      </c>
      <c r="AB234" s="56">
        <f>IFERROR(IF(Q234=0,0,S234/Q234),0)</f>
        <v/>
      </c>
      <c r="AC234" s="56" t="inlineStr">
        <is>
          <t>Delivered</t>
        </is>
      </c>
      <c r="AD234" s="56">
        <f>IF(Z234&lt;=0,"Low Profit",IF(Z234&gt;=50,"HighProfit","Medium Profit"))</f>
        <v/>
      </c>
      <c r="AE234" s="56">
        <f>TEXT(B234,"mmmm")</f>
        <v/>
      </c>
    </row>
    <row r="235" ht="14.25" customHeight="1" s="57">
      <c r="A235" s="56" t="inlineStr">
        <is>
          <t>ORD-00102</t>
        </is>
      </c>
      <c r="B235" s="116" t="n">
        <v>45880</v>
      </c>
      <c r="C235" s="56" t="n">
        <v>2025</v>
      </c>
      <c r="D235" s="56" t="n">
        <v>8</v>
      </c>
      <c r="E235" s="56" t="inlineStr">
        <is>
          <t>Saudi Arabia</t>
        </is>
      </c>
      <c r="F235" s="56" t="inlineStr">
        <is>
          <t>Jeddah</t>
        </is>
      </c>
      <c r="G235" s="56" t="inlineStr">
        <is>
          <t>TikTok Ads</t>
        </is>
      </c>
      <c r="H235" s="56" t="inlineStr">
        <is>
          <t>New Creative A/B</t>
        </is>
      </c>
      <c r="I235" s="56" t="inlineStr">
        <is>
          <t>P003</t>
        </is>
      </c>
      <c r="J235" s="56" t="inlineStr">
        <is>
          <t>LED Strip Lights</t>
        </is>
      </c>
      <c r="K235" s="56" t="inlineStr">
        <is>
          <t>Home Decor</t>
        </is>
      </c>
      <c r="L235" s="56" t="inlineStr">
        <is>
          <t>Yiwu Lighting Factory</t>
        </is>
      </c>
      <c r="M235" s="56" t="n">
        <v>23.27</v>
      </c>
      <c r="N235" s="56" t="n">
        <v>6.47</v>
      </c>
      <c r="O235" s="56" t="n">
        <v>3.83</v>
      </c>
      <c r="P235" s="56" t="n">
        <v>0.03</v>
      </c>
      <c r="Q235" s="56" t="n">
        <v>17.34</v>
      </c>
      <c r="R235" s="56" t="n">
        <v>2</v>
      </c>
      <c r="S235" s="56">
        <f>IF(AC235="Cancelled",0,M235*R235)</f>
        <v/>
      </c>
      <c r="T235" s="56">
        <f>IF(AC235="Cancelled",0,N235*R235)</f>
        <v/>
      </c>
      <c r="U235" s="56">
        <f>IF(AC235="Cancelled",0,O235*R235)</f>
        <v/>
      </c>
      <c r="V235" s="56">
        <f>IF(AC235="Cancelled",0,ROUND(P235*S235,2))</f>
        <v/>
      </c>
      <c r="W235" s="56" t="inlineStr">
        <is>
          <t>No</t>
        </is>
      </c>
      <c r="X235" s="56" t="n">
        <v>0</v>
      </c>
      <c r="Y235" s="56">
        <f>IF(AC235="Cancelled",0,T235+U235+V235+Q235+X235)</f>
        <v/>
      </c>
      <c r="Z235" s="56">
        <f>IF(AC235="Cancelled",-Q235,S235-Y235)</f>
        <v/>
      </c>
      <c r="AA235" s="56">
        <f>IF(OR(AC235="Cancelled",S235=0),0,Z235/S235)</f>
        <v/>
      </c>
      <c r="AB235" s="56">
        <f>IFERROR(IF(Q235=0,0,S235/Q235),0)</f>
        <v/>
      </c>
      <c r="AC235" s="56" t="inlineStr">
        <is>
          <t>Delivered</t>
        </is>
      </c>
      <c r="AD235" s="56">
        <f>IF(Z235&lt;=0,"Low Profit",IF(Z235&gt;=50,"HighProfit","Medium Profit"))</f>
        <v/>
      </c>
      <c r="AE235" s="56">
        <f>TEXT(B235,"mmmm")</f>
        <v/>
      </c>
    </row>
    <row r="236" ht="14.25" customHeight="1" s="57">
      <c r="A236" s="56" t="inlineStr">
        <is>
          <t>ORD-00166</t>
        </is>
      </c>
      <c r="B236" s="116" t="n">
        <v>45882</v>
      </c>
      <c r="C236" s="56" t="n">
        <v>2025</v>
      </c>
      <c r="D236" s="56" t="n">
        <v>8</v>
      </c>
      <c r="E236" s="56" t="inlineStr">
        <is>
          <t>UAE</t>
        </is>
      </c>
      <c r="F236" s="56" t="inlineStr">
        <is>
          <t>Abu Dhabi</t>
        </is>
      </c>
      <c r="G236" s="56" t="inlineStr">
        <is>
          <t>TikTok Ads</t>
        </is>
      </c>
      <c r="H236" s="56" t="inlineStr">
        <is>
          <t>Summer Sale</t>
        </is>
      </c>
      <c r="I236" s="56" t="inlineStr">
        <is>
          <t>P004</t>
        </is>
      </c>
      <c r="J236" s="56" t="inlineStr">
        <is>
          <t>Beauty Tool</t>
        </is>
      </c>
      <c r="K236" s="56" t="inlineStr">
        <is>
          <t>Beauty</t>
        </is>
      </c>
      <c r="L236" s="56" t="inlineStr">
        <is>
          <t>Ningbo Beauty Supply</t>
        </is>
      </c>
      <c r="M236" s="56" t="n">
        <v>33.39</v>
      </c>
      <c r="N236" s="56" t="n">
        <v>7.25</v>
      </c>
      <c r="O236" s="56" t="n">
        <v>4.27</v>
      </c>
      <c r="P236" s="56" t="n">
        <v>0.03</v>
      </c>
      <c r="Q236" s="56" t="n">
        <v>10.14</v>
      </c>
      <c r="R236" s="56" t="n">
        <v>1</v>
      </c>
      <c r="S236" s="56">
        <f>IF(AC236="Cancelled",0,M236*R236)</f>
        <v/>
      </c>
      <c r="T236" s="56">
        <f>IF(AC236="Cancelled",0,N236*R236)</f>
        <v/>
      </c>
      <c r="U236" s="56">
        <f>IF(AC236="Cancelled",0,O236*R236)</f>
        <v/>
      </c>
      <c r="V236" s="56">
        <f>IF(AC236="Cancelled",0,ROUND(P236*S236,2))</f>
        <v/>
      </c>
      <c r="W236" s="56" t="inlineStr">
        <is>
          <t>No</t>
        </is>
      </c>
      <c r="X236" s="56" t="n">
        <v>0</v>
      </c>
      <c r="Y236" s="56">
        <f>IF(AC236="Cancelled",0,T236+U236+V236+Q236+X236)</f>
        <v/>
      </c>
      <c r="Z236" s="56">
        <f>IF(AC236="Cancelled",-Q236,S236-Y236)</f>
        <v/>
      </c>
      <c r="AA236" s="56">
        <f>IF(OR(AC236="Cancelled",S236=0),0,Z236/S236)</f>
        <v/>
      </c>
      <c r="AB236" s="56">
        <f>IFERROR(IF(Q236=0,0,S236/Q236),0)</f>
        <v/>
      </c>
      <c r="AC236" s="56" t="inlineStr">
        <is>
          <t>Delivered</t>
        </is>
      </c>
      <c r="AD236" s="56">
        <f>IF(Z236&lt;=0,"Low Profit",IF(Z236&gt;=50,"HighProfit","Medium Profit"))</f>
        <v/>
      </c>
      <c r="AE236" s="56">
        <f>TEXT(B236,"mmmm")</f>
        <v/>
      </c>
    </row>
    <row r="237" ht="14.25" customHeight="1" s="57">
      <c r="A237" s="56" t="inlineStr">
        <is>
          <t>ORD-00262</t>
        </is>
      </c>
      <c r="B237" s="116" t="n">
        <v>45882</v>
      </c>
      <c r="C237" s="56" t="n">
        <v>2025</v>
      </c>
      <c r="D237" s="56" t="n">
        <v>8</v>
      </c>
      <c r="E237" s="56" t="inlineStr">
        <is>
          <t>Kuwait</t>
        </is>
      </c>
      <c r="F237" s="56" t="inlineStr">
        <is>
          <t>Kuwait City</t>
        </is>
      </c>
      <c r="G237" s="56" t="inlineStr">
        <is>
          <t>TikTok Ads</t>
        </is>
      </c>
      <c r="H237" s="56" t="inlineStr">
        <is>
          <t>Bundle Promo</t>
        </is>
      </c>
      <c r="I237" s="56" t="inlineStr">
        <is>
          <t>P007</t>
        </is>
      </c>
      <c r="J237" s="56" t="inlineStr">
        <is>
          <t>Pet Grooming Glove</t>
        </is>
      </c>
      <c r="K237" s="56" t="inlineStr">
        <is>
          <t>Pets</t>
        </is>
      </c>
      <c r="L237" s="56" t="inlineStr">
        <is>
          <t>Yiwu Pet Products</t>
        </is>
      </c>
      <c r="M237" s="56" t="n">
        <v>21.16</v>
      </c>
      <c r="N237" s="56" t="n">
        <v>3.71</v>
      </c>
      <c r="O237" s="56" t="n">
        <v>2.35</v>
      </c>
      <c r="P237" s="56" t="n">
        <v>0.03</v>
      </c>
      <c r="Q237" s="56" t="n">
        <v>6.45</v>
      </c>
      <c r="R237" s="56" t="n">
        <v>2</v>
      </c>
      <c r="S237" s="56">
        <f>IF(AC237="Cancelled",0,M237*R237)</f>
        <v/>
      </c>
      <c r="T237" s="56">
        <f>IF(AC237="Cancelled",0,N237*R237)</f>
        <v/>
      </c>
      <c r="U237" s="56">
        <f>IF(AC237="Cancelled",0,O237*R237)</f>
        <v/>
      </c>
      <c r="V237" s="56">
        <f>IF(AC237="Cancelled",0,ROUND(P237*S237,2))</f>
        <v/>
      </c>
      <c r="W237" s="56" t="inlineStr">
        <is>
          <t>Yes</t>
        </is>
      </c>
      <c r="X237" s="56" t="n">
        <v>22.63</v>
      </c>
      <c r="Y237" s="56">
        <f>IF(AC237="Cancelled",0,T237+U237+V237+Q237+X237)</f>
        <v/>
      </c>
      <c r="Z237" s="56">
        <f>IF(AC237="Cancelled",-Q237,S237-Y237)</f>
        <v/>
      </c>
      <c r="AA237" s="56">
        <f>IF(OR(AC237="Cancelled",S237=0),0,Z237/S237)</f>
        <v/>
      </c>
      <c r="AB237" s="56">
        <f>IFERROR(IF(Q237=0,0,S237/Q237),0)</f>
        <v/>
      </c>
      <c r="AC237" s="56" t="inlineStr">
        <is>
          <t>Refunded</t>
        </is>
      </c>
      <c r="AD237" s="56">
        <f>IF(Z237&lt;=0,"Low Profit",IF(Z237&gt;=50,"HighProfit","Medium Profit"))</f>
        <v/>
      </c>
      <c r="AE237" s="56">
        <f>TEXT(B237,"mmmm")</f>
        <v/>
      </c>
    </row>
    <row r="238" ht="14.25" customHeight="1" s="57">
      <c r="A238" s="56" t="inlineStr">
        <is>
          <t>ORD-00146</t>
        </is>
      </c>
      <c r="B238" s="116" t="n">
        <v>45883</v>
      </c>
      <c r="C238" s="56" t="n">
        <v>2025</v>
      </c>
      <c r="D238" s="56" t="n">
        <v>8</v>
      </c>
      <c r="E238" s="56" t="inlineStr">
        <is>
          <t>Oman</t>
        </is>
      </c>
      <c r="F238" s="56" t="inlineStr">
        <is>
          <t>Muscat</t>
        </is>
      </c>
      <c r="G238" s="56" t="inlineStr">
        <is>
          <t>TikTok Ads</t>
        </is>
      </c>
      <c r="H238" s="56" t="inlineStr">
        <is>
          <t>Launch Test</t>
        </is>
      </c>
      <c r="I238" s="56" t="inlineStr">
        <is>
          <t>P010</t>
        </is>
      </c>
      <c r="J238" s="56" t="inlineStr">
        <is>
          <t>Smart Water Bottle</t>
        </is>
      </c>
      <c r="K238" s="56" t="inlineStr">
        <is>
          <t>Lifestyle</t>
        </is>
      </c>
      <c r="L238" s="56" t="inlineStr">
        <is>
          <t>Shenzhen Smart Home</t>
        </is>
      </c>
      <c r="M238" s="56" t="n">
        <v>32.59</v>
      </c>
      <c r="N238" s="56" t="n">
        <v>10.12</v>
      </c>
      <c r="O238" s="56" t="n">
        <v>4.48</v>
      </c>
      <c r="P238" s="56" t="n">
        <v>0.03</v>
      </c>
      <c r="Q238" s="56" t="n">
        <v>5.33</v>
      </c>
      <c r="R238" s="56" t="n">
        <v>1</v>
      </c>
      <c r="S238" s="56">
        <f>IF(AC238="Cancelled",0,M238*R238)</f>
        <v/>
      </c>
      <c r="T238" s="56">
        <f>IF(AC238="Cancelled",0,N238*R238)</f>
        <v/>
      </c>
      <c r="U238" s="56">
        <f>IF(AC238="Cancelled",0,O238*R238)</f>
        <v/>
      </c>
      <c r="V238" s="56">
        <f>IF(AC238="Cancelled",0,ROUND(P238*S238,2))</f>
        <v/>
      </c>
      <c r="W238" s="56" t="inlineStr">
        <is>
          <t>No</t>
        </is>
      </c>
      <c r="X238" s="56" t="n">
        <v>0</v>
      </c>
      <c r="Y238" s="56">
        <f>IF(AC238="Cancelled",0,T238+U238+V238+Q238+X238)</f>
        <v/>
      </c>
      <c r="Z238" s="56">
        <f>IF(AC238="Cancelled",-Q238,S238-Y238)</f>
        <v/>
      </c>
      <c r="AA238" s="56">
        <f>IF(OR(AC238="Cancelled",S238=0),0,Z238/S238)</f>
        <v/>
      </c>
      <c r="AB238" s="56">
        <f>IFERROR(IF(Q238=0,0,S238/Q238),0)</f>
        <v/>
      </c>
      <c r="AC238" s="56" t="inlineStr">
        <is>
          <t>Delivered</t>
        </is>
      </c>
      <c r="AD238" s="56">
        <f>IF(Z238&lt;=0,"Low Profit",IF(Z238&gt;=50,"HighProfit","Medium Profit"))</f>
        <v/>
      </c>
      <c r="AE238" s="56">
        <f>TEXT(B238,"mmmm")</f>
        <v/>
      </c>
    </row>
    <row r="239" ht="14.25" customHeight="1" s="57">
      <c r="A239" s="56" t="inlineStr">
        <is>
          <t>ORD-00072</t>
        </is>
      </c>
      <c r="B239" s="116" t="n">
        <v>45884</v>
      </c>
      <c r="C239" s="56" t="n">
        <v>2025</v>
      </c>
      <c r="D239" s="56" t="n">
        <v>8</v>
      </c>
      <c r="E239" s="56" t="inlineStr">
        <is>
          <t>UAE</t>
        </is>
      </c>
      <c r="F239" s="56" t="inlineStr">
        <is>
          <t>Dubai</t>
        </is>
      </c>
      <c r="G239" s="56" t="inlineStr">
        <is>
          <t>TikTok Ads</t>
        </is>
      </c>
      <c r="H239" s="56" t="inlineStr">
        <is>
          <t>Summer Sale</t>
        </is>
      </c>
      <c r="I239" s="56" t="inlineStr">
        <is>
          <t>P009</t>
        </is>
      </c>
      <c r="J239" s="56" t="inlineStr">
        <is>
          <t>Car Vacuum Cleaner</t>
        </is>
      </c>
      <c r="K239" s="56" t="inlineStr">
        <is>
          <t>Automotive</t>
        </is>
      </c>
      <c r="L239" s="56" t="inlineStr">
        <is>
          <t>Dongguan Auto Tools</t>
        </is>
      </c>
      <c r="M239" s="56" t="n">
        <v>45.74</v>
      </c>
      <c r="N239" s="56" t="n">
        <v>14.3</v>
      </c>
      <c r="O239" s="56" t="n">
        <v>6.35</v>
      </c>
      <c r="P239" s="56" t="n">
        <v>0.03</v>
      </c>
      <c r="Q239" s="56" t="n">
        <v>6.72</v>
      </c>
      <c r="R239" s="56" t="n">
        <v>1</v>
      </c>
      <c r="S239" s="56">
        <f>IF(AC239="Cancelled",0,M239*R239)</f>
        <v/>
      </c>
      <c r="T239" s="56">
        <f>IF(AC239="Cancelled",0,N239*R239)</f>
        <v/>
      </c>
      <c r="U239" s="56">
        <f>IF(AC239="Cancelled",0,O239*R239)</f>
        <v/>
      </c>
      <c r="V239" s="56">
        <f>IF(AC239="Cancelled",0,ROUND(P239*S239,2))</f>
        <v/>
      </c>
      <c r="W239" s="56" t="inlineStr">
        <is>
          <t>No</t>
        </is>
      </c>
      <c r="X239" s="56" t="n">
        <v>0</v>
      </c>
      <c r="Y239" s="56">
        <f>IF(AC239="Cancelled",0,T239+U239+V239+Q239+X239)</f>
        <v/>
      </c>
      <c r="Z239" s="56">
        <f>IF(AC239="Cancelled",-Q239,S239-Y239)</f>
        <v/>
      </c>
      <c r="AA239" s="56">
        <f>IF(OR(AC239="Cancelled",S239=0),0,Z239/S239)</f>
        <v/>
      </c>
      <c r="AB239" s="56">
        <f>IFERROR(IF(Q239=0,0,S239/Q239),0)</f>
        <v/>
      </c>
      <c r="AC239" s="56" t="inlineStr">
        <is>
          <t>Delivered</t>
        </is>
      </c>
      <c r="AD239" s="56">
        <f>IF(Z239&lt;=0,"Low Profit",IF(Z239&gt;=50,"HighProfit","Medium Profit"))</f>
        <v/>
      </c>
      <c r="AE239" s="56">
        <f>TEXT(B239,"mmmm")</f>
        <v/>
      </c>
    </row>
    <row r="240" ht="14.25" customHeight="1" s="57">
      <c r="A240" s="56" t="inlineStr">
        <is>
          <t>ORD-00347</t>
        </is>
      </c>
      <c r="B240" s="116" t="n">
        <v>45884</v>
      </c>
      <c r="C240" s="56" t="n">
        <v>2025</v>
      </c>
      <c r="D240" s="56" t="n">
        <v>8</v>
      </c>
      <c r="E240" s="56" t="inlineStr">
        <is>
          <t>Saudi Arabia</t>
        </is>
      </c>
      <c r="F240" s="56" t="inlineStr">
        <is>
          <t>Jeddah</t>
        </is>
      </c>
      <c r="G240" s="56" t="inlineStr">
        <is>
          <t>Organic Search</t>
        </is>
      </c>
      <c r="H240" s="56" t="inlineStr">
        <is>
          <t>Bundle Promo</t>
        </is>
      </c>
      <c r="I240" s="56" t="inlineStr">
        <is>
          <t>P007</t>
        </is>
      </c>
      <c r="J240" s="56" t="inlineStr">
        <is>
          <t>Pet Grooming Glove</t>
        </is>
      </c>
      <c r="K240" s="56" t="inlineStr">
        <is>
          <t>Pets</t>
        </is>
      </c>
      <c r="L240" s="56" t="inlineStr">
        <is>
          <t>Yiwu Pet Products</t>
        </is>
      </c>
      <c r="M240" s="56" t="n">
        <v>19.16</v>
      </c>
      <c r="N240" s="56" t="n">
        <v>3.78</v>
      </c>
      <c r="O240" s="56" t="n">
        <v>2.71</v>
      </c>
      <c r="P240" s="56" t="n">
        <v>0.03</v>
      </c>
      <c r="Q240" s="56" t="n">
        <v>0</v>
      </c>
      <c r="R240" s="56" t="n">
        <v>1</v>
      </c>
      <c r="S240" s="56">
        <f>IF(AC240="Cancelled",0,M240*R240)</f>
        <v/>
      </c>
      <c r="T240" s="56">
        <f>IF(AC240="Cancelled",0,N240*R240)</f>
        <v/>
      </c>
      <c r="U240" s="56">
        <f>IF(AC240="Cancelled",0,O240*R240)</f>
        <v/>
      </c>
      <c r="V240" s="56">
        <f>IF(AC240="Cancelled",0,ROUND(P240*S240,2))</f>
        <v/>
      </c>
      <c r="W240" s="56" t="inlineStr">
        <is>
          <t>No</t>
        </is>
      </c>
      <c r="X240" s="56" t="n">
        <v>0</v>
      </c>
      <c r="Y240" s="56">
        <f>IF(AC240="Cancelled",0,T240+U240+V240+Q240+X240)</f>
        <v/>
      </c>
      <c r="Z240" s="56">
        <f>IF(AC240="Cancelled",-Q240,S240-Y240)</f>
        <v/>
      </c>
      <c r="AA240" s="56">
        <f>IF(OR(AC240="Cancelled",S240=0),0,Z240/S240)</f>
        <v/>
      </c>
      <c r="AB240" s="56">
        <f>IFERROR(IF(Q240=0,0,S240/Q240),0)</f>
        <v/>
      </c>
      <c r="AC240" s="56" t="inlineStr">
        <is>
          <t>Delivered</t>
        </is>
      </c>
      <c r="AD240" s="56">
        <f>IF(Z240&lt;=0,"Low Profit",IF(Z240&gt;=50,"HighProfit","Medium Profit"))</f>
        <v/>
      </c>
      <c r="AE240" s="56">
        <f>TEXT(B240,"mmmm")</f>
        <v/>
      </c>
    </row>
    <row r="241" ht="14.25" customHeight="1" s="57">
      <c r="A241" s="56" t="inlineStr">
        <is>
          <t>ORD-00075</t>
        </is>
      </c>
      <c r="B241" s="116" t="n">
        <v>45885</v>
      </c>
      <c r="C241" s="56" t="n">
        <v>2025</v>
      </c>
      <c r="D241" s="56" t="n">
        <v>8</v>
      </c>
      <c r="E241" s="56" t="inlineStr">
        <is>
          <t>Saudi Arabia</t>
        </is>
      </c>
      <c r="F241" s="56" t="inlineStr">
        <is>
          <t>Jeddah</t>
        </is>
      </c>
      <c r="G241" s="56" t="inlineStr">
        <is>
          <t>TikTok Ads</t>
        </is>
      </c>
      <c r="H241" s="56" t="inlineStr">
        <is>
          <t>Retargeting</t>
        </is>
      </c>
      <c r="I241" s="56" t="inlineStr">
        <is>
          <t>P006</t>
        </is>
      </c>
      <c r="J241" s="56" t="inlineStr">
        <is>
          <t>Posture Corrector</t>
        </is>
      </c>
      <c r="K241" s="56" t="inlineStr">
        <is>
          <t>Fitness</t>
        </is>
      </c>
      <c r="L241" s="56" t="inlineStr">
        <is>
          <t>Hangzhou Health Gear</t>
        </is>
      </c>
      <c r="M241" s="56" t="n">
        <v>36.74</v>
      </c>
      <c r="N241" s="56" t="n">
        <v>9.33</v>
      </c>
      <c r="O241" s="56" t="n">
        <v>3.65</v>
      </c>
      <c r="P241" s="56" t="n">
        <v>0.03</v>
      </c>
      <c r="Q241" s="56" t="n">
        <v>16.47</v>
      </c>
      <c r="R241" s="56" t="n">
        <v>2</v>
      </c>
      <c r="S241" s="56">
        <f>IF(AC241="Cancelled",0,M241*R241)</f>
        <v/>
      </c>
      <c r="T241" s="56">
        <f>IF(AC241="Cancelled",0,N241*R241)</f>
        <v/>
      </c>
      <c r="U241" s="56">
        <f>IF(AC241="Cancelled",0,O241*R241)</f>
        <v/>
      </c>
      <c r="V241" s="56">
        <f>IF(AC241="Cancelled",0,ROUND(P241*S241,2))</f>
        <v/>
      </c>
      <c r="W241" s="56" t="inlineStr">
        <is>
          <t>No</t>
        </is>
      </c>
      <c r="X241" s="56" t="n">
        <v>0</v>
      </c>
      <c r="Y241" s="56">
        <f>IF(AC241="Cancelled",0,T241+U241+V241+Q241+X241)</f>
        <v/>
      </c>
      <c r="Z241" s="56">
        <f>IF(AC241="Cancelled",-Q241,S241-Y241)</f>
        <v/>
      </c>
      <c r="AA241" s="56">
        <f>IF(OR(AC241="Cancelled",S241=0),0,Z241/S241)</f>
        <v/>
      </c>
      <c r="AB241" s="56">
        <f>IFERROR(IF(Q241=0,0,S241/Q241),0)</f>
        <v/>
      </c>
      <c r="AC241" s="56" t="inlineStr">
        <is>
          <t>Delivered</t>
        </is>
      </c>
      <c r="AD241" s="56">
        <f>IF(Z241&lt;=0,"Low Profit",IF(Z241&gt;=50,"HighProfit","Medium Profit"))</f>
        <v/>
      </c>
      <c r="AE241" s="56">
        <f>TEXT(B241,"mmmm")</f>
        <v/>
      </c>
    </row>
    <row r="242" ht="14.25" customHeight="1" s="57">
      <c r="A242" s="56" t="inlineStr">
        <is>
          <t>ORD-00279</t>
        </is>
      </c>
      <c r="B242" s="116" t="n">
        <v>45887</v>
      </c>
      <c r="C242" s="56" t="n">
        <v>2025</v>
      </c>
      <c r="D242" s="56" t="n">
        <v>8</v>
      </c>
      <c r="E242" s="56" t="inlineStr">
        <is>
          <t>UAE</t>
        </is>
      </c>
      <c r="F242" s="56" t="inlineStr">
        <is>
          <t>Abu Dhabi</t>
        </is>
      </c>
      <c r="G242" s="56" t="inlineStr">
        <is>
          <t>Email</t>
        </is>
      </c>
      <c r="H242" s="56" t="inlineStr">
        <is>
          <t>Launch Test</t>
        </is>
      </c>
      <c r="I242" s="56" t="inlineStr">
        <is>
          <t>P003</t>
        </is>
      </c>
      <c r="J242" s="56" t="inlineStr">
        <is>
          <t>LED Strip Lights</t>
        </is>
      </c>
      <c r="K242" s="56" t="inlineStr">
        <is>
          <t>Home Decor</t>
        </is>
      </c>
      <c r="L242" s="56" t="inlineStr">
        <is>
          <t>Yiwu Lighting Factory</t>
        </is>
      </c>
      <c r="M242" s="56" t="n">
        <v>24.39</v>
      </c>
      <c r="N242" s="56" t="n">
        <v>5.85</v>
      </c>
      <c r="O242" s="56" t="n">
        <v>3.26</v>
      </c>
      <c r="P242" s="56" t="n">
        <v>0.03</v>
      </c>
      <c r="Q242" s="56" t="n">
        <v>12.43</v>
      </c>
      <c r="R242" s="56" t="n">
        <v>2</v>
      </c>
      <c r="S242" s="56">
        <f>IF(AC242="Cancelled",0,M242*R242)</f>
        <v/>
      </c>
      <c r="T242" s="56">
        <f>IF(AC242="Cancelled",0,N242*R242)</f>
        <v/>
      </c>
      <c r="U242" s="56">
        <f>IF(AC242="Cancelled",0,O242*R242)</f>
        <v/>
      </c>
      <c r="V242" s="56">
        <f>IF(AC242="Cancelled",0,ROUND(P242*S242,2))</f>
        <v/>
      </c>
      <c r="W242" s="56" t="inlineStr">
        <is>
          <t>No</t>
        </is>
      </c>
      <c r="X242" s="56" t="n">
        <v>0</v>
      </c>
      <c r="Y242" s="56">
        <f>IF(AC242="Cancelled",0,T242+U242+V242+Q242+X242)</f>
        <v/>
      </c>
      <c r="Z242" s="56">
        <f>IF(AC242="Cancelled",-Q242,S242-Y242)</f>
        <v/>
      </c>
      <c r="AA242" s="56">
        <f>IF(OR(AC242="Cancelled",S242=0),0,Z242/S242)</f>
        <v/>
      </c>
      <c r="AB242" s="56">
        <f>IFERROR(IF(Q242=0,0,S242/Q242),0)</f>
        <v/>
      </c>
      <c r="AC242" s="56" t="inlineStr">
        <is>
          <t>Delivered</t>
        </is>
      </c>
      <c r="AD242" s="56">
        <f>IF(Z242&lt;=0,"Low Profit",IF(Z242&gt;=50,"HighProfit","Medium Profit"))</f>
        <v/>
      </c>
      <c r="AE242" s="56">
        <f>TEXT(B242,"mmmm")</f>
        <v/>
      </c>
    </row>
    <row r="243" ht="14.25" customHeight="1" s="57">
      <c r="A243" s="56" t="inlineStr">
        <is>
          <t>ORD-00005</t>
        </is>
      </c>
      <c r="B243" s="116" t="n">
        <v>45888</v>
      </c>
      <c r="C243" s="56" t="n">
        <v>2025</v>
      </c>
      <c r="D243" s="56" t="n">
        <v>8</v>
      </c>
      <c r="E243" s="56" t="inlineStr">
        <is>
          <t>UAE</t>
        </is>
      </c>
      <c r="F243" s="56" t="inlineStr">
        <is>
          <t>Abu Dhabi</t>
        </is>
      </c>
      <c r="G243" s="56" t="inlineStr">
        <is>
          <t>Google Ads</t>
        </is>
      </c>
      <c r="H243" s="56" t="inlineStr">
        <is>
          <t>Launch Test</t>
        </is>
      </c>
      <c r="I243" s="56" t="inlineStr">
        <is>
          <t>P007</t>
        </is>
      </c>
      <c r="J243" s="56" t="inlineStr">
        <is>
          <t>Pet Grooming Glove</t>
        </is>
      </c>
      <c r="K243" s="56" t="inlineStr">
        <is>
          <t>Pets</t>
        </is>
      </c>
      <c r="L243" s="56" t="inlineStr">
        <is>
          <t>Yiwu Pet Products</t>
        </is>
      </c>
      <c r="M243" s="56" t="n">
        <v>20.2</v>
      </c>
      <c r="N243" s="56" t="n">
        <v>3.71</v>
      </c>
      <c r="O243" s="56" t="n">
        <v>2.86</v>
      </c>
      <c r="P243" s="56" t="n">
        <v>0.03</v>
      </c>
      <c r="Q243" s="56" t="n">
        <v>6.53</v>
      </c>
      <c r="R243" s="56" t="n">
        <v>2</v>
      </c>
      <c r="S243" s="56">
        <f>IF(AC243="Cancelled",0,M243*R243)</f>
        <v/>
      </c>
      <c r="T243" s="56">
        <f>IF(AC243="Cancelled",0,N243*R243)</f>
        <v/>
      </c>
      <c r="U243" s="56">
        <f>IF(AC243="Cancelled",0,O243*R243)</f>
        <v/>
      </c>
      <c r="V243" s="56">
        <f>IF(AC243="Cancelled",0,ROUND(P243*S243,2))</f>
        <v/>
      </c>
      <c r="W243" s="56" t="inlineStr">
        <is>
          <t>No</t>
        </is>
      </c>
      <c r="X243" s="56" t="n">
        <v>0</v>
      </c>
      <c r="Y243" s="56">
        <f>IF(AC243="Cancelled",0,T243+U243+V243+Q243+X243)</f>
        <v/>
      </c>
      <c r="Z243" s="56">
        <f>IF(AC243="Cancelled",-Q243,S243-Y243)</f>
        <v/>
      </c>
      <c r="AA243" s="56">
        <f>IF(OR(AC243="Cancelled",S243=0),0,Z243/S243)</f>
        <v/>
      </c>
      <c r="AB243" s="56">
        <f>IFERROR(IF(Q243=0,0,S243/Q243),0)</f>
        <v/>
      </c>
      <c r="AC243" s="56" t="inlineStr">
        <is>
          <t>Delivered</t>
        </is>
      </c>
      <c r="AD243" s="56">
        <f>IF(Z243&lt;=0,"Low Profit",IF(Z243&gt;=50,"HighProfit","Medium Profit"))</f>
        <v/>
      </c>
      <c r="AE243" s="56">
        <f>TEXT(B243,"mmmm")</f>
        <v/>
      </c>
    </row>
    <row r="244" ht="14.25" customHeight="1" s="57">
      <c r="A244" s="56" t="inlineStr">
        <is>
          <t>ORD-00205</t>
        </is>
      </c>
      <c r="B244" s="116" t="n">
        <v>45891</v>
      </c>
      <c r="C244" s="56" t="n">
        <v>2025</v>
      </c>
      <c r="D244" s="56" t="n">
        <v>8</v>
      </c>
      <c r="E244" s="56" t="inlineStr">
        <is>
          <t>UAE</t>
        </is>
      </c>
      <c r="F244" s="56" t="inlineStr">
        <is>
          <t>Sharjah</t>
        </is>
      </c>
      <c r="G244" s="56" t="inlineStr">
        <is>
          <t>Meta Ads</t>
        </is>
      </c>
      <c r="H244" s="56" t="inlineStr">
        <is>
          <t>Summer Sale</t>
        </is>
      </c>
      <c r="I244" s="56" t="inlineStr">
        <is>
          <t>P008</t>
        </is>
      </c>
      <c r="J244" s="56" t="inlineStr">
        <is>
          <t>Portable Blender</t>
        </is>
      </c>
      <c r="K244" s="56" t="inlineStr">
        <is>
          <t>Kitchen</t>
        </is>
      </c>
      <c r="L244" s="56" t="inlineStr">
        <is>
          <t>Foshan Appliances</t>
        </is>
      </c>
      <c r="M244" s="56" t="n">
        <v>50.96</v>
      </c>
      <c r="N244" s="56" t="n">
        <v>16.65</v>
      </c>
      <c r="O244" s="56" t="n">
        <v>5.78</v>
      </c>
      <c r="P244" s="56" t="n">
        <v>0.03</v>
      </c>
      <c r="Q244" s="56" t="n">
        <v>20.5</v>
      </c>
      <c r="R244" s="56" t="n">
        <v>2</v>
      </c>
      <c r="S244" s="56">
        <f>IF(AC244="Cancelled",0,M244*R244)</f>
        <v/>
      </c>
      <c r="T244" s="56">
        <f>IF(AC244="Cancelled",0,N244*R244)</f>
        <v/>
      </c>
      <c r="U244" s="56">
        <f>IF(AC244="Cancelled",0,O244*R244)</f>
        <v/>
      </c>
      <c r="V244" s="56">
        <f>IF(AC244="Cancelled",0,ROUND(P244*S244,2))</f>
        <v/>
      </c>
      <c r="W244" s="56" t="inlineStr">
        <is>
          <t>No</t>
        </is>
      </c>
      <c r="X244" s="56" t="n">
        <v>0</v>
      </c>
      <c r="Y244" s="56">
        <f>IF(AC244="Cancelled",0,T244+U244+V244+Q244+X244)</f>
        <v/>
      </c>
      <c r="Z244" s="56">
        <f>IF(AC244="Cancelled",-Q244,S244-Y244)</f>
        <v/>
      </c>
      <c r="AA244" s="56">
        <f>IF(OR(AC244="Cancelled",S244=0),0,Z244/S244)</f>
        <v/>
      </c>
      <c r="AB244" s="56">
        <f>IFERROR(IF(Q244=0,0,S244/Q244),0)</f>
        <v/>
      </c>
      <c r="AC244" s="56" t="inlineStr">
        <is>
          <t>Delivered</t>
        </is>
      </c>
      <c r="AD244" s="56">
        <f>IF(Z244&lt;=0,"Low Profit",IF(Z244&gt;=50,"HighProfit","Medium Profit"))</f>
        <v/>
      </c>
      <c r="AE244" s="56">
        <f>TEXT(B244,"mmmm")</f>
        <v/>
      </c>
    </row>
    <row r="245" ht="14.25" customHeight="1" s="57">
      <c r="A245" s="56" t="inlineStr">
        <is>
          <t>ORD-00053</t>
        </is>
      </c>
      <c r="B245" s="116" t="n">
        <v>45893</v>
      </c>
      <c r="C245" s="56" t="n">
        <v>2025</v>
      </c>
      <c r="D245" s="56" t="n">
        <v>8</v>
      </c>
      <c r="E245" s="56" t="inlineStr">
        <is>
          <t>Kuwait</t>
        </is>
      </c>
      <c r="F245" s="56" t="inlineStr">
        <is>
          <t>Kuwait City</t>
        </is>
      </c>
      <c r="G245" s="56" t="inlineStr">
        <is>
          <t>Meta Ads</t>
        </is>
      </c>
      <c r="H245" s="56" t="inlineStr">
        <is>
          <t>Launch Test</t>
        </is>
      </c>
      <c r="I245" s="56" t="inlineStr">
        <is>
          <t>P003</t>
        </is>
      </c>
      <c r="J245" s="56" t="inlineStr">
        <is>
          <t>LED Strip Lights</t>
        </is>
      </c>
      <c r="K245" s="56" t="inlineStr">
        <is>
          <t>Home Decor</t>
        </is>
      </c>
      <c r="L245" s="56" t="inlineStr">
        <is>
          <t>Yiwu Lighting Factory</t>
        </is>
      </c>
      <c r="M245" s="56" t="n">
        <v>25.03</v>
      </c>
      <c r="N245" s="56" t="n">
        <v>6.38</v>
      </c>
      <c r="O245" s="56" t="n">
        <v>3.21</v>
      </c>
      <c r="P245" s="56" t="n">
        <v>0.03</v>
      </c>
      <c r="Q245" s="56" t="n">
        <v>4.6</v>
      </c>
      <c r="R245" s="56" t="n">
        <v>1</v>
      </c>
      <c r="S245" s="56">
        <f>IF(AC245="Cancelled",0,M245*R245)</f>
        <v/>
      </c>
      <c r="T245" s="56">
        <f>IF(AC245="Cancelled",0,N245*R245)</f>
        <v/>
      </c>
      <c r="U245" s="56">
        <f>IF(AC245="Cancelled",0,O245*R245)</f>
        <v/>
      </c>
      <c r="V245" s="56">
        <f>IF(AC245="Cancelled",0,ROUND(P245*S245,2))</f>
        <v/>
      </c>
      <c r="W245" s="56" t="inlineStr">
        <is>
          <t>No</t>
        </is>
      </c>
      <c r="X245" s="56" t="n">
        <v>0</v>
      </c>
      <c r="Y245" s="56">
        <f>IF(AC245="Cancelled",0,T245+U245+V245+Q245+X245)</f>
        <v/>
      </c>
      <c r="Z245" s="56">
        <f>IF(AC245="Cancelled",-Q245,S245-Y245)</f>
        <v/>
      </c>
      <c r="AA245" s="56">
        <f>IF(OR(AC245="Cancelled",S245=0),0,Z245/S245)</f>
        <v/>
      </c>
      <c r="AB245" s="56">
        <f>IFERROR(IF(Q245=0,0,S245/Q245),0)</f>
        <v/>
      </c>
      <c r="AC245" s="56" t="inlineStr">
        <is>
          <t>Delivered</t>
        </is>
      </c>
      <c r="AD245" s="56">
        <f>IF(Z245&lt;=0,"Low Profit",IF(Z245&gt;=50,"HighProfit","Medium Profit"))</f>
        <v/>
      </c>
      <c r="AE245" s="56">
        <f>TEXT(B245,"mmmm")</f>
        <v/>
      </c>
    </row>
    <row r="246" ht="14.25" customHeight="1" s="57">
      <c r="A246" s="56" t="inlineStr">
        <is>
          <t>ORD-00132</t>
        </is>
      </c>
      <c r="B246" s="116" t="n">
        <v>45893</v>
      </c>
      <c r="C246" s="56" t="n">
        <v>2025</v>
      </c>
      <c r="D246" s="56" t="n">
        <v>8</v>
      </c>
      <c r="E246" s="56" t="inlineStr">
        <is>
          <t>UAE</t>
        </is>
      </c>
      <c r="F246" s="56" t="inlineStr">
        <is>
          <t>Abu Dhabi</t>
        </is>
      </c>
      <c r="G246" s="56" t="inlineStr">
        <is>
          <t>Influencer</t>
        </is>
      </c>
      <c r="H246" s="56" t="inlineStr">
        <is>
          <t>New Creative A/B</t>
        </is>
      </c>
      <c r="I246" s="56" t="inlineStr">
        <is>
          <t>P007</t>
        </is>
      </c>
      <c r="J246" s="56" t="inlineStr">
        <is>
          <t>Pet Grooming Glove</t>
        </is>
      </c>
      <c r="K246" s="56" t="inlineStr">
        <is>
          <t>Pets</t>
        </is>
      </c>
      <c r="L246" s="56" t="inlineStr">
        <is>
          <t>Yiwu Pet Products</t>
        </is>
      </c>
      <c r="M246" s="56" t="n">
        <v>18.11</v>
      </c>
      <c r="N246" s="56" t="n">
        <v>3.77</v>
      </c>
      <c r="O246" s="56" t="n">
        <v>2.39</v>
      </c>
      <c r="P246" s="56" t="n">
        <v>0.03</v>
      </c>
      <c r="Q246" s="56" t="n">
        <v>5.07</v>
      </c>
      <c r="R246" s="56" t="n">
        <v>1</v>
      </c>
      <c r="S246" s="56">
        <f>IF(AC246="Cancelled",0,M246*R246)</f>
        <v/>
      </c>
      <c r="T246" s="56">
        <f>IF(AC246="Cancelled",0,N246*R246)</f>
        <v/>
      </c>
      <c r="U246" s="56">
        <f>IF(AC246="Cancelled",0,O246*R246)</f>
        <v/>
      </c>
      <c r="V246" s="56">
        <f>IF(AC246="Cancelled",0,ROUND(P246*S246,2))</f>
        <v/>
      </c>
      <c r="W246" s="56" t="inlineStr">
        <is>
          <t>Yes</t>
        </is>
      </c>
      <c r="X246" s="56" t="n">
        <v>9.68</v>
      </c>
      <c r="Y246" s="56">
        <f>IF(AC246="Cancelled",0,T246+U246+V246+Q246+X246)</f>
        <v/>
      </c>
      <c r="Z246" s="56">
        <f>IF(AC246="Cancelled",-Q246,S246-Y246)</f>
        <v/>
      </c>
      <c r="AA246" s="56">
        <f>IF(OR(AC246="Cancelled",S246=0),0,Z246/S246)</f>
        <v/>
      </c>
      <c r="AB246" s="56">
        <f>IFERROR(IF(Q246=0,0,S246/Q246),0)</f>
        <v/>
      </c>
      <c r="AC246" s="56" t="inlineStr">
        <is>
          <t>Refunded</t>
        </is>
      </c>
      <c r="AD246" s="56">
        <f>IF(Z246&lt;=0,"Low Profit",IF(Z246&gt;=50,"HighProfit","Medium Profit"))</f>
        <v/>
      </c>
      <c r="AE246" s="56">
        <f>TEXT(B246,"mmmm")</f>
        <v/>
      </c>
    </row>
    <row r="247" ht="14.25" customHeight="1" s="57">
      <c r="A247" s="56" t="inlineStr">
        <is>
          <t>ORD-00265</t>
        </is>
      </c>
      <c r="B247" s="116" t="n">
        <v>45893</v>
      </c>
      <c r="C247" s="56" t="n">
        <v>2025</v>
      </c>
      <c r="D247" s="56" t="n">
        <v>8</v>
      </c>
      <c r="E247" s="56" t="inlineStr">
        <is>
          <t>Kuwait</t>
        </is>
      </c>
      <c r="F247" s="56" t="inlineStr">
        <is>
          <t>Kuwait City</t>
        </is>
      </c>
      <c r="G247" s="56" t="inlineStr">
        <is>
          <t>Meta Ads</t>
        </is>
      </c>
      <c r="H247" s="56" t="inlineStr">
        <is>
          <t>New Creative A/B</t>
        </is>
      </c>
      <c r="I247" s="56" t="inlineStr">
        <is>
          <t>P006</t>
        </is>
      </c>
      <c r="J247" s="56" t="inlineStr">
        <is>
          <t>Posture Corrector</t>
        </is>
      </c>
      <c r="K247" s="56" t="inlineStr">
        <is>
          <t>Fitness</t>
        </is>
      </c>
      <c r="L247" s="56" t="inlineStr">
        <is>
          <t>Hangzhou Health Gear</t>
        </is>
      </c>
      <c r="M247" s="56" t="n">
        <v>36.37</v>
      </c>
      <c r="N247" s="56" t="n">
        <v>8.57</v>
      </c>
      <c r="O247" s="56" t="n">
        <v>3.64</v>
      </c>
      <c r="P247" s="56" t="n">
        <v>0.03</v>
      </c>
      <c r="Q247" s="56" t="n">
        <v>6.33</v>
      </c>
      <c r="R247" s="56" t="n">
        <v>1</v>
      </c>
      <c r="S247" s="56">
        <f>IF(AC247="Cancelled",0,M247*R247)</f>
        <v/>
      </c>
      <c r="T247" s="56">
        <f>IF(AC247="Cancelled",0,N247*R247)</f>
        <v/>
      </c>
      <c r="U247" s="56">
        <f>IF(AC247="Cancelled",0,O247*R247)</f>
        <v/>
      </c>
      <c r="V247" s="56">
        <f>IF(AC247="Cancelled",0,ROUND(P247*S247,2))</f>
        <v/>
      </c>
      <c r="W247" s="56" t="inlineStr">
        <is>
          <t>No</t>
        </is>
      </c>
      <c r="X247" s="56" t="n">
        <v>0</v>
      </c>
      <c r="Y247" s="56">
        <f>IF(AC247="Cancelled",0,T247+U247+V247+Q247+X247)</f>
        <v/>
      </c>
      <c r="Z247" s="56">
        <f>IF(AC247="Cancelled",-Q247,S247-Y247)</f>
        <v/>
      </c>
      <c r="AA247" s="56">
        <f>IF(OR(AC247="Cancelled",S247=0),0,Z247/S247)</f>
        <v/>
      </c>
      <c r="AB247" s="56">
        <f>IFERROR(IF(Q247=0,0,S247/Q247),0)</f>
        <v/>
      </c>
      <c r="AC247" s="56" t="inlineStr">
        <is>
          <t>Delivered</t>
        </is>
      </c>
      <c r="AD247" s="56">
        <f>IF(Z247&lt;=0,"Low Profit",IF(Z247&gt;=50,"HighProfit","Medium Profit"))</f>
        <v/>
      </c>
      <c r="AE247" s="56">
        <f>TEXT(B247,"mmmm")</f>
        <v/>
      </c>
    </row>
    <row r="248" ht="14.25" customHeight="1" s="57">
      <c r="A248" s="56" t="inlineStr">
        <is>
          <t>ORD-00342</t>
        </is>
      </c>
      <c r="B248" s="116" t="n">
        <v>45893</v>
      </c>
      <c r="C248" s="56" t="n">
        <v>2025</v>
      </c>
      <c r="D248" s="56" t="n">
        <v>8</v>
      </c>
      <c r="E248" s="56" t="inlineStr">
        <is>
          <t>Kuwait</t>
        </is>
      </c>
      <c r="F248" s="56" t="inlineStr">
        <is>
          <t>Kuwait City</t>
        </is>
      </c>
      <c r="G248" s="56" t="inlineStr">
        <is>
          <t>Google Ads</t>
        </is>
      </c>
      <c r="H248" s="56" t="inlineStr">
        <is>
          <t>Summer Sale</t>
        </is>
      </c>
      <c r="I248" s="56" t="inlineStr">
        <is>
          <t>P007</t>
        </is>
      </c>
      <c r="J248" s="56" t="inlineStr">
        <is>
          <t>Pet Grooming Glove</t>
        </is>
      </c>
      <c r="K248" s="56" t="inlineStr">
        <is>
          <t>Pets</t>
        </is>
      </c>
      <c r="L248" s="56" t="inlineStr">
        <is>
          <t>Yiwu Pet Products</t>
        </is>
      </c>
      <c r="M248" s="56" t="n">
        <v>20.21</v>
      </c>
      <c r="N248" s="56" t="n">
        <v>3.43</v>
      </c>
      <c r="O248" s="56" t="n">
        <v>2.6</v>
      </c>
      <c r="P248" s="56" t="n">
        <v>0.03</v>
      </c>
      <c r="Q248" s="56" t="n">
        <v>6.97</v>
      </c>
      <c r="R248" s="56" t="n">
        <v>1</v>
      </c>
      <c r="S248" s="56">
        <f>IF(AC248="Cancelled",0,M248*R248)</f>
        <v/>
      </c>
      <c r="T248" s="56">
        <f>IF(AC248="Cancelled",0,N248*R248)</f>
        <v/>
      </c>
      <c r="U248" s="56">
        <f>IF(AC248="Cancelled",0,O248*R248)</f>
        <v/>
      </c>
      <c r="V248" s="56">
        <f>IF(AC248="Cancelled",0,ROUND(P248*S248,2))</f>
        <v/>
      </c>
      <c r="W248" s="56" t="inlineStr">
        <is>
          <t>No</t>
        </is>
      </c>
      <c r="X248" s="56" t="n">
        <v>0</v>
      </c>
      <c r="Y248" s="56">
        <f>IF(AC248="Cancelled",0,T248+U248+V248+Q248+X248)</f>
        <v/>
      </c>
      <c r="Z248" s="56">
        <f>IF(AC248="Cancelled",-Q248,S248-Y248)</f>
        <v/>
      </c>
      <c r="AA248" s="56">
        <f>IF(OR(AC248="Cancelled",S248=0),0,Z248/S248)</f>
        <v/>
      </c>
      <c r="AB248" s="56">
        <f>IFERROR(IF(Q248=0,0,S248/Q248),0)</f>
        <v/>
      </c>
      <c r="AC248" s="56" t="inlineStr">
        <is>
          <t>Delivered</t>
        </is>
      </c>
      <c r="AD248" s="56">
        <f>IF(Z248&lt;=0,"Low Profit",IF(Z248&gt;=50,"HighProfit","Medium Profit"))</f>
        <v/>
      </c>
      <c r="AE248" s="56">
        <f>TEXT(B248,"mmmm")</f>
        <v/>
      </c>
    </row>
    <row r="249" ht="14.25" customHeight="1" s="57">
      <c r="A249" s="56" t="inlineStr">
        <is>
          <t>ORD-00288</t>
        </is>
      </c>
      <c r="B249" s="116" t="n">
        <v>45894</v>
      </c>
      <c r="C249" s="56" t="n">
        <v>2025</v>
      </c>
      <c r="D249" s="56" t="n">
        <v>8</v>
      </c>
      <c r="E249" s="56" t="inlineStr">
        <is>
          <t>Qatar</t>
        </is>
      </c>
      <c r="F249" s="56" t="inlineStr">
        <is>
          <t>Doha</t>
        </is>
      </c>
      <c r="G249" s="56" t="inlineStr">
        <is>
          <t>TikTok Ads</t>
        </is>
      </c>
      <c r="H249" s="56" t="inlineStr">
        <is>
          <t>New Creative A/B</t>
        </is>
      </c>
      <c r="I249" s="56" t="inlineStr">
        <is>
          <t>P007</t>
        </is>
      </c>
      <c r="J249" s="56" t="inlineStr">
        <is>
          <t>Pet Grooming Glove</t>
        </is>
      </c>
      <c r="K249" s="56" t="inlineStr">
        <is>
          <t>Pets</t>
        </is>
      </c>
      <c r="L249" s="56" t="inlineStr">
        <is>
          <t>Yiwu Pet Products</t>
        </is>
      </c>
      <c r="M249" s="56" t="n">
        <v>21.18</v>
      </c>
      <c r="N249" s="56" t="n">
        <v>3.51</v>
      </c>
      <c r="O249" s="56" t="n">
        <v>2.65</v>
      </c>
      <c r="P249" s="56" t="n">
        <v>0.03</v>
      </c>
      <c r="Q249" s="56" t="n">
        <v>10.73</v>
      </c>
      <c r="R249" s="56" t="n">
        <v>3</v>
      </c>
      <c r="S249" s="56">
        <f>IF(AC249="Cancelled",0,M249*R249)</f>
        <v/>
      </c>
      <c r="T249" s="56">
        <f>IF(AC249="Cancelled",0,N249*R249)</f>
        <v/>
      </c>
      <c r="U249" s="56">
        <f>IF(AC249="Cancelled",0,O249*R249)</f>
        <v/>
      </c>
      <c r="V249" s="56">
        <f>IF(AC249="Cancelled",0,ROUND(P249*S249,2))</f>
        <v/>
      </c>
      <c r="W249" s="56" t="inlineStr">
        <is>
          <t>No</t>
        </is>
      </c>
      <c r="X249" s="56" t="n">
        <v>0</v>
      </c>
      <c r="Y249" s="56">
        <f>IF(AC249="Cancelled",0,T249+U249+V249+Q249+X249)</f>
        <v/>
      </c>
      <c r="Z249" s="56">
        <f>IF(AC249="Cancelled",-Q249,S249-Y249)</f>
        <v/>
      </c>
      <c r="AA249" s="56">
        <f>IF(OR(AC249="Cancelled",S249=0),0,Z249/S249)</f>
        <v/>
      </c>
      <c r="AB249" s="56">
        <f>IFERROR(IF(Q249=0,0,S249/Q249),0)</f>
        <v/>
      </c>
      <c r="AC249" s="56" t="inlineStr">
        <is>
          <t>Delivered</t>
        </is>
      </c>
      <c r="AD249" s="56">
        <f>IF(Z249&lt;=0,"Low Profit",IF(Z249&gt;=50,"HighProfit","Medium Profit"))</f>
        <v/>
      </c>
      <c r="AE249" s="56">
        <f>TEXT(B249,"mmmm")</f>
        <v/>
      </c>
    </row>
    <row r="250" ht="14.25" customHeight="1" s="57">
      <c r="A250" s="56" t="inlineStr">
        <is>
          <t>ORD-00383</t>
        </is>
      </c>
      <c r="B250" s="116" t="n">
        <v>45894</v>
      </c>
      <c r="C250" s="56" t="n">
        <v>2025</v>
      </c>
      <c r="D250" s="56" t="n">
        <v>8</v>
      </c>
      <c r="E250" s="56" t="inlineStr">
        <is>
          <t>UAE</t>
        </is>
      </c>
      <c r="F250" s="56" t="inlineStr">
        <is>
          <t>Sharjah</t>
        </is>
      </c>
      <c r="G250" s="56" t="inlineStr">
        <is>
          <t>Influencer</t>
        </is>
      </c>
      <c r="H250" s="56" t="inlineStr">
        <is>
          <t>Launch Test</t>
        </is>
      </c>
      <c r="I250" s="56" t="inlineStr">
        <is>
          <t>P009</t>
        </is>
      </c>
      <c r="J250" s="56" t="inlineStr">
        <is>
          <t>Car Vacuum Cleaner</t>
        </is>
      </c>
      <c r="K250" s="56" t="inlineStr">
        <is>
          <t>Automotive</t>
        </is>
      </c>
      <c r="L250" s="56" t="inlineStr">
        <is>
          <t>Dongguan Auto Tools</t>
        </is>
      </c>
      <c r="M250" s="56" t="n">
        <v>49.53</v>
      </c>
      <c r="N250" s="56" t="n">
        <v>14.53</v>
      </c>
      <c r="O250" s="56" t="n">
        <v>6.87</v>
      </c>
      <c r="P250" s="56" t="n">
        <v>0.03</v>
      </c>
      <c r="Q250" s="56" t="n">
        <v>6.81</v>
      </c>
      <c r="R250" s="56" t="n">
        <v>1</v>
      </c>
      <c r="S250" s="56">
        <f>IF(AC250="Cancelled",0,M250*R250)</f>
        <v/>
      </c>
      <c r="T250" s="56">
        <f>IF(AC250="Cancelled",0,N250*R250)</f>
        <v/>
      </c>
      <c r="U250" s="56">
        <f>IF(AC250="Cancelled",0,O250*R250)</f>
        <v/>
      </c>
      <c r="V250" s="56">
        <f>IF(AC250="Cancelled",0,ROUND(P250*S250,2))</f>
        <v/>
      </c>
      <c r="W250" s="56" t="inlineStr">
        <is>
          <t>No</t>
        </is>
      </c>
      <c r="X250" s="56" t="n">
        <v>0</v>
      </c>
      <c r="Y250" s="56">
        <f>IF(AC250="Cancelled",0,T250+U250+V250+Q250+X250)</f>
        <v/>
      </c>
      <c r="Z250" s="56">
        <f>IF(AC250="Cancelled",-Q250,S250-Y250)</f>
        <v/>
      </c>
      <c r="AA250" s="56">
        <f>IF(OR(AC250="Cancelled",S250=0),0,Z250/S250)</f>
        <v/>
      </c>
      <c r="AB250" s="56">
        <f>IFERROR(IF(Q250=0,0,S250/Q250),0)</f>
        <v/>
      </c>
      <c r="AC250" s="56" t="inlineStr">
        <is>
          <t>Delivered</t>
        </is>
      </c>
      <c r="AD250" s="56">
        <f>IF(Z250&lt;=0,"Low Profit",IF(Z250&gt;=50,"HighProfit","Medium Profit"))</f>
        <v/>
      </c>
      <c r="AE250" s="56">
        <f>TEXT(B250,"mmmm")</f>
        <v/>
      </c>
    </row>
    <row r="251" ht="14.25" customHeight="1" s="57">
      <c r="A251" s="56" t="inlineStr">
        <is>
          <t>ORD-00388</t>
        </is>
      </c>
      <c r="B251" s="116" t="n">
        <v>45894</v>
      </c>
      <c r="C251" s="56" t="n">
        <v>2025</v>
      </c>
      <c r="D251" s="56" t="n">
        <v>8</v>
      </c>
      <c r="E251" s="56" t="inlineStr">
        <is>
          <t>UAE</t>
        </is>
      </c>
      <c r="F251" s="56" t="inlineStr">
        <is>
          <t>Dubai</t>
        </is>
      </c>
      <c r="G251" s="56" t="inlineStr">
        <is>
          <t>Organic Search</t>
        </is>
      </c>
      <c r="H251" s="56" t="inlineStr">
        <is>
          <t>Retargeting</t>
        </is>
      </c>
      <c r="I251" s="56" t="inlineStr">
        <is>
          <t>P005</t>
        </is>
      </c>
      <c r="J251" s="56" t="inlineStr">
        <is>
          <t>Mini Printer</t>
        </is>
      </c>
      <c r="K251" s="56" t="inlineStr">
        <is>
          <t>Electronics</t>
        </is>
      </c>
      <c r="L251" s="56" t="inlineStr">
        <is>
          <t>Shenzhen Print Tech</t>
        </is>
      </c>
      <c r="M251" s="56" t="n">
        <v>64.89</v>
      </c>
      <c r="N251" s="56" t="n">
        <v>23.46</v>
      </c>
      <c r="O251" s="56" t="n">
        <v>6.76</v>
      </c>
      <c r="P251" s="56" t="n">
        <v>0.03</v>
      </c>
      <c r="Q251" s="56" t="n">
        <v>0</v>
      </c>
      <c r="R251" s="56" t="n">
        <v>1</v>
      </c>
      <c r="S251" s="56">
        <f>IF(AC251="Cancelled",0,M251*R251)</f>
        <v/>
      </c>
      <c r="T251" s="56">
        <f>IF(AC251="Cancelled",0,N251*R251)</f>
        <v/>
      </c>
      <c r="U251" s="56">
        <f>IF(AC251="Cancelled",0,O251*R251)</f>
        <v/>
      </c>
      <c r="V251" s="56">
        <f>IF(AC251="Cancelled",0,ROUND(P251*S251,2))</f>
        <v/>
      </c>
      <c r="W251" s="56" t="inlineStr">
        <is>
          <t>No</t>
        </is>
      </c>
      <c r="X251" s="56" t="n">
        <v>0</v>
      </c>
      <c r="Y251" s="56">
        <f>IF(AC251="Cancelled",0,T251+U251+V251+Q251+X251)</f>
        <v/>
      </c>
      <c r="Z251" s="56">
        <f>IF(AC251="Cancelled",-Q251,S251-Y251)</f>
        <v/>
      </c>
      <c r="AA251" s="56">
        <f>IF(OR(AC251="Cancelled",S251=0),0,Z251/S251)</f>
        <v/>
      </c>
      <c r="AB251" s="56">
        <f>IFERROR(IF(Q251=0,0,S251/Q251),0)</f>
        <v/>
      </c>
      <c r="AC251" s="56" t="inlineStr">
        <is>
          <t>Delivered</t>
        </is>
      </c>
      <c r="AD251" s="56">
        <f>IF(Z251&lt;=0,"Low Profit",IF(Z251&gt;=50,"HighProfit","Medium Profit"))</f>
        <v/>
      </c>
      <c r="AE251" s="56">
        <f>TEXT(B251,"mmmm")</f>
        <v/>
      </c>
    </row>
    <row r="252" ht="14.25" customHeight="1" s="57">
      <c r="A252" s="56" t="inlineStr">
        <is>
          <t>ORD-00124</t>
        </is>
      </c>
      <c r="B252" s="116" t="n">
        <v>45895</v>
      </c>
      <c r="C252" s="56" t="n">
        <v>2025</v>
      </c>
      <c r="D252" s="56" t="n">
        <v>8</v>
      </c>
      <c r="E252" s="56" t="inlineStr">
        <is>
          <t>Qatar</t>
        </is>
      </c>
      <c r="F252" s="56" t="inlineStr">
        <is>
          <t>Doha</t>
        </is>
      </c>
      <c r="G252" s="56" t="inlineStr">
        <is>
          <t>Influencer</t>
        </is>
      </c>
      <c r="H252" s="56" t="inlineStr">
        <is>
          <t>Bundle Promo</t>
        </is>
      </c>
      <c r="I252" s="56" t="inlineStr">
        <is>
          <t>P008</t>
        </is>
      </c>
      <c r="J252" s="56" t="inlineStr">
        <is>
          <t>Portable Blender</t>
        </is>
      </c>
      <c r="K252" s="56" t="inlineStr">
        <is>
          <t>Kitchen</t>
        </is>
      </c>
      <c r="L252" s="56" t="inlineStr">
        <is>
          <t>Foshan Appliances</t>
        </is>
      </c>
      <c r="M252" s="56" t="n">
        <v>45.18</v>
      </c>
      <c r="N252" s="56" t="n">
        <v>16.3</v>
      </c>
      <c r="O252" s="56" t="n">
        <v>6.12</v>
      </c>
      <c r="P252" s="56" t="n">
        <v>0.03</v>
      </c>
      <c r="Q252" s="56" t="n">
        <v>3.48</v>
      </c>
      <c r="R252" s="56" t="n">
        <v>1</v>
      </c>
      <c r="S252" s="56">
        <f>IF(AC252="Cancelled",0,M252*R252)</f>
        <v/>
      </c>
      <c r="T252" s="56">
        <f>IF(AC252="Cancelled",0,N252*R252)</f>
        <v/>
      </c>
      <c r="U252" s="56">
        <f>IF(AC252="Cancelled",0,O252*R252)</f>
        <v/>
      </c>
      <c r="V252" s="56">
        <f>IF(AC252="Cancelled",0,ROUND(P252*S252,2))</f>
        <v/>
      </c>
      <c r="W252" s="56" t="inlineStr">
        <is>
          <t>No</t>
        </is>
      </c>
      <c r="X252" s="56" t="n">
        <v>0</v>
      </c>
      <c r="Y252" s="56">
        <f>IF(AC252="Cancelled",0,T252+U252+V252+Q252+X252)</f>
        <v/>
      </c>
      <c r="Z252" s="56">
        <f>IF(AC252="Cancelled",-Q252,S252-Y252)</f>
        <v/>
      </c>
      <c r="AA252" s="56">
        <f>IF(OR(AC252="Cancelled",S252=0),0,Z252/S252)</f>
        <v/>
      </c>
      <c r="AB252" s="56">
        <f>IFERROR(IF(Q252=0,0,S252/Q252),0)</f>
        <v/>
      </c>
      <c r="AC252" s="56" t="inlineStr">
        <is>
          <t>Delivered</t>
        </is>
      </c>
      <c r="AD252" s="56">
        <f>IF(Z252&lt;=0,"Low Profit",IF(Z252&gt;=50,"HighProfit","Medium Profit"))</f>
        <v/>
      </c>
      <c r="AE252" s="56">
        <f>TEXT(B252,"mmmm")</f>
        <v/>
      </c>
    </row>
    <row r="253" ht="14.25" customHeight="1" s="57">
      <c r="A253" s="56" t="inlineStr">
        <is>
          <t>ORD-00442</t>
        </is>
      </c>
      <c r="B253" s="116" t="n">
        <v>45895</v>
      </c>
      <c r="C253" s="56" t="n">
        <v>2025</v>
      </c>
      <c r="D253" s="56" t="n">
        <v>8</v>
      </c>
      <c r="E253" s="56" t="inlineStr">
        <is>
          <t>Oman</t>
        </is>
      </c>
      <c r="F253" s="56" t="inlineStr">
        <is>
          <t>Muscat</t>
        </is>
      </c>
      <c r="G253" s="56" t="inlineStr">
        <is>
          <t>Organic Search</t>
        </is>
      </c>
      <c r="H253" s="56" t="inlineStr">
        <is>
          <t>Summer Sale</t>
        </is>
      </c>
      <c r="I253" s="56" t="inlineStr">
        <is>
          <t>P008</t>
        </is>
      </c>
      <c r="J253" s="56" t="inlineStr">
        <is>
          <t>Portable Blender</t>
        </is>
      </c>
      <c r="K253" s="56" t="inlineStr">
        <is>
          <t>Kitchen</t>
        </is>
      </c>
      <c r="L253" s="56" t="inlineStr">
        <is>
          <t>Foshan Appliances</t>
        </is>
      </c>
      <c r="M253" s="56" t="n">
        <v>48.11</v>
      </c>
      <c r="N253" s="56" t="n">
        <v>16.72</v>
      </c>
      <c r="O253" s="56" t="n">
        <v>5.97</v>
      </c>
      <c r="P253" s="56" t="n">
        <v>0.03</v>
      </c>
      <c r="Q253" s="56" t="n">
        <v>0</v>
      </c>
      <c r="R253" s="56" t="n">
        <v>2</v>
      </c>
      <c r="S253" s="56">
        <f>IF(AC253="Cancelled",0,M253*R253)</f>
        <v/>
      </c>
      <c r="T253" s="56">
        <f>IF(AC253="Cancelled",0,N253*R253)</f>
        <v/>
      </c>
      <c r="U253" s="56">
        <f>IF(AC253="Cancelled",0,O253*R253)</f>
        <v/>
      </c>
      <c r="V253" s="56">
        <f>IF(AC253="Cancelled",0,ROUND(P253*S253,2))</f>
        <v/>
      </c>
      <c r="W253" s="56" t="inlineStr">
        <is>
          <t>No</t>
        </is>
      </c>
      <c r="X253" s="56" t="n">
        <v>0</v>
      </c>
      <c r="Y253" s="56">
        <f>IF(AC253="Cancelled",0,T253+U253+V253+Q253+X253)</f>
        <v/>
      </c>
      <c r="Z253" s="56">
        <f>IF(AC253="Cancelled",-Q253,S253-Y253)</f>
        <v/>
      </c>
      <c r="AA253" s="56">
        <f>IF(OR(AC253="Cancelled",S253=0),0,Z253/S253)</f>
        <v/>
      </c>
      <c r="AB253" s="56">
        <f>IFERROR(IF(Q253=0,0,S253/Q253),0)</f>
        <v/>
      </c>
      <c r="AC253" s="56" t="inlineStr">
        <is>
          <t>Delivered</t>
        </is>
      </c>
      <c r="AD253" s="56">
        <f>IF(Z253&lt;=0,"Low Profit",IF(Z253&gt;=50,"HighProfit","Medium Profit"))</f>
        <v/>
      </c>
      <c r="AE253" s="56">
        <f>TEXT(B253,"mmmm")</f>
        <v/>
      </c>
    </row>
    <row r="254" ht="14.25" customHeight="1" s="57">
      <c r="A254" s="56" t="inlineStr">
        <is>
          <t>ORD-00268</t>
        </is>
      </c>
      <c r="B254" s="116" t="n">
        <v>45896</v>
      </c>
      <c r="C254" s="56" t="n">
        <v>2025</v>
      </c>
      <c r="D254" s="56" t="n">
        <v>8</v>
      </c>
      <c r="E254" s="56" t="inlineStr">
        <is>
          <t>Saudi Arabia</t>
        </is>
      </c>
      <c r="F254" s="56" t="inlineStr">
        <is>
          <t>Jeddah</t>
        </is>
      </c>
      <c r="G254" s="56" t="inlineStr">
        <is>
          <t>Meta Ads</t>
        </is>
      </c>
      <c r="H254" s="56" t="inlineStr">
        <is>
          <t>Bundle Promo</t>
        </is>
      </c>
      <c r="I254" s="56" t="inlineStr">
        <is>
          <t>P006</t>
        </is>
      </c>
      <c r="J254" s="56" t="inlineStr">
        <is>
          <t>Posture Corrector</t>
        </is>
      </c>
      <c r="K254" s="56" t="inlineStr">
        <is>
          <t>Fitness</t>
        </is>
      </c>
      <c r="L254" s="56" t="inlineStr">
        <is>
          <t>Hangzhou Health Gear</t>
        </is>
      </c>
      <c r="M254" s="56" t="n">
        <v>33.71</v>
      </c>
      <c r="N254" s="56" t="n">
        <v>9.65</v>
      </c>
      <c r="O254" s="56" t="n">
        <v>3.97</v>
      </c>
      <c r="P254" s="56" t="n">
        <v>0.03</v>
      </c>
      <c r="Q254" s="56" t="n">
        <v>19.54</v>
      </c>
      <c r="R254" s="56" t="n">
        <v>2</v>
      </c>
      <c r="S254" s="56">
        <f>IF(AC254="Cancelled",0,M254*R254)</f>
        <v/>
      </c>
      <c r="T254" s="56">
        <f>IF(AC254="Cancelled",0,N254*R254)</f>
        <v/>
      </c>
      <c r="U254" s="56">
        <f>IF(AC254="Cancelled",0,O254*R254)</f>
        <v/>
      </c>
      <c r="V254" s="56">
        <f>IF(AC254="Cancelled",0,ROUND(P254*S254,2))</f>
        <v/>
      </c>
      <c r="W254" s="56" t="inlineStr">
        <is>
          <t>No</t>
        </is>
      </c>
      <c r="X254" s="56" t="n">
        <v>0</v>
      </c>
      <c r="Y254" s="56">
        <f>IF(AC254="Cancelled",0,T254+U254+V254+Q254+X254)</f>
        <v/>
      </c>
      <c r="Z254" s="56">
        <f>IF(AC254="Cancelled",-Q254,S254-Y254)</f>
        <v/>
      </c>
      <c r="AA254" s="56">
        <f>IF(OR(AC254="Cancelled",S254=0),0,Z254/S254)</f>
        <v/>
      </c>
      <c r="AB254" s="56">
        <f>IFERROR(IF(Q254=0,0,S254/Q254),0)</f>
        <v/>
      </c>
      <c r="AC254" s="56" t="inlineStr">
        <is>
          <t>Delivered</t>
        </is>
      </c>
      <c r="AD254" s="56">
        <f>IF(Z254&lt;=0,"Low Profit",IF(Z254&gt;=50,"HighProfit","Medium Profit"))</f>
        <v/>
      </c>
      <c r="AE254" s="56">
        <f>TEXT(B254,"mmmm")</f>
        <v/>
      </c>
    </row>
    <row r="255" ht="14.25" customHeight="1" s="57">
      <c r="A255" s="56" t="inlineStr">
        <is>
          <t>ORD-00111</t>
        </is>
      </c>
      <c r="B255" s="116" t="n">
        <v>45897</v>
      </c>
      <c r="C255" s="56" t="n">
        <v>2025</v>
      </c>
      <c r="D255" s="56" t="n">
        <v>8</v>
      </c>
      <c r="E255" s="56" t="inlineStr">
        <is>
          <t>Oman</t>
        </is>
      </c>
      <c r="F255" s="56" t="inlineStr">
        <is>
          <t>Muscat</t>
        </is>
      </c>
      <c r="G255" s="56" t="inlineStr">
        <is>
          <t>Google Ads</t>
        </is>
      </c>
      <c r="H255" s="56" t="inlineStr">
        <is>
          <t>Retargeting</t>
        </is>
      </c>
      <c r="I255" s="56" t="inlineStr">
        <is>
          <t>P004</t>
        </is>
      </c>
      <c r="J255" s="56" t="inlineStr">
        <is>
          <t>Beauty Tool</t>
        </is>
      </c>
      <c r="K255" s="56" t="inlineStr">
        <is>
          <t>Beauty</t>
        </is>
      </c>
      <c r="L255" s="56" t="inlineStr">
        <is>
          <t>Ningbo Beauty Supply</t>
        </is>
      </c>
      <c r="M255" s="56" t="n">
        <v>31.26</v>
      </c>
      <c r="N255" s="56" t="n">
        <v>7.1</v>
      </c>
      <c r="O255" s="56" t="n">
        <v>4.12</v>
      </c>
      <c r="P255" s="56" t="n">
        <v>0.03</v>
      </c>
      <c r="Q255" s="56" t="n">
        <v>7.17</v>
      </c>
      <c r="R255" s="56" t="n">
        <v>1</v>
      </c>
      <c r="S255" s="56">
        <f>IF(AC255="Cancelled",0,M255*R255)</f>
        <v/>
      </c>
      <c r="T255" s="56">
        <f>IF(AC255="Cancelled",0,N255*R255)</f>
        <v/>
      </c>
      <c r="U255" s="56">
        <f>IF(AC255="Cancelled",0,O255*R255)</f>
        <v/>
      </c>
      <c r="V255" s="56">
        <f>IF(AC255="Cancelled",0,ROUND(P255*S255,2))</f>
        <v/>
      </c>
      <c r="W255" s="56" t="inlineStr">
        <is>
          <t>No</t>
        </is>
      </c>
      <c r="X255" s="56" t="n">
        <v>0</v>
      </c>
      <c r="Y255" s="56">
        <f>IF(AC255="Cancelled",0,T255+U255+V255+Q255+X255)</f>
        <v/>
      </c>
      <c r="Z255" s="56">
        <f>IF(AC255="Cancelled",-Q255,S255-Y255)</f>
        <v/>
      </c>
      <c r="AA255" s="56">
        <f>IF(OR(AC255="Cancelled",S255=0),0,Z255/S255)</f>
        <v/>
      </c>
      <c r="AB255" s="56">
        <f>IFERROR(IF(Q255=0,0,S255/Q255),0)</f>
        <v/>
      </c>
      <c r="AC255" s="56" t="inlineStr">
        <is>
          <t>Delivered</t>
        </is>
      </c>
      <c r="AD255" s="56">
        <f>IF(Z255&lt;=0,"Low Profit",IF(Z255&gt;=50,"HighProfit","Medium Profit"))</f>
        <v/>
      </c>
      <c r="AE255" s="56">
        <f>TEXT(B255,"mmmm")</f>
        <v/>
      </c>
    </row>
    <row r="256" ht="14.25" customHeight="1" s="57">
      <c r="A256" s="56" t="inlineStr">
        <is>
          <t>ORD-00230</t>
        </is>
      </c>
      <c r="B256" s="116" t="n">
        <v>45897</v>
      </c>
      <c r="C256" s="56" t="n">
        <v>2025</v>
      </c>
      <c r="D256" s="56" t="n">
        <v>8</v>
      </c>
      <c r="E256" s="56" t="inlineStr">
        <is>
          <t>Kuwait</t>
        </is>
      </c>
      <c r="F256" s="56" t="inlineStr">
        <is>
          <t>Kuwait City</t>
        </is>
      </c>
      <c r="G256" s="56" t="inlineStr">
        <is>
          <t>Meta Ads</t>
        </is>
      </c>
      <c r="H256" s="56" t="inlineStr">
        <is>
          <t>Bundle Promo</t>
        </is>
      </c>
      <c r="I256" s="56" t="inlineStr">
        <is>
          <t>P001</t>
        </is>
      </c>
      <c r="J256" s="56" t="inlineStr">
        <is>
          <t>Wireless Earbuds</t>
        </is>
      </c>
      <c r="K256" s="56" t="inlineStr">
        <is>
          <t>Electronics</t>
        </is>
      </c>
      <c r="L256" s="56" t="inlineStr">
        <is>
          <t>Shenzhen Audio Co.</t>
        </is>
      </c>
      <c r="M256" s="56" t="n">
        <v>39.49</v>
      </c>
      <c r="N256" s="56" t="n">
        <v>8.66</v>
      </c>
      <c r="O256" s="56" t="n">
        <v>3.91</v>
      </c>
      <c r="P256" s="56" t="n">
        <v>0.03</v>
      </c>
      <c r="Q256" s="56" t="n">
        <v>1.39</v>
      </c>
      <c r="R256" s="56" t="n">
        <v>1</v>
      </c>
      <c r="S256" s="56">
        <f>IF(AC256="Cancelled",0,M256*R256)</f>
        <v/>
      </c>
      <c r="T256" s="56">
        <f>IF(AC256="Cancelled",0,N256*R256)</f>
        <v/>
      </c>
      <c r="U256" s="56">
        <f>IF(AC256="Cancelled",0,O256*R256)</f>
        <v/>
      </c>
      <c r="V256" s="56">
        <f>IF(AC256="Cancelled",0,ROUND(P256*S256,2))</f>
        <v/>
      </c>
      <c r="W256" s="56" t="inlineStr">
        <is>
          <t>No</t>
        </is>
      </c>
      <c r="X256" s="56" t="n">
        <v>0</v>
      </c>
      <c r="Y256" s="56">
        <f>IF(AC256="Cancelled",0,T256+U256+V256+Q256+X256)</f>
        <v/>
      </c>
      <c r="Z256" s="56">
        <f>IF(AC256="Cancelled",-Q256,S256-Y256)</f>
        <v/>
      </c>
      <c r="AA256" s="56">
        <f>IF(OR(AC256="Cancelled",S256=0),0,Z256/S256)</f>
        <v/>
      </c>
      <c r="AB256" s="56">
        <f>IFERROR(IF(Q256=0,0,S256/Q256),0)</f>
        <v/>
      </c>
      <c r="AC256" s="56" t="inlineStr">
        <is>
          <t>Delivered</t>
        </is>
      </c>
      <c r="AD256" s="56">
        <f>IF(Z256&lt;=0,"Low Profit",IF(Z256&gt;=50,"HighProfit","Medium Profit"))</f>
        <v/>
      </c>
      <c r="AE256" s="56">
        <f>TEXT(B256,"mmmm")</f>
        <v/>
      </c>
    </row>
    <row r="257" ht="14.25" customHeight="1" s="57">
      <c r="A257" s="56" t="inlineStr">
        <is>
          <t>ORD-00056</t>
        </is>
      </c>
      <c r="B257" s="116" t="n">
        <v>45899</v>
      </c>
      <c r="C257" s="56" t="n">
        <v>2025</v>
      </c>
      <c r="D257" s="56" t="n">
        <v>8</v>
      </c>
      <c r="E257" s="56" t="inlineStr">
        <is>
          <t>Oman</t>
        </is>
      </c>
      <c r="F257" s="56" t="inlineStr">
        <is>
          <t>Muscat</t>
        </is>
      </c>
      <c r="G257" s="56" t="inlineStr">
        <is>
          <t>Meta Ads</t>
        </is>
      </c>
      <c r="H257" s="56" t="inlineStr">
        <is>
          <t>Bundle Promo</t>
        </is>
      </c>
      <c r="I257" s="56" t="inlineStr">
        <is>
          <t>P008</t>
        </is>
      </c>
      <c r="J257" s="56" t="inlineStr">
        <is>
          <t>Portable Blender</t>
        </is>
      </c>
      <c r="K257" s="56" t="inlineStr">
        <is>
          <t>Kitchen</t>
        </is>
      </c>
      <c r="L257" s="56" t="inlineStr">
        <is>
          <t>Foshan Appliances</t>
        </is>
      </c>
      <c r="M257" s="56" t="n">
        <v>51.05</v>
      </c>
      <c r="N257" s="56" t="n">
        <v>16.13</v>
      </c>
      <c r="O257" s="56" t="n">
        <v>6.54</v>
      </c>
      <c r="P257" s="56" t="n">
        <v>0.03</v>
      </c>
      <c r="Q257" s="56" t="n">
        <v>11.51</v>
      </c>
      <c r="R257" s="56" t="n">
        <v>2</v>
      </c>
      <c r="S257" s="56">
        <f>IF(AC257="Cancelled",0,M257*R257)</f>
        <v/>
      </c>
      <c r="T257" s="56">
        <f>IF(AC257="Cancelled",0,N257*R257)</f>
        <v/>
      </c>
      <c r="U257" s="56">
        <f>IF(AC257="Cancelled",0,O257*R257)</f>
        <v/>
      </c>
      <c r="V257" s="56">
        <f>IF(AC257="Cancelled",0,ROUND(P257*S257,2))</f>
        <v/>
      </c>
      <c r="W257" s="56" t="inlineStr">
        <is>
          <t>Yes</t>
        </is>
      </c>
      <c r="X257" s="56" t="n">
        <v>62.83</v>
      </c>
      <c r="Y257" s="56">
        <f>IF(AC257="Cancelled",0,T257+U257+V257+Q257+X257)</f>
        <v/>
      </c>
      <c r="Z257" s="56">
        <f>IF(AC257="Cancelled",-Q257,S257-Y257)</f>
        <v/>
      </c>
      <c r="AA257" s="56">
        <f>IF(OR(AC257="Cancelled",S257=0),0,Z257/S257)</f>
        <v/>
      </c>
      <c r="AB257" s="56">
        <f>IFERROR(IF(Q257=0,0,S257/Q257),0)</f>
        <v/>
      </c>
      <c r="AC257" s="56" t="inlineStr">
        <is>
          <t>Refunded</t>
        </is>
      </c>
      <c r="AD257" s="56">
        <f>IF(Z257&lt;=0,"Low Profit",IF(Z257&gt;=50,"HighProfit","Medium Profit"))</f>
        <v/>
      </c>
      <c r="AE257" s="56">
        <f>TEXT(B257,"mmmm")</f>
        <v/>
      </c>
    </row>
    <row r="258" ht="14.25" customHeight="1" s="57">
      <c r="A258" s="56" t="inlineStr">
        <is>
          <t>ORD-00258</t>
        </is>
      </c>
      <c r="B258" s="116" t="n">
        <v>45899</v>
      </c>
      <c r="C258" s="56" t="n">
        <v>2025</v>
      </c>
      <c r="D258" s="56" t="n">
        <v>8</v>
      </c>
      <c r="E258" s="56" t="inlineStr">
        <is>
          <t>Saudi Arabia</t>
        </is>
      </c>
      <c r="F258" s="56" t="inlineStr">
        <is>
          <t>Jeddah</t>
        </is>
      </c>
      <c r="G258" s="56" t="inlineStr">
        <is>
          <t>Meta Ads</t>
        </is>
      </c>
      <c r="H258" s="56" t="inlineStr">
        <is>
          <t>New Creative A/B</t>
        </is>
      </c>
      <c r="I258" s="56" t="inlineStr">
        <is>
          <t>P008</t>
        </is>
      </c>
      <c r="J258" s="56" t="inlineStr">
        <is>
          <t>Portable Blender</t>
        </is>
      </c>
      <c r="K258" s="56" t="inlineStr">
        <is>
          <t>Kitchen</t>
        </is>
      </c>
      <c r="L258" s="56" t="inlineStr">
        <is>
          <t>Foshan Appliances</t>
        </is>
      </c>
      <c r="M258" s="56" t="n">
        <v>52.34</v>
      </c>
      <c r="N258" s="56" t="n">
        <v>15.71</v>
      </c>
      <c r="O258" s="56" t="n">
        <v>6.06</v>
      </c>
      <c r="P258" s="56" t="n">
        <v>0.03</v>
      </c>
      <c r="Q258" s="56" t="n">
        <v>19.94</v>
      </c>
      <c r="R258" s="56" t="n">
        <v>2</v>
      </c>
      <c r="S258" s="56">
        <f>IF(AC258="Cancelled",0,M258*R258)</f>
        <v/>
      </c>
      <c r="T258" s="56">
        <f>IF(AC258="Cancelled",0,N258*R258)</f>
        <v/>
      </c>
      <c r="U258" s="56">
        <f>IF(AC258="Cancelled",0,O258*R258)</f>
        <v/>
      </c>
      <c r="V258" s="56">
        <f>IF(AC258="Cancelled",0,ROUND(P258*S258,2))</f>
        <v/>
      </c>
      <c r="W258" s="56" t="inlineStr">
        <is>
          <t>Yes</t>
        </is>
      </c>
      <c r="X258" s="56" t="n">
        <v>84.91</v>
      </c>
      <c r="Y258" s="56">
        <f>IF(AC258="Cancelled",0,T258+U258+V258+Q258+X258)</f>
        <v/>
      </c>
      <c r="Z258" s="56">
        <f>IF(AC258="Cancelled",-Q258,S258-Y258)</f>
        <v/>
      </c>
      <c r="AA258" s="56">
        <f>IF(OR(AC258="Cancelled",S258=0),0,Z258/S258)</f>
        <v/>
      </c>
      <c r="AB258" s="56">
        <f>IFERROR(IF(Q258=0,0,S258/Q258),0)</f>
        <v/>
      </c>
      <c r="AC258" s="56" t="inlineStr">
        <is>
          <t>Refunded</t>
        </is>
      </c>
      <c r="AD258" s="56">
        <f>IF(Z258&lt;=0,"Low Profit",IF(Z258&gt;=50,"HighProfit","Medium Profit"))</f>
        <v/>
      </c>
      <c r="AE258" s="56">
        <f>TEXT(B258,"mmmm")</f>
        <v/>
      </c>
    </row>
    <row r="259" ht="14.25" customHeight="1" s="57">
      <c r="A259" s="56" t="inlineStr">
        <is>
          <t>ORD-00158</t>
        </is>
      </c>
      <c r="B259" s="116" t="n">
        <v>45901</v>
      </c>
      <c r="C259" s="56" t="n">
        <v>2025</v>
      </c>
      <c r="D259" s="56" t="n">
        <v>9</v>
      </c>
      <c r="E259" s="56" t="inlineStr">
        <is>
          <t>Oman</t>
        </is>
      </c>
      <c r="F259" s="56" t="inlineStr">
        <is>
          <t>Muscat</t>
        </is>
      </c>
      <c r="G259" s="56" t="inlineStr">
        <is>
          <t>Google Ads</t>
        </is>
      </c>
      <c r="H259" s="56" t="inlineStr">
        <is>
          <t>Bundle Promo</t>
        </is>
      </c>
      <c r="I259" s="56" t="inlineStr">
        <is>
          <t>P010</t>
        </is>
      </c>
      <c r="J259" s="56" t="inlineStr">
        <is>
          <t>Smart Water Bottle</t>
        </is>
      </c>
      <c r="K259" s="56" t="inlineStr">
        <is>
          <t>Lifestyle</t>
        </is>
      </c>
      <c r="L259" s="56" t="inlineStr">
        <is>
          <t>Shenzhen Smart Home</t>
        </is>
      </c>
      <c r="M259" s="56" t="n">
        <v>30.45</v>
      </c>
      <c r="N259" s="56" t="n">
        <v>10.53</v>
      </c>
      <c r="O259" s="56" t="n">
        <v>4.45</v>
      </c>
      <c r="P259" s="56" t="n">
        <v>0.03</v>
      </c>
      <c r="Q259" s="56" t="n">
        <v>7.54</v>
      </c>
      <c r="R259" s="56" t="n">
        <v>2</v>
      </c>
      <c r="S259" s="56">
        <f>IF(AC259="Cancelled",0,M259*R259)</f>
        <v/>
      </c>
      <c r="T259" s="56">
        <f>IF(AC259="Cancelled",0,N259*R259)</f>
        <v/>
      </c>
      <c r="U259" s="56">
        <f>IF(AC259="Cancelled",0,O259*R259)</f>
        <v/>
      </c>
      <c r="V259" s="56">
        <f>IF(AC259="Cancelled",0,ROUND(P259*S259,2))</f>
        <v/>
      </c>
      <c r="W259" s="56" t="inlineStr">
        <is>
          <t>No</t>
        </is>
      </c>
      <c r="X259" s="56" t="n">
        <v>0</v>
      </c>
      <c r="Y259" s="56">
        <f>IF(AC259="Cancelled",0,T259+U259+V259+Q259+X259)</f>
        <v/>
      </c>
      <c r="Z259" s="56">
        <f>IF(AC259="Cancelled",-Q259,S259-Y259)</f>
        <v/>
      </c>
      <c r="AA259" s="56">
        <f>IF(OR(AC259="Cancelled",S259=0),0,Z259/S259)</f>
        <v/>
      </c>
      <c r="AB259" s="56">
        <f>IFERROR(IF(Q259=0,0,S259/Q259),0)</f>
        <v/>
      </c>
      <c r="AC259" s="56" t="inlineStr">
        <is>
          <t>Delivered</t>
        </is>
      </c>
      <c r="AD259" s="56">
        <f>IF(Z259&lt;=0,"Low Profit",IF(Z259&gt;=50,"HighProfit","Medium Profit"))</f>
        <v/>
      </c>
      <c r="AE259" s="56">
        <f>TEXT(B259,"mmmm")</f>
        <v/>
      </c>
    </row>
    <row r="260" ht="14.25" customHeight="1" s="57">
      <c r="A260" s="56" t="inlineStr">
        <is>
          <t>ORD-00358</t>
        </is>
      </c>
      <c r="B260" s="116" t="n">
        <v>45901</v>
      </c>
      <c r="C260" s="56" t="n">
        <v>2025</v>
      </c>
      <c r="D260" s="56" t="n">
        <v>9</v>
      </c>
      <c r="E260" s="56" t="inlineStr">
        <is>
          <t>Qatar</t>
        </is>
      </c>
      <c r="F260" s="56" t="inlineStr">
        <is>
          <t>Doha</t>
        </is>
      </c>
      <c r="G260" s="56" t="inlineStr">
        <is>
          <t>TikTok Ads</t>
        </is>
      </c>
      <c r="H260" s="56" t="inlineStr">
        <is>
          <t>Retargeting</t>
        </is>
      </c>
      <c r="I260" s="56" t="inlineStr">
        <is>
          <t>P001</t>
        </is>
      </c>
      <c r="J260" s="56" t="inlineStr">
        <is>
          <t>Wireless Earbuds</t>
        </is>
      </c>
      <c r="K260" s="56" t="inlineStr">
        <is>
          <t>Electronics</t>
        </is>
      </c>
      <c r="L260" s="56" t="inlineStr">
        <is>
          <t>Shenzhen Audio Co.</t>
        </is>
      </c>
      <c r="M260" s="56" t="n">
        <v>37.27</v>
      </c>
      <c r="N260" s="56" t="n">
        <v>8.18</v>
      </c>
      <c r="O260" s="56" t="n">
        <v>4.56</v>
      </c>
      <c r="P260" s="56" t="n">
        <v>0.03</v>
      </c>
      <c r="Q260" s="56" t="n">
        <v>6.01</v>
      </c>
      <c r="R260" s="56" t="n">
        <v>1</v>
      </c>
      <c r="S260" s="56">
        <f>IF(AC260="Cancelled",0,M260*R260)</f>
        <v/>
      </c>
      <c r="T260" s="56">
        <f>IF(AC260="Cancelled",0,N260*R260)</f>
        <v/>
      </c>
      <c r="U260" s="56">
        <f>IF(AC260="Cancelled",0,O260*R260)</f>
        <v/>
      </c>
      <c r="V260" s="56">
        <f>IF(AC260="Cancelled",0,ROUND(P260*S260,2))</f>
        <v/>
      </c>
      <c r="W260" s="56" t="inlineStr">
        <is>
          <t>No</t>
        </is>
      </c>
      <c r="X260" s="56" t="n">
        <v>0</v>
      </c>
      <c r="Y260" s="56">
        <f>IF(AC260="Cancelled",0,T260+U260+V260+Q260+X260)</f>
        <v/>
      </c>
      <c r="Z260" s="56">
        <f>IF(AC260="Cancelled",-Q260,S260-Y260)</f>
        <v/>
      </c>
      <c r="AA260" s="56">
        <f>IF(OR(AC260="Cancelled",S260=0),0,Z260/S260)</f>
        <v/>
      </c>
      <c r="AB260" s="56">
        <f>IFERROR(IF(Q260=0,0,S260/Q260),0)</f>
        <v/>
      </c>
      <c r="AC260" s="56" t="inlineStr">
        <is>
          <t>Delivered</t>
        </is>
      </c>
      <c r="AD260" s="56">
        <f>IF(Z260&lt;=0,"Low Profit",IF(Z260&gt;=50,"HighProfit","Medium Profit"))</f>
        <v/>
      </c>
      <c r="AE260" s="56">
        <f>TEXT(B260,"mmmm")</f>
        <v/>
      </c>
    </row>
    <row r="261" ht="14.25" customHeight="1" s="57">
      <c r="A261" s="56" t="inlineStr">
        <is>
          <t>ORD-00398</t>
        </is>
      </c>
      <c r="B261" s="116" t="n">
        <v>45901</v>
      </c>
      <c r="C261" s="56" t="n">
        <v>2025</v>
      </c>
      <c r="D261" s="56" t="n">
        <v>9</v>
      </c>
      <c r="E261" s="56" t="inlineStr">
        <is>
          <t>Qatar</t>
        </is>
      </c>
      <c r="F261" s="56" t="inlineStr">
        <is>
          <t>Doha</t>
        </is>
      </c>
      <c r="G261" s="56" t="inlineStr">
        <is>
          <t>Meta Ads</t>
        </is>
      </c>
      <c r="H261" s="56" t="inlineStr">
        <is>
          <t>Retargeting</t>
        </is>
      </c>
      <c r="I261" s="56" t="inlineStr">
        <is>
          <t>P008</t>
        </is>
      </c>
      <c r="J261" s="56" t="inlineStr">
        <is>
          <t>Portable Blender</t>
        </is>
      </c>
      <c r="K261" s="56" t="inlineStr">
        <is>
          <t>Kitchen</t>
        </is>
      </c>
      <c r="L261" s="56" t="inlineStr">
        <is>
          <t>Foshan Appliances</t>
        </is>
      </c>
      <c r="M261" s="56" t="n">
        <v>49.95</v>
      </c>
      <c r="N261" s="56" t="n">
        <v>15.96</v>
      </c>
      <c r="O261" s="56" t="n">
        <v>6.49</v>
      </c>
      <c r="P261" s="56" t="n">
        <v>0.03</v>
      </c>
      <c r="Q261" s="56" t="n">
        <v>10.36</v>
      </c>
      <c r="R261" s="56" t="n">
        <v>1</v>
      </c>
      <c r="S261" s="56">
        <f>IF(AC261="Cancelled",0,M261*R261)</f>
        <v/>
      </c>
      <c r="T261" s="56">
        <f>IF(AC261="Cancelled",0,N261*R261)</f>
        <v/>
      </c>
      <c r="U261" s="56">
        <f>IF(AC261="Cancelled",0,O261*R261)</f>
        <v/>
      </c>
      <c r="V261" s="56">
        <f>IF(AC261="Cancelled",0,ROUND(P261*S261,2))</f>
        <v/>
      </c>
      <c r="W261" s="56" t="inlineStr">
        <is>
          <t>No</t>
        </is>
      </c>
      <c r="X261" s="56" t="n">
        <v>0</v>
      </c>
      <c r="Y261" s="56">
        <f>IF(AC261="Cancelled",0,T261+U261+V261+Q261+X261)</f>
        <v/>
      </c>
      <c r="Z261" s="56">
        <f>IF(AC261="Cancelled",-Q261,S261-Y261)</f>
        <v/>
      </c>
      <c r="AA261" s="56">
        <f>IF(OR(AC261="Cancelled",S261=0),0,Z261/S261)</f>
        <v/>
      </c>
      <c r="AB261" s="56">
        <f>IFERROR(IF(Q261=0,0,S261/Q261),0)</f>
        <v/>
      </c>
      <c r="AC261" s="56" t="inlineStr">
        <is>
          <t>Delivered</t>
        </is>
      </c>
      <c r="AD261" s="56">
        <f>IF(Z261&lt;=0,"Low Profit",IF(Z261&gt;=50,"HighProfit","Medium Profit"))</f>
        <v/>
      </c>
      <c r="AE261" s="56">
        <f>TEXT(B261,"mmmm")</f>
        <v/>
      </c>
    </row>
    <row r="262" ht="14.25" customHeight="1" s="57">
      <c r="A262" s="56" t="inlineStr">
        <is>
          <t>ORD-00043</t>
        </is>
      </c>
      <c r="B262" s="116" t="n">
        <v>45902</v>
      </c>
      <c r="C262" s="56" t="n">
        <v>2025</v>
      </c>
      <c r="D262" s="56" t="n">
        <v>9</v>
      </c>
      <c r="E262" s="56" t="inlineStr">
        <is>
          <t>Oman</t>
        </is>
      </c>
      <c r="F262" s="56" t="inlineStr">
        <is>
          <t>Muscat</t>
        </is>
      </c>
      <c r="G262" s="56" t="inlineStr">
        <is>
          <t>TikTok Ads</t>
        </is>
      </c>
      <c r="H262" s="56" t="inlineStr">
        <is>
          <t>Retargeting</t>
        </is>
      </c>
      <c r="I262" s="56" t="inlineStr">
        <is>
          <t>P005</t>
        </is>
      </c>
      <c r="J262" s="56" t="inlineStr">
        <is>
          <t>Mini Printer</t>
        </is>
      </c>
      <c r="K262" s="56" t="inlineStr">
        <is>
          <t>Electronics</t>
        </is>
      </c>
      <c r="L262" s="56" t="inlineStr">
        <is>
          <t>Shenzhen Print Tech</t>
        </is>
      </c>
      <c r="M262" s="56" t="n">
        <v>54.36</v>
      </c>
      <c r="N262" s="56" t="n">
        <v>22.64</v>
      </c>
      <c r="O262" s="56" t="n">
        <v>7.09</v>
      </c>
      <c r="P262" s="56" t="n">
        <v>0.03</v>
      </c>
      <c r="Q262" s="56" t="n">
        <v>19.09</v>
      </c>
      <c r="R262" s="56" t="n">
        <v>2</v>
      </c>
      <c r="S262" s="56">
        <f>IF(AC262="Cancelled",0,M262*R262)</f>
        <v/>
      </c>
      <c r="T262" s="56">
        <f>IF(AC262="Cancelled",0,N262*R262)</f>
        <v/>
      </c>
      <c r="U262" s="56">
        <f>IF(AC262="Cancelled",0,O262*R262)</f>
        <v/>
      </c>
      <c r="V262" s="56">
        <f>IF(AC262="Cancelled",0,ROUND(P262*S262,2))</f>
        <v/>
      </c>
      <c r="W262" s="56" t="inlineStr">
        <is>
          <t>No</t>
        </is>
      </c>
      <c r="X262" s="56" t="n">
        <v>0</v>
      </c>
      <c r="Y262" s="56">
        <f>IF(AC262="Cancelled",0,T262+U262+V262+Q262+X262)</f>
        <v/>
      </c>
      <c r="Z262" s="56">
        <f>IF(AC262="Cancelled",-Q262,S262-Y262)</f>
        <v/>
      </c>
      <c r="AA262" s="56">
        <f>IF(OR(AC262="Cancelled",S262=0),0,Z262/S262)</f>
        <v/>
      </c>
      <c r="AB262" s="56">
        <f>IFERROR(IF(Q262=0,0,S262/Q262),0)</f>
        <v/>
      </c>
      <c r="AC262" s="56" t="inlineStr">
        <is>
          <t>Delivered</t>
        </is>
      </c>
      <c r="AD262" s="56">
        <f>IF(Z262&lt;=0,"Low Profit",IF(Z262&gt;=50,"HighProfit","Medium Profit"))</f>
        <v/>
      </c>
      <c r="AE262" s="56">
        <f>TEXT(B262,"mmmm")</f>
        <v/>
      </c>
    </row>
    <row r="263" ht="14.25" customHeight="1" s="57">
      <c r="A263" s="56" t="inlineStr">
        <is>
          <t>ORD-00360</t>
        </is>
      </c>
      <c r="B263" s="116" t="n">
        <v>45904</v>
      </c>
      <c r="C263" s="56" t="n">
        <v>2025</v>
      </c>
      <c r="D263" s="56" t="n">
        <v>9</v>
      </c>
      <c r="E263" s="56" t="inlineStr">
        <is>
          <t>Qatar</t>
        </is>
      </c>
      <c r="F263" s="56" t="inlineStr">
        <is>
          <t>Doha</t>
        </is>
      </c>
      <c r="G263" s="56" t="inlineStr">
        <is>
          <t>Meta Ads</t>
        </is>
      </c>
      <c r="H263" s="56" t="inlineStr">
        <is>
          <t>New Creative A/B</t>
        </is>
      </c>
      <c r="I263" s="56" t="inlineStr">
        <is>
          <t>P010</t>
        </is>
      </c>
      <c r="J263" s="56" t="inlineStr">
        <is>
          <t>Smart Water Bottle</t>
        </is>
      </c>
      <c r="K263" s="56" t="inlineStr">
        <is>
          <t>Lifestyle</t>
        </is>
      </c>
      <c r="L263" s="56" t="inlineStr">
        <is>
          <t>Shenzhen Smart Home</t>
        </is>
      </c>
      <c r="M263" s="56" t="n">
        <v>34.96</v>
      </c>
      <c r="N263" s="56" t="n">
        <v>9.94</v>
      </c>
      <c r="O263" s="56" t="n">
        <v>4.11</v>
      </c>
      <c r="P263" s="56" t="n">
        <v>0.03</v>
      </c>
      <c r="Q263" s="56" t="n">
        <v>8.550000000000001</v>
      </c>
      <c r="R263" s="56" t="n">
        <v>1</v>
      </c>
      <c r="S263" s="56">
        <f>IF(AC263="Cancelled",0,M263*R263)</f>
        <v/>
      </c>
      <c r="T263" s="56">
        <f>IF(AC263="Cancelled",0,N263*R263)</f>
        <v/>
      </c>
      <c r="U263" s="56">
        <f>IF(AC263="Cancelled",0,O263*R263)</f>
        <v/>
      </c>
      <c r="V263" s="56">
        <f>IF(AC263="Cancelled",0,ROUND(P263*S263,2))</f>
        <v/>
      </c>
      <c r="W263" s="56" t="inlineStr">
        <is>
          <t>No</t>
        </is>
      </c>
      <c r="X263" s="56" t="n">
        <v>0</v>
      </c>
      <c r="Y263" s="56">
        <f>IF(AC263="Cancelled",0,T263+U263+V263+Q263+X263)</f>
        <v/>
      </c>
      <c r="Z263" s="56">
        <f>IF(AC263="Cancelled",-Q263,S263-Y263)</f>
        <v/>
      </c>
      <c r="AA263" s="56">
        <f>IF(OR(AC263="Cancelled",S263=0),0,Z263/S263)</f>
        <v/>
      </c>
      <c r="AB263" s="56">
        <f>IFERROR(IF(Q263=0,0,S263/Q263),0)</f>
        <v/>
      </c>
      <c r="AC263" s="56" t="inlineStr">
        <is>
          <t>Delivered</t>
        </is>
      </c>
      <c r="AD263" s="56">
        <f>IF(Z263&lt;=0,"Low Profit",IF(Z263&gt;=50,"HighProfit","Medium Profit"))</f>
        <v/>
      </c>
      <c r="AE263" s="56">
        <f>TEXT(B263,"mmmm")</f>
        <v/>
      </c>
    </row>
    <row r="264" ht="14.25" customHeight="1" s="57">
      <c r="A264" s="56" t="inlineStr">
        <is>
          <t>ORD-00460</t>
        </is>
      </c>
      <c r="B264" s="116" t="n">
        <v>45904</v>
      </c>
      <c r="C264" s="56" t="n">
        <v>2025</v>
      </c>
      <c r="D264" s="56" t="n">
        <v>9</v>
      </c>
      <c r="E264" s="56" t="inlineStr">
        <is>
          <t>Saudi Arabia</t>
        </is>
      </c>
      <c r="F264" s="56" t="inlineStr">
        <is>
          <t>Riyadh</t>
        </is>
      </c>
      <c r="G264" s="56" t="inlineStr">
        <is>
          <t>TikTok Ads</t>
        </is>
      </c>
      <c r="H264" s="56" t="inlineStr">
        <is>
          <t>Summer Sale</t>
        </is>
      </c>
      <c r="I264" s="56" t="inlineStr">
        <is>
          <t>P003</t>
        </is>
      </c>
      <c r="J264" s="56" t="inlineStr">
        <is>
          <t>LED Strip Lights</t>
        </is>
      </c>
      <c r="K264" s="56" t="inlineStr">
        <is>
          <t>Home Decor</t>
        </is>
      </c>
      <c r="L264" s="56" t="inlineStr">
        <is>
          <t>Yiwu Lighting Factory</t>
        </is>
      </c>
      <c r="M264" s="56" t="n">
        <v>23.18</v>
      </c>
      <c r="N264" s="56" t="n">
        <v>6.03</v>
      </c>
      <c r="O264" s="56" t="n">
        <v>3.96</v>
      </c>
      <c r="P264" s="56" t="n">
        <v>0.03</v>
      </c>
      <c r="Q264" s="56" t="n">
        <v>7.31</v>
      </c>
      <c r="R264" s="56" t="n">
        <v>1</v>
      </c>
      <c r="S264" s="56">
        <f>IF(AC264="Cancelled",0,M264*R264)</f>
        <v/>
      </c>
      <c r="T264" s="56">
        <f>IF(AC264="Cancelled",0,N264*R264)</f>
        <v/>
      </c>
      <c r="U264" s="56">
        <f>IF(AC264="Cancelled",0,O264*R264)</f>
        <v/>
      </c>
      <c r="V264" s="56">
        <f>IF(AC264="Cancelled",0,ROUND(P264*S264,2))</f>
        <v/>
      </c>
      <c r="W264" s="56" t="inlineStr">
        <is>
          <t>Yes</t>
        </is>
      </c>
      <c r="X264" s="56" t="n">
        <v>15.71</v>
      </c>
      <c r="Y264" s="56">
        <f>IF(AC264="Cancelled",0,T264+U264+V264+Q264+X264)</f>
        <v/>
      </c>
      <c r="Z264" s="56">
        <f>IF(AC264="Cancelled",-Q264,S264-Y264)</f>
        <v/>
      </c>
      <c r="AA264" s="56">
        <f>IF(OR(AC264="Cancelled",S264=0),0,Z264/S264)</f>
        <v/>
      </c>
      <c r="AB264" s="56">
        <f>IFERROR(IF(Q264=0,0,S264/Q264),0)</f>
        <v/>
      </c>
      <c r="AC264" s="56" t="inlineStr">
        <is>
          <t>Refunded</t>
        </is>
      </c>
      <c r="AD264" s="56">
        <f>IF(Z264&lt;=0,"Low Profit",IF(Z264&gt;=50,"HighProfit","Medium Profit"))</f>
        <v/>
      </c>
      <c r="AE264" s="56">
        <f>TEXT(B264,"mmmm")</f>
        <v/>
      </c>
    </row>
    <row r="265" ht="14.25" customHeight="1" s="57">
      <c r="A265" s="56" t="inlineStr">
        <is>
          <t>ORD-00052</t>
        </is>
      </c>
      <c r="B265" s="116" t="n">
        <v>45906</v>
      </c>
      <c r="C265" s="56" t="n">
        <v>2025</v>
      </c>
      <c r="D265" s="56" t="n">
        <v>9</v>
      </c>
      <c r="E265" s="56" t="inlineStr">
        <is>
          <t>Qatar</t>
        </is>
      </c>
      <c r="F265" s="56" t="inlineStr">
        <is>
          <t>Doha</t>
        </is>
      </c>
      <c r="G265" s="56" t="inlineStr">
        <is>
          <t>TikTok Ads</t>
        </is>
      </c>
      <c r="H265" s="56" t="inlineStr">
        <is>
          <t>Summer Sale</t>
        </is>
      </c>
      <c r="I265" s="56" t="inlineStr">
        <is>
          <t>P007</t>
        </is>
      </c>
      <c r="J265" s="56" t="inlineStr">
        <is>
          <t>Pet Grooming Glove</t>
        </is>
      </c>
      <c r="K265" s="56" t="inlineStr">
        <is>
          <t>Pets</t>
        </is>
      </c>
      <c r="L265" s="56" t="inlineStr">
        <is>
          <t>Yiwu Pet Products</t>
        </is>
      </c>
      <c r="M265" s="56" t="n">
        <v>20.2</v>
      </c>
      <c r="N265" s="56" t="n">
        <v>3.68</v>
      </c>
      <c r="O265" s="56" t="n">
        <v>2.8</v>
      </c>
      <c r="P265" s="56" t="n">
        <v>0.03</v>
      </c>
      <c r="Q265" s="56" t="n">
        <v>1.46</v>
      </c>
      <c r="R265" s="56" t="n">
        <v>1</v>
      </c>
      <c r="S265" s="56">
        <f>IF(AC265="Cancelled",0,M265*R265)</f>
        <v/>
      </c>
      <c r="T265" s="56">
        <f>IF(AC265="Cancelled",0,N265*R265)</f>
        <v/>
      </c>
      <c r="U265" s="56">
        <f>IF(AC265="Cancelled",0,O265*R265)</f>
        <v/>
      </c>
      <c r="V265" s="56">
        <f>IF(AC265="Cancelled",0,ROUND(P265*S265,2))</f>
        <v/>
      </c>
      <c r="W265" s="56" t="inlineStr">
        <is>
          <t>No</t>
        </is>
      </c>
      <c r="X265" s="56" t="n">
        <v>0</v>
      </c>
      <c r="Y265" s="56">
        <f>IF(AC265="Cancelled",0,T265+U265+V265+Q265+X265)</f>
        <v/>
      </c>
      <c r="Z265" s="56">
        <f>IF(AC265="Cancelled",-Q265,S265-Y265)</f>
        <v/>
      </c>
      <c r="AA265" s="56">
        <f>IF(OR(AC265="Cancelled",S265=0),0,Z265/S265)</f>
        <v/>
      </c>
      <c r="AB265" s="56">
        <f>IFERROR(IF(Q265=0,0,S265/Q265),0)</f>
        <v/>
      </c>
      <c r="AC265" s="56" t="inlineStr">
        <is>
          <t>Delivered</t>
        </is>
      </c>
      <c r="AD265" s="56">
        <f>IF(Z265&lt;=0,"Low Profit",IF(Z265&gt;=50,"HighProfit","Medium Profit"))</f>
        <v/>
      </c>
      <c r="AE265" s="56">
        <f>TEXT(B265,"mmmm")</f>
        <v/>
      </c>
    </row>
    <row r="266" ht="14.25" customHeight="1" s="57">
      <c r="A266" s="56" t="inlineStr">
        <is>
          <t>ORD-00213</t>
        </is>
      </c>
      <c r="B266" s="116" t="n">
        <v>45906</v>
      </c>
      <c r="C266" s="56" t="n">
        <v>2025</v>
      </c>
      <c r="D266" s="56" t="n">
        <v>9</v>
      </c>
      <c r="E266" s="56" t="inlineStr">
        <is>
          <t>Saudi Arabia</t>
        </is>
      </c>
      <c r="F266" s="56" t="inlineStr">
        <is>
          <t>Riyadh</t>
        </is>
      </c>
      <c r="G266" s="56" t="inlineStr">
        <is>
          <t>Influencer</t>
        </is>
      </c>
      <c r="H266" s="56" t="inlineStr">
        <is>
          <t>Summer Sale</t>
        </is>
      </c>
      <c r="I266" s="56" t="inlineStr">
        <is>
          <t>P007</t>
        </is>
      </c>
      <c r="J266" s="56" t="inlineStr">
        <is>
          <t>Pet Grooming Glove</t>
        </is>
      </c>
      <c r="K266" s="56" t="inlineStr">
        <is>
          <t>Pets</t>
        </is>
      </c>
      <c r="L266" s="56" t="inlineStr">
        <is>
          <t>Yiwu Pet Products</t>
        </is>
      </c>
      <c r="M266" s="56" t="n">
        <v>21.42</v>
      </c>
      <c r="N266" s="56" t="n">
        <v>3.74</v>
      </c>
      <c r="O266" s="56" t="n">
        <v>2.71</v>
      </c>
      <c r="P266" s="56" t="n">
        <v>0.03</v>
      </c>
      <c r="Q266" s="56" t="n">
        <v>7.95</v>
      </c>
      <c r="R266" s="56" t="n">
        <v>1</v>
      </c>
      <c r="S266" s="56">
        <f>IF(AC266="Cancelled",0,M266*R266)</f>
        <v/>
      </c>
      <c r="T266" s="56">
        <f>IF(AC266="Cancelled",0,N266*R266)</f>
        <v/>
      </c>
      <c r="U266" s="56">
        <f>IF(AC266="Cancelled",0,O266*R266)</f>
        <v/>
      </c>
      <c r="V266" s="56">
        <f>IF(AC266="Cancelled",0,ROUND(P266*S266,2))</f>
        <v/>
      </c>
      <c r="W266" s="56" t="inlineStr">
        <is>
          <t>No</t>
        </is>
      </c>
      <c r="X266" s="56" t="n">
        <v>0</v>
      </c>
      <c r="Y266" s="56">
        <f>IF(AC266="Cancelled",0,T266+U266+V266+Q266+X266)</f>
        <v/>
      </c>
      <c r="Z266" s="56">
        <f>IF(AC266="Cancelled",-Q266,S266-Y266)</f>
        <v/>
      </c>
      <c r="AA266" s="56">
        <f>IF(OR(AC266="Cancelled",S266=0),0,Z266/S266)</f>
        <v/>
      </c>
      <c r="AB266" s="56">
        <f>IFERROR(IF(Q266=0,0,S266/Q266),0)</f>
        <v/>
      </c>
      <c r="AC266" s="56" t="inlineStr">
        <is>
          <t>Delivered</t>
        </is>
      </c>
      <c r="AD266" s="56">
        <f>IF(Z266&lt;=0,"Low Profit",IF(Z266&gt;=50,"HighProfit","Medium Profit"))</f>
        <v/>
      </c>
      <c r="AE266" s="56">
        <f>TEXT(B266,"mmmm")</f>
        <v/>
      </c>
    </row>
    <row r="267" ht="14.25" customHeight="1" s="57">
      <c r="A267" s="56" t="inlineStr">
        <is>
          <t>ORD-00225</t>
        </is>
      </c>
      <c r="B267" s="116" t="n">
        <v>45906</v>
      </c>
      <c r="C267" s="56" t="n">
        <v>2025</v>
      </c>
      <c r="D267" s="56" t="n">
        <v>9</v>
      </c>
      <c r="E267" s="56" t="inlineStr">
        <is>
          <t>UAE</t>
        </is>
      </c>
      <c r="F267" s="56" t="inlineStr">
        <is>
          <t>Dubai</t>
        </is>
      </c>
      <c r="G267" s="56" t="inlineStr">
        <is>
          <t>TikTok Ads</t>
        </is>
      </c>
      <c r="H267" s="56" t="inlineStr">
        <is>
          <t>Bundle Promo</t>
        </is>
      </c>
      <c r="I267" s="56" t="inlineStr">
        <is>
          <t>P007</t>
        </is>
      </c>
      <c r="J267" s="56" t="inlineStr">
        <is>
          <t>Pet Grooming Glove</t>
        </is>
      </c>
      <c r="K267" s="56" t="inlineStr">
        <is>
          <t>Pets</t>
        </is>
      </c>
      <c r="L267" s="56" t="inlineStr">
        <is>
          <t>Yiwu Pet Products</t>
        </is>
      </c>
      <c r="M267" s="56" t="n">
        <v>21.92</v>
      </c>
      <c r="N267" s="56" t="n">
        <v>3.56</v>
      </c>
      <c r="O267" s="56" t="n">
        <v>2.55</v>
      </c>
      <c r="P267" s="56" t="n">
        <v>0.03</v>
      </c>
      <c r="Q267" s="56" t="n">
        <v>5.74</v>
      </c>
      <c r="R267" s="56" t="n">
        <v>1</v>
      </c>
      <c r="S267" s="56">
        <f>IF(AC267="Cancelled",0,M267*R267)</f>
        <v/>
      </c>
      <c r="T267" s="56">
        <f>IF(AC267="Cancelled",0,N267*R267)</f>
        <v/>
      </c>
      <c r="U267" s="56">
        <f>IF(AC267="Cancelled",0,O267*R267)</f>
        <v/>
      </c>
      <c r="V267" s="56">
        <f>IF(AC267="Cancelled",0,ROUND(P267*S267,2))</f>
        <v/>
      </c>
      <c r="W267" s="56" t="inlineStr">
        <is>
          <t>No</t>
        </is>
      </c>
      <c r="X267" s="56" t="n">
        <v>0</v>
      </c>
      <c r="Y267" s="56">
        <f>IF(AC267="Cancelled",0,T267+U267+V267+Q267+X267)</f>
        <v/>
      </c>
      <c r="Z267" s="56">
        <f>IF(AC267="Cancelled",-Q267,S267-Y267)</f>
        <v/>
      </c>
      <c r="AA267" s="56">
        <f>IF(OR(AC267="Cancelled",S267=0),0,Z267/S267)</f>
        <v/>
      </c>
      <c r="AB267" s="56">
        <f>IFERROR(IF(Q267=0,0,S267/Q267),0)</f>
        <v/>
      </c>
      <c r="AC267" s="56" t="inlineStr">
        <is>
          <t>Delivered</t>
        </is>
      </c>
      <c r="AD267" s="56">
        <f>IF(Z267&lt;=0,"Low Profit",IF(Z267&gt;=50,"HighProfit","Medium Profit"))</f>
        <v/>
      </c>
      <c r="AE267" s="56">
        <f>TEXT(B267,"mmmm")</f>
        <v/>
      </c>
    </row>
    <row r="268" ht="14.25" customHeight="1" s="57">
      <c r="A268" s="56" t="inlineStr">
        <is>
          <t>ORD-00329</t>
        </is>
      </c>
      <c r="B268" s="116" t="n">
        <v>45906</v>
      </c>
      <c r="C268" s="56" t="n">
        <v>2025</v>
      </c>
      <c r="D268" s="56" t="n">
        <v>9</v>
      </c>
      <c r="E268" s="56" t="inlineStr">
        <is>
          <t>Saudi Arabia</t>
        </is>
      </c>
      <c r="F268" s="56" t="inlineStr">
        <is>
          <t>Jeddah</t>
        </is>
      </c>
      <c r="G268" s="56" t="inlineStr">
        <is>
          <t>Organic Search</t>
        </is>
      </c>
      <c r="H268" s="56" t="inlineStr">
        <is>
          <t>Summer Sale</t>
        </is>
      </c>
      <c r="I268" s="56" t="inlineStr">
        <is>
          <t>P007</t>
        </is>
      </c>
      <c r="J268" s="56" t="inlineStr">
        <is>
          <t>Pet Grooming Glove</t>
        </is>
      </c>
      <c r="K268" s="56" t="inlineStr">
        <is>
          <t>Pets</t>
        </is>
      </c>
      <c r="L268" s="56" t="inlineStr">
        <is>
          <t>Yiwu Pet Products</t>
        </is>
      </c>
      <c r="M268" s="56" t="n">
        <v>20.17</v>
      </c>
      <c r="N268" s="56" t="n">
        <v>3.6</v>
      </c>
      <c r="O268" s="56" t="n">
        <v>2.75</v>
      </c>
      <c r="P268" s="56" t="n">
        <v>0.03</v>
      </c>
      <c r="Q268" s="56" t="n">
        <v>0</v>
      </c>
      <c r="R268" s="56" t="n">
        <v>1</v>
      </c>
      <c r="S268" s="56">
        <f>IF(AC268="Cancelled",0,M268*R268)</f>
        <v/>
      </c>
      <c r="T268" s="56">
        <f>IF(AC268="Cancelled",0,N268*R268)</f>
        <v/>
      </c>
      <c r="U268" s="56">
        <f>IF(AC268="Cancelled",0,O268*R268)</f>
        <v/>
      </c>
      <c r="V268" s="56">
        <f>IF(AC268="Cancelled",0,ROUND(P268*S268,2))</f>
        <v/>
      </c>
      <c r="W268" s="56" t="inlineStr">
        <is>
          <t>No</t>
        </is>
      </c>
      <c r="X268" s="56" t="n">
        <v>0</v>
      </c>
      <c r="Y268" s="56">
        <f>IF(AC268="Cancelled",0,T268+U268+V268+Q268+X268)</f>
        <v/>
      </c>
      <c r="Z268" s="56">
        <f>IF(AC268="Cancelled",-Q268,S268-Y268)</f>
        <v/>
      </c>
      <c r="AA268" s="56">
        <f>IF(OR(AC268="Cancelled",S268=0),0,Z268/S268)</f>
        <v/>
      </c>
      <c r="AB268" s="56">
        <f>IFERROR(IF(Q268=0,0,S268/Q268),0)</f>
        <v/>
      </c>
      <c r="AC268" s="56" t="inlineStr">
        <is>
          <t>Delivered</t>
        </is>
      </c>
      <c r="AD268" s="56">
        <f>IF(Z268&lt;=0,"Low Profit",IF(Z268&gt;=50,"HighProfit","Medium Profit"))</f>
        <v/>
      </c>
      <c r="AE268" s="56">
        <f>TEXT(B268,"mmmm")</f>
        <v/>
      </c>
    </row>
    <row r="269" ht="14.25" customHeight="1" s="57">
      <c r="A269" s="56" t="inlineStr">
        <is>
          <t>ORD-00423</t>
        </is>
      </c>
      <c r="B269" s="116" t="n">
        <v>45906</v>
      </c>
      <c r="C269" s="56" t="n">
        <v>2025</v>
      </c>
      <c r="D269" s="56" t="n">
        <v>9</v>
      </c>
      <c r="E269" s="56" t="inlineStr">
        <is>
          <t>UAE</t>
        </is>
      </c>
      <c r="F269" s="56" t="inlineStr">
        <is>
          <t>Abu Dhabi</t>
        </is>
      </c>
      <c r="G269" s="56" t="inlineStr">
        <is>
          <t>TikTok Ads</t>
        </is>
      </c>
      <c r="H269" s="56" t="inlineStr">
        <is>
          <t>Bundle Promo</t>
        </is>
      </c>
      <c r="I269" s="56" t="inlineStr">
        <is>
          <t>P003</t>
        </is>
      </c>
      <c r="J269" s="56" t="inlineStr">
        <is>
          <t>LED Strip Lights</t>
        </is>
      </c>
      <c r="K269" s="56" t="inlineStr">
        <is>
          <t>Home Decor</t>
        </is>
      </c>
      <c r="L269" s="56" t="inlineStr">
        <is>
          <t>Yiwu Lighting Factory</t>
        </is>
      </c>
      <c r="M269" s="56" t="n">
        <v>26.1</v>
      </c>
      <c r="N269" s="56" t="n">
        <v>6.45</v>
      </c>
      <c r="O269" s="56" t="n">
        <v>3.31</v>
      </c>
      <c r="P269" s="56" t="n">
        <v>0.03</v>
      </c>
      <c r="Q269" s="56" t="n">
        <v>10.19</v>
      </c>
      <c r="R269" s="56" t="n">
        <v>1</v>
      </c>
      <c r="S269" s="56">
        <f>IF(AC269="Cancelled",0,M269*R269)</f>
        <v/>
      </c>
      <c r="T269" s="56">
        <f>IF(AC269="Cancelled",0,N269*R269)</f>
        <v/>
      </c>
      <c r="U269" s="56">
        <f>IF(AC269="Cancelled",0,O269*R269)</f>
        <v/>
      </c>
      <c r="V269" s="56">
        <f>IF(AC269="Cancelled",0,ROUND(P269*S269,2))</f>
        <v/>
      </c>
      <c r="W269" s="56" t="inlineStr">
        <is>
          <t>No</t>
        </is>
      </c>
      <c r="X269" s="56" t="n">
        <v>0</v>
      </c>
      <c r="Y269" s="56">
        <f>IF(AC269="Cancelled",0,T269+U269+V269+Q269+X269)</f>
        <v/>
      </c>
      <c r="Z269" s="56">
        <f>IF(AC269="Cancelled",-Q269,S269-Y269)</f>
        <v/>
      </c>
      <c r="AA269" s="56">
        <f>IF(OR(AC269="Cancelled",S269=0),0,Z269/S269)</f>
        <v/>
      </c>
      <c r="AB269" s="56">
        <f>IFERROR(IF(Q269=0,0,S269/Q269),0)</f>
        <v/>
      </c>
      <c r="AC269" s="56" t="inlineStr">
        <is>
          <t>Delivered</t>
        </is>
      </c>
      <c r="AD269" s="56">
        <f>IF(Z269&lt;=0,"Low Profit",IF(Z269&gt;=50,"HighProfit","Medium Profit"))</f>
        <v/>
      </c>
      <c r="AE269" s="56">
        <f>TEXT(B269,"mmmm")</f>
        <v/>
      </c>
    </row>
    <row r="270" ht="14.25" customHeight="1" s="57">
      <c r="A270" s="56" t="inlineStr">
        <is>
          <t>ORD-00002</t>
        </is>
      </c>
      <c r="B270" s="116" t="n">
        <v>45908</v>
      </c>
      <c r="C270" s="56" t="n">
        <v>2025</v>
      </c>
      <c r="D270" s="56" t="n">
        <v>9</v>
      </c>
      <c r="E270" s="56" t="inlineStr">
        <is>
          <t>Saudi Arabia</t>
        </is>
      </c>
      <c r="F270" s="56" t="inlineStr">
        <is>
          <t>Riyadh</t>
        </is>
      </c>
      <c r="G270" s="56" t="inlineStr">
        <is>
          <t>Email</t>
        </is>
      </c>
      <c r="H270" s="56" t="inlineStr">
        <is>
          <t>Bundle Promo</t>
        </is>
      </c>
      <c r="I270" s="56" t="inlineStr">
        <is>
          <t>P006</t>
        </is>
      </c>
      <c r="J270" s="56" t="inlineStr">
        <is>
          <t>Posture Corrector</t>
        </is>
      </c>
      <c r="K270" s="56" t="inlineStr">
        <is>
          <t>Fitness</t>
        </is>
      </c>
      <c r="L270" s="56" t="inlineStr">
        <is>
          <t>Hangzhou Health Gear</t>
        </is>
      </c>
      <c r="M270" s="56" t="n">
        <v>34.27</v>
      </c>
      <c r="N270" s="56" t="n">
        <v>9.039999999999999</v>
      </c>
      <c r="O270" s="56" t="n">
        <v>3.74</v>
      </c>
      <c r="P270" s="56" t="n">
        <v>0.03</v>
      </c>
      <c r="Q270" s="56" t="n">
        <v>4.37</v>
      </c>
      <c r="R270" s="56" t="n">
        <v>1</v>
      </c>
      <c r="S270" s="56">
        <f>IF(AC270="Cancelled",0,M270*R270)</f>
        <v/>
      </c>
      <c r="T270" s="56">
        <f>IF(AC270="Cancelled",0,N270*R270)</f>
        <v/>
      </c>
      <c r="U270" s="56">
        <f>IF(AC270="Cancelled",0,O270*R270)</f>
        <v/>
      </c>
      <c r="V270" s="56">
        <f>IF(AC270="Cancelled",0,ROUND(P270*S270,2))</f>
        <v/>
      </c>
      <c r="W270" s="56" t="inlineStr">
        <is>
          <t>No</t>
        </is>
      </c>
      <c r="X270" s="56" t="n">
        <v>0</v>
      </c>
      <c r="Y270" s="56">
        <f>IF(AC270="Cancelled",0,T270+U270+V270+Q270+X270)</f>
        <v/>
      </c>
      <c r="Z270" s="56">
        <f>IF(AC270="Cancelled",-Q270,S270-Y270)</f>
        <v/>
      </c>
      <c r="AA270" s="56">
        <f>IF(OR(AC270="Cancelled",S270=0),0,Z270/S270)</f>
        <v/>
      </c>
      <c r="AB270" s="56">
        <f>IFERROR(IF(Q270=0,0,S270/Q270),0)</f>
        <v/>
      </c>
      <c r="AC270" s="56" t="inlineStr">
        <is>
          <t>Delivered</t>
        </is>
      </c>
      <c r="AD270" s="56">
        <f>IF(Z270&lt;=0,"Low Profit",IF(Z270&gt;=50,"HighProfit","Medium Profit"))</f>
        <v/>
      </c>
      <c r="AE270" s="56">
        <f>TEXT(B270,"mmmm")</f>
        <v/>
      </c>
    </row>
    <row r="271" ht="14.25" customHeight="1" s="57">
      <c r="A271" s="56" t="inlineStr">
        <is>
          <t>ORD-00064</t>
        </is>
      </c>
      <c r="B271" s="116" t="n">
        <v>45908</v>
      </c>
      <c r="C271" s="56" t="n">
        <v>2025</v>
      </c>
      <c r="D271" s="56" t="n">
        <v>9</v>
      </c>
      <c r="E271" s="56" t="inlineStr">
        <is>
          <t>UAE</t>
        </is>
      </c>
      <c r="F271" s="56" t="inlineStr">
        <is>
          <t>Abu Dhabi</t>
        </is>
      </c>
      <c r="G271" s="56" t="inlineStr">
        <is>
          <t>TikTok Ads</t>
        </is>
      </c>
      <c r="H271" s="56" t="inlineStr">
        <is>
          <t>Bundle Promo</t>
        </is>
      </c>
      <c r="I271" s="56" t="inlineStr">
        <is>
          <t>P002</t>
        </is>
      </c>
      <c r="J271" s="56" t="inlineStr">
        <is>
          <t>Phone Case</t>
        </is>
      </c>
      <c r="K271" s="56" t="inlineStr">
        <is>
          <t>Accessories</t>
        </is>
      </c>
      <c r="L271" s="56" t="inlineStr">
        <is>
          <t>Guangzhou Cases Ltd.</t>
        </is>
      </c>
      <c r="M271" s="56" t="n">
        <v>14.05</v>
      </c>
      <c r="N271" s="56" t="n">
        <v>2.01</v>
      </c>
      <c r="O271" s="56" t="n">
        <v>2.15</v>
      </c>
      <c r="P271" s="56" t="n">
        <v>0.03</v>
      </c>
      <c r="Q271" s="56" t="n">
        <v>8.44</v>
      </c>
      <c r="R271" s="56" t="n">
        <v>3</v>
      </c>
      <c r="S271" s="56">
        <f>IF(AC271="Cancelled",0,M271*R271)</f>
        <v/>
      </c>
      <c r="T271" s="56">
        <f>IF(AC271="Cancelled",0,N271*R271)</f>
        <v/>
      </c>
      <c r="U271" s="56">
        <f>IF(AC271="Cancelled",0,O271*R271)</f>
        <v/>
      </c>
      <c r="V271" s="56">
        <f>IF(AC271="Cancelled",0,ROUND(P271*S271,2))</f>
        <v/>
      </c>
      <c r="W271" s="56" t="inlineStr">
        <is>
          <t>No</t>
        </is>
      </c>
      <c r="X271" s="56" t="n">
        <v>0</v>
      </c>
      <c r="Y271" s="56">
        <f>IF(AC271="Cancelled",0,T271+U271+V271+Q271+X271)</f>
        <v/>
      </c>
      <c r="Z271" s="56">
        <f>IF(AC271="Cancelled",-Q271,S271-Y271)</f>
        <v/>
      </c>
      <c r="AA271" s="56">
        <f>IF(OR(AC271="Cancelled",S271=0),0,Z271/S271)</f>
        <v/>
      </c>
      <c r="AB271" s="56">
        <f>IFERROR(IF(Q271=0,0,S271/Q271),0)</f>
        <v/>
      </c>
      <c r="AC271" s="56" t="inlineStr">
        <is>
          <t>Delivered</t>
        </is>
      </c>
      <c r="AD271" s="56">
        <f>IF(Z271&lt;=0,"Low Profit",IF(Z271&gt;=50,"HighProfit","Medium Profit"))</f>
        <v/>
      </c>
      <c r="AE271" s="56">
        <f>TEXT(B271,"mmmm")</f>
        <v/>
      </c>
    </row>
    <row r="272" ht="14.25" customHeight="1" s="57">
      <c r="A272" s="56" t="inlineStr">
        <is>
          <t>ORD-00143</t>
        </is>
      </c>
      <c r="B272" s="116" t="n">
        <v>45908</v>
      </c>
      <c r="C272" s="56" t="n">
        <v>2025</v>
      </c>
      <c r="D272" s="56" t="n">
        <v>9</v>
      </c>
      <c r="E272" s="56" t="inlineStr">
        <is>
          <t>UAE</t>
        </is>
      </c>
      <c r="F272" s="56" t="inlineStr">
        <is>
          <t>Dubai</t>
        </is>
      </c>
      <c r="G272" s="56" t="inlineStr">
        <is>
          <t>Google Ads</t>
        </is>
      </c>
      <c r="H272" s="56" t="inlineStr">
        <is>
          <t>Summer Sale</t>
        </is>
      </c>
      <c r="I272" s="56" t="inlineStr">
        <is>
          <t>P004</t>
        </is>
      </c>
      <c r="J272" s="56" t="inlineStr">
        <is>
          <t>Beauty Tool</t>
        </is>
      </c>
      <c r="K272" s="56" t="inlineStr">
        <is>
          <t>Beauty</t>
        </is>
      </c>
      <c r="L272" s="56" t="inlineStr">
        <is>
          <t>Ningbo Beauty Supply</t>
        </is>
      </c>
      <c r="M272" s="56" t="n">
        <v>29.77</v>
      </c>
      <c r="N272" s="56" t="n">
        <v>7.29</v>
      </c>
      <c r="O272" s="56" t="n">
        <v>4.88</v>
      </c>
      <c r="P272" s="56" t="n">
        <v>0.03</v>
      </c>
      <c r="Q272" s="56" t="n">
        <v>9.27</v>
      </c>
      <c r="R272" s="56" t="n">
        <v>1</v>
      </c>
      <c r="S272" s="56">
        <f>IF(AC272="Cancelled",0,M272*R272)</f>
        <v/>
      </c>
      <c r="T272" s="56">
        <f>IF(AC272="Cancelled",0,N272*R272)</f>
        <v/>
      </c>
      <c r="U272" s="56">
        <f>IF(AC272="Cancelled",0,O272*R272)</f>
        <v/>
      </c>
      <c r="V272" s="56">
        <f>IF(AC272="Cancelled",0,ROUND(P272*S272,2))</f>
        <v/>
      </c>
      <c r="W272" s="56" t="inlineStr">
        <is>
          <t>No</t>
        </is>
      </c>
      <c r="X272" s="56" t="n">
        <v>0</v>
      </c>
      <c r="Y272" s="56">
        <f>IF(AC272="Cancelled",0,T272+U272+V272+Q272+X272)</f>
        <v/>
      </c>
      <c r="Z272" s="56">
        <f>IF(AC272="Cancelled",-Q272,S272-Y272)</f>
        <v/>
      </c>
      <c r="AA272" s="56">
        <f>IF(OR(AC272="Cancelled",S272=0),0,Z272/S272)</f>
        <v/>
      </c>
      <c r="AB272" s="56">
        <f>IFERROR(IF(Q272=0,0,S272/Q272),0)</f>
        <v/>
      </c>
      <c r="AC272" s="56" t="inlineStr">
        <is>
          <t>Delivered</t>
        </is>
      </c>
      <c r="AD272" s="56">
        <f>IF(Z272&lt;=0,"Low Profit",IF(Z272&gt;=50,"HighProfit","Medium Profit"))</f>
        <v/>
      </c>
      <c r="AE272" s="56">
        <f>TEXT(B272,"mmmm")</f>
        <v/>
      </c>
    </row>
    <row r="273" ht="14.25" customHeight="1" s="57">
      <c r="A273" s="56" t="inlineStr">
        <is>
          <t>ORD-00291</t>
        </is>
      </c>
      <c r="B273" s="116" t="n">
        <v>45908</v>
      </c>
      <c r="C273" s="56" t="n">
        <v>2025</v>
      </c>
      <c r="D273" s="56" t="n">
        <v>9</v>
      </c>
      <c r="E273" s="56" t="inlineStr">
        <is>
          <t>UAE</t>
        </is>
      </c>
      <c r="F273" s="56" t="inlineStr">
        <is>
          <t>Sharjah</t>
        </is>
      </c>
      <c r="G273" s="56" t="inlineStr">
        <is>
          <t>Meta Ads</t>
        </is>
      </c>
      <c r="H273" s="56" t="inlineStr">
        <is>
          <t>New Creative A/B</t>
        </is>
      </c>
      <c r="I273" s="56" t="inlineStr">
        <is>
          <t>P008</t>
        </is>
      </c>
      <c r="J273" s="56" t="inlineStr">
        <is>
          <t>Portable Blender</t>
        </is>
      </c>
      <c r="K273" s="56" t="inlineStr">
        <is>
          <t>Kitchen</t>
        </is>
      </c>
      <c r="L273" s="56" t="inlineStr">
        <is>
          <t>Foshan Appliances</t>
        </is>
      </c>
      <c r="M273" s="56" t="n">
        <v>55.94</v>
      </c>
      <c r="N273" s="56" t="n">
        <v>16.27</v>
      </c>
      <c r="O273" s="56" t="n">
        <v>6.66</v>
      </c>
      <c r="P273" s="56" t="n">
        <v>0.03</v>
      </c>
      <c r="Q273" s="56" t="n">
        <v>8.17</v>
      </c>
      <c r="R273" s="56" t="n">
        <v>1</v>
      </c>
      <c r="S273" s="56">
        <f>IF(AC273="Cancelled",0,M273*R273)</f>
        <v/>
      </c>
      <c r="T273" s="56">
        <f>IF(AC273="Cancelled",0,N273*R273)</f>
        <v/>
      </c>
      <c r="U273" s="56">
        <f>IF(AC273="Cancelled",0,O273*R273)</f>
        <v/>
      </c>
      <c r="V273" s="56">
        <f>IF(AC273="Cancelled",0,ROUND(P273*S273,2))</f>
        <v/>
      </c>
      <c r="W273" s="56" t="inlineStr">
        <is>
          <t>No</t>
        </is>
      </c>
      <c r="X273" s="56" t="n">
        <v>0</v>
      </c>
      <c r="Y273" s="56">
        <f>IF(AC273="Cancelled",0,T273+U273+V273+Q273+X273)</f>
        <v/>
      </c>
      <c r="Z273" s="56">
        <f>IF(AC273="Cancelled",-Q273,S273-Y273)</f>
        <v/>
      </c>
      <c r="AA273" s="56">
        <f>IF(OR(AC273="Cancelled",S273=0),0,Z273/S273)</f>
        <v/>
      </c>
      <c r="AB273" s="56">
        <f>IFERROR(IF(Q273=0,0,S273/Q273),0)</f>
        <v/>
      </c>
      <c r="AC273" s="56" t="inlineStr">
        <is>
          <t>Delivered</t>
        </is>
      </c>
      <c r="AD273" s="56">
        <f>IF(Z273&lt;=0,"Low Profit",IF(Z273&gt;=50,"HighProfit","Medium Profit"))</f>
        <v/>
      </c>
      <c r="AE273" s="56">
        <f>TEXT(B273,"mmmm")</f>
        <v/>
      </c>
    </row>
    <row r="274" ht="14.25" customHeight="1" s="57">
      <c r="A274" s="56" t="inlineStr">
        <is>
          <t>ORD-00006</t>
        </is>
      </c>
      <c r="B274" s="116" t="n">
        <v>45912</v>
      </c>
      <c r="C274" s="56" t="n">
        <v>2025</v>
      </c>
      <c r="D274" s="56" t="n">
        <v>9</v>
      </c>
      <c r="E274" s="56" t="inlineStr">
        <is>
          <t>UAE</t>
        </is>
      </c>
      <c r="F274" s="56" t="inlineStr">
        <is>
          <t>Abu Dhabi</t>
        </is>
      </c>
      <c r="G274" s="56" t="inlineStr">
        <is>
          <t>Google Ads</t>
        </is>
      </c>
      <c r="H274" s="56" t="inlineStr">
        <is>
          <t>Launch Test</t>
        </is>
      </c>
      <c r="I274" s="56" t="inlineStr">
        <is>
          <t>P005</t>
        </is>
      </c>
      <c r="J274" s="56" t="inlineStr">
        <is>
          <t>Mini Printer</t>
        </is>
      </c>
      <c r="K274" s="56" t="inlineStr">
        <is>
          <t>Electronics</t>
        </is>
      </c>
      <c r="L274" s="56" t="inlineStr">
        <is>
          <t>Shenzhen Print Tech</t>
        </is>
      </c>
      <c r="M274" s="56" t="n">
        <v>55.97</v>
      </c>
      <c r="N274" s="56" t="n">
        <v>22.52</v>
      </c>
      <c r="O274" s="56" t="n">
        <v>6.95</v>
      </c>
      <c r="P274" s="56" t="n">
        <v>0.03</v>
      </c>
      <c r="Q274" s="56" t="n">
        <v>13.42</v>
      </c>
      <c r="R274" s="56" t="n">
        <v>2</v>
      </c>
      <c r="S274" s="56">
        <f>IF(AC274="Cancelled",0,M274*R274)</f>
        <v/>
      </c>
      <c r="T274" s="56">
        <f>IF(AC274="Cancelled",0,N274*R274)</f>
        <v/>
      </c>
      <c r="U274" s="56">
        <f>IF(AC274="Cancelled",0,O274*R274)</f>
        <v/>
      </c>
      <c r="V274" s="56">
        <f>IF(AC274="Cancelled",0,ROUND(P274*S274,2))</f>
        <v/>
      </c>
      <c r="W274" s="56" t="inlineStr">
        <is>
          <t>No</t>
        </is>
      </c>
      <c r="X274" s="56" t="n">
        <v>0</v>
      </c>
      <c r="Y274" s="56">
        <f>IF(AC274="Cancelled",0,T274+U274+V274+Q274+X274)</f>
        <v/>
      </c>
      <c r="Z274" s="56">
        <f>IF(AC274="Cancelled",-Q274,S274-Y274)</f>
        <v/>
      </c>
      <c r="AA274" s="56">
        <f>IF(OR(AC274="Cancelled",S274=0),0,Z274/S274)</f>
        <v/>
      </c>
      <c r="AB274" s="56">
        <f>IFERROR(IF(Q274=0,0,S274/Q274),0)</f>
        <v/>
      </c>
      <c r="AC274" s="56" t="inlineStr">
        <is>
          <t>Delivered</t>
        </is>
      </c>
      <c r="AD274" s="56">
        <f>IF(Z274&lt;=0,"Low Profit",IF(Z274&gt;=50,"HighProfit","Medium Profit"))</f>
        <v/>
      </c>
      <c r="AE274" s="56">
        <f>TEXT(B274,"mmmm")</f>
        <v/>
      </c>
    </row>
    <row r="275" ht="14.25" customHeight="1" s="57">
      <c r="A275" s="56" t="inlineStr">
        <is>
          <t>ORD-00350</t>
        </is>
      </c>
      <c r="B275" s="116" t="n">
        <v>45914</v>
      </c>
      <c r="C275" s="56" t="n">
        <v>2025</v>
      </c>
      <c r="D275" s="56" t="n">
        <v>9</v>
      </c>
      <c r="E275" s="56" t="inlineStr">
        <is>
          <t>Saudi Arabia</t>
        </is>
      </c>
      <c r="F275" s="56" t="inlineStr">
        <is>
          <t>Jeddah</t>
        </is>
      </c>
      <c r="G275" s="56" t="inlineStr">
        <is>
          <t>Google Ads</t>
        </is>
      </c>
      <c r="H275" s="56" t="inlineStr">
        <is>
          <t>Summer Sale</t>
        </is>
      </c>
      <c r="I275" s="56" t="inlineStr">
        <is>
          <t>P006</t>
        </is>
      </c>
      <c r="J275" s="56" t="inlineStr">
        <is>
          <t>Posture Corrector</t>
        </is>
      </c>
      <c r="K275" s="56" t="inlineStr">
        <is>
          <t>Fitness</t>
        </is>
      </c>
      <c r="L275" s="56" t="inlineStr">
        <is>
          <t>Hangzhou Health Gear</t>
        </is>
      </c>
      <c r="M275" s="56" t="n">
        <v>31.97</v>
      </c>
      <c r="N275" s="56" t="n">
        <v>8.75</v>
      </c>
      <c r="O275" s="56" t="n">
        <v>3.96</v>
      </c>
      <c r="P275" s="56" t="n">
        <v>0.03</v>
      </c>
      <c r="Q275" s="56" t="n">
        <v>6.15</v>
      </c>
      <c r="R275" s="56" t="n">
        <v>1</v>
      </c>
      <c r="S275" s="56">
        <f>IF(AC275="Cancelled",0,M275*R275)</f>
        <v/>
      </c>
      <c r="T275" s="56">
        <f>IF(AC275="Cancelled",0,N275*R275)</f>
        <v/>
      </c>
      <c r="U275" s="56">
        <f>IF(AC275="Cancelled",0,O275*R275)</f>
        <v/>
      </c>
      <c r="V275" s="56">
        <f>IF(AC275="Cancelled",0,ROUND(P275*S275,2))</f>
        <v/>
      </c>
      <c r="W275" s="56" t="inlineStr">
        <is>
          <t>No</t>
        </is>
      </c>
      <c r="X275" s="56" t="n">
        <v>0</v>
      </c>
      <c r="Y275" s="56">
        <f>IF(AC275="Cancelled",0,T275+U275+V275+Q275+X275)</f>
        <v/>
      </c>
      <c r="Z275" s="56">
        <f>IF(AC275="Cancelled",-Q275,S275-Y275)</f>
        <v/>
      </c>
      <c r="AA275" s="56">
        <f>IF(OR(AC275="Cancelled",S275=0),0,Z275/S275)</f>
        <v/>
      </c>
      <c r="AB275" s="56">
        <f>IFERROR(IF(Q275=0,0,S275/Q275),0)</f>
        <v/>
      </c>
      <c r="AC275" s="56" t="inlineStr">
        <is>
          <t>Delivered</t>
        </is>
      </c>
      <c r="AD275" s="56">
        <f>IF(Z275&lt;=0,"Low Profit",IF(Z275&gt;=50,"HighProfit","Medium Profit"))</f>
        <v/>
      </c>
      <c r="AE275" s="56">
        <f>TEXT(B275,"mmmm")</f>
        <v/>
      </c>
    </row>
    <row r="276" ht="14.25" customHeight="1" s="57">
      <c r="A276" s="56" t="inlineStr">
        <is>
          <t>ORD-00277</t>
        </is>
      </c>
      <c r="B276" s="116" t="n">
        <v>45915</v>
      </c>
      <c r="C276" s="56" t="n">
        <v>2025</v>
      </c>
      <c r="D276" s="56" t="n">
        <v>9</v>
      </c>
      <c r="E276" s="56" t="inlineStr">
        <is>
          <t>Qatar</t>
        </is>
      </c>
      <c r="F276" s="56" t="inlineStr">
        <is>
          <t>Doha</t>
        </is>
      </c>
      <c r="G276" s="56" t="inlineStr">
        <is>
          <t>TikTok Ads</t>
        </is>
      </c>
      <c r="H276" s="56" t="inlineStr">
        <is>
          <t>Retargeting</t>
        </is>
      </c>
      <c r="I276" s="56" t="inlineStr">
        <is>
          <t>P005</t>
        </is>
      </c>
      <c r="J276" s="56" t="inlineStr">
        <is>
          <t>Mini Printer</t>
        </is>
      </c>
      <c r="K276" s="56" t="inlineStr">
        <is>
          <t>Electronics</t>
        </is>
      </c>
      <c r="L276" s="56" t="inlineStr">
        <is>
          <t>Shenzhen Print Tech</t>
        </is>
      </c>
      <c r="M276" s="56" t="n">
        <v>65.73999999999999</v>
      </c>
      <c r="N276" s="56" t="n">
        <v>23.13</v>
      </c>
      <c r="O276" s="56" t="n">
        <v>7.9</v>
      </c>
      <c r="P276" s="56" t="n">
        <v>0.03</v>
      </c>
      <c r="Q276" s="56" t="n">
        <v>9.41</v>
      </c>
      <c r="R276" s="56" t="n">
        <v>1</v>
      </c>
      <c r="S276" s="56">
        <f>IF(AC276="Cancelled",0,M276*R276)</f>
        <v/>
      </c>
      <c r="T276" s="56">
        <f>IF(AC276="Cancelled",0,N276*R276)</f>
        <v/>
      </c>
      <c r="U276" s="56">
        <f>IF(AC276="Cancelled",0,O276*R276)</f>
        <v/>
      </c>
      <c r="V276" s="56">
        <f>IF(AC276="Cancelled",0,ROUND(P276*S276,2))</f>
        <v/>
      </c>
      <c r="W276" s="56" t="inlineStr">
        <is>
          <t>No</t>
        </is>
      </c>
      <c r="X276" s="56" t="n">
        <v>0</v>
      </c>
      <c r="Y276" s="56">
        <f>IF(AC276="Cancelled",0,T276+U276+V276+Q276+X276)</f>
        <v/>
      </c>
      <c r="Z276" s="56">
        <f>IF(AC276="Cancelled",-Q276,S276-Y276)</f>
        <v/>
      </c>
      <c r="AA276" s="56">
        <f>IF(OR(AC276="Cancelled",S276=0),0,Z276/S276)</f>
        <v/>
      </c>
      <c r="AB276" s="56">
        <f>IFERROR(IF(Q276=0,0,S276/Q276),0)</f>
        <v/>
      </c>
      <c r="AC276" s="56" t="inlineStr">
        <is>
          <t>Delivered</t>
        </is>
      </c>
      <c r="AD276" s="56">
        <f>IF(Z276&lt;=0,"Low Profit",IF(Z276&gt;=50,"HighProfit","Medium Profit"))</f>
        <v/>
      </c>
      <c r="AE276" s="56">
        <f>TEXT(B276,"mmmm")</f>
        <v/>
      </c>
    </row>
    <row r="277" ht="14.25" customHeight="1" s="57">
      <c r="A277" s="56" t="inlineStr">
        <is>
          <t>ORD-00020</t>
        </is>
      </c>
      <c r="B277" s="116" t="n">
        <v>45917</v>
      </c>
      <c r="C277" s="56" t="n">
        <v>2025</v>
      </c>
      <c r="D277" s="56" t="n">
        <v>9</v>
      </c>
      <c r="E277" s="56" t="inlineStr">
        <is>
          <t>Oman</t>
        </is>
      </c>
      <c r="F277" s="56" t="inlineStr">
        <is>
          <t>Muscat</t>
        </is>
      </c>
      <c r="G277" s="56" t="inlineStr">
        <is>
          <t>Google Ads</t>
        </is>
      </c>
      <c r="H277" s="56" t="inlineStr">
        <is>
          <t>Launch Test</t>
        </is>
      </c>
      <c r="I277" s="56" t="inlineStr">
        <is>
          <t>P005</t>
        </is>
      </c>
      <c r="J277" s="56" t="inlineStr">
        <is>
          <t>Mini Printer</t>
        </is>
      </c>
      <c r="K277" s="56" t="inlineStr">
        <is>
          <t>Electronics</t>
        </is>
      </c>
      <c r="L277" s="56" t="inlineStr">
        <is>
          <t>Shenzhen Print Tech</t>
        </is>
      </c>
      <c r="M277" s="56" t="n">
        <v>57.65</v>
      </c>
      <c r="N277" s="56" t="n">
        <v>23.49</v>
      </c>
      <c r="O277" s="56" t="n">
        <v>7.79</v>
      </c>
      <c r="P277" s="56" t="n">
        <v>0.03</v>
      </c>
      <c r="Q277" s="56" t="n">
        <v>13.16</v>
      </c>
      <c r="R277" s="56" t="n">
        <v>2</v>
      </c>
      <c r="S277" s="56">
        <f>IF(AC277="Cancelled",0,M277*R277)</f>
        <v/>
      </c>
      <c r="T277" s="56">
        <f>IF(AC277="Cancelled",0,N277*R277)</f>
        <v/>
      </c>
      <c r="U277" s="56">
        <f>IF(AC277="Cancelled",0,O277*R277)</f>
        <v/>
      </c>
      <c r="V277" s="56">
        <f>IF(AC277="Cancelled",0,ROUND(P277*S277,2))</f>
        <v/>
      </c>
      <c r="W277" s="56" t="inlineStr">
        <is>
          <t>No</t>
        </is>
      </c>
      <c r="X277" s="56" t="n">
        <v>0</v>
      </c>
      <c r="Y277" s="56">
        <f>IF(AC277="Cancelled",0,T277+U277+V277+Q277+X277)</f>
        <v/>
      </c>
      <c r="Z277" s="56">
        <f>IF(AC277="Cancelled",-Q277,S277-Y277)</f>
        <v/>
      </c>
      <c r="AA277" s="56">
        <f>IF(OR(AC277="Cancelled",S277=0),0,Z277/S277)</f>
        <v/>
      </c>
      <c r="AB277" s="56">
        <f>IFERROR(IF(Q277=0,0,S277/Q277),0)</f>
        <v/>
      </c>
      <c r="AC277" s="56" t="inlineStr">
        <is>
          <t>Delivered</t>
        </is>
      </c>
      <c r="AD277" s="56">
        <f>IF(Z277&lt;=0,"Low Profit",IF(Z277&gt;=50,"HighProfit","Medium Profit"))</f>
        <v/>
      </c>
      <c r="AE277" s="56">
        <f>TEXT(B277,"mmmm")</f>
        <v/>
      </c>
    </row>
    <row r="278" ht="14.25" customHeight="1" s="57">
      <c r="A278" s="56" t="inlineStr">
        <is>
          <t>ORD-00127</t>
        </is>
      </c>
      <c r="B278" s="116" t="n">
        <v>45917</v>
      </c>
      <c r="C278" s="56" t="n">
        <v>2025</v>
      </c>
      <c r="D278" s="56" t="n">
        <v>9</v>
      </c>
      <c r="E278" s="56" t="inlineStr">
        <is>
          <t>UAE</t>
        </is>
      </c>
      <c r="F278" s="56" t="inlineStr">
        <is>
          <t>Abu Dhabi</t>
        </is>
      </c>
      <c r="G278" s="56" t="inlineStr">
        <is>
          <t>TikTok Ads</t>
        </is>
      </c>
      <c r="H278" s="56" t="inlineStr">
        <is>
          <t>Retargeting</t>
        </is>
      </c>
      <c r="I278" s="56" t="inlineStr">
        <is>
          <t>P010</t>
        </is>
      </c>
      <c r="J278" s="56" t="inlineStr">
        <is>
          <t>Smart Water Bottle</t>
        </is>
      </c>
      <c r="K278" s="56" t="inlineStr">
        <is>
          <t>Lifestyle</t>
        </is>
      </c>
      <c r="L278" s="56" t="inlineStr">
        <is>
          <t>Shenzhen Smart Home</t>
        </is>
      </c>
      <c r="M278" s="56" t="n">
        <v>32.03</v>
      </c>
      <c r="N278" s="56" t="n">
        <v>10.07</v>
      </c>
      <c r="O278" s="56" t="n">
        <v>3.72</v>
      </c>
      <c r="P278" s="56" t="n">
        <v>0.03</v>
      </c>
      <c r="Q278" s="56" t="n">
        <v>7.7</v>
      </c>
      <c r="R278" s="56" t="n">
        <v>1</v>
      </c>
      <c r="S278" s="56">
        <f>IF(AC278="Cancelled",0,M278*R278)</f>
        <v/>
      </c>
      <c r="T278" s="56">
        <f>IF(AC278="Cancelled",0,N278*R278)</f>
        <v/>
      </c>
      <c r="U278" s="56">
        <f>IF(AC278="Cancelled",0,O278*R278)</f>
        <v/>
      </c>
      <c r="V278" s="56">
        <f>IF(AC278="Cancelled",0,ROUND(P278*S278,2))</f>
        <v/>
      </c>
      <c r="W278" s="56" t="inlineStr">
        <is>
          <t>No</t>
        </is>
      </c>
      <c r="X278" s="56" t="n">
        <v>0</v>
      </c>
      <c r="Y278" s="56">
        <f>IF(AC278="Cancelled",0,T278+U278+V278+Q278+X278)</f>
        <v/>
      </c>
      <c r="Z278" s="56">
        <f>IF(AC278="Cancelled",-Q278,S278-Y278)</f>
        <v/>
      </c>
      <c r="AA278" s="56">
        <f>IF(OR(AC278="Cancelled",S278=0),0,Z278/S278)</f>
        <v/>
      </c>
      <c r="AB278" s="56">
        <f>IFERROR(IF(Q278=0,0,S278/Q278),0)</f>
        <v/>
      </c>
      <c r="AC278" s="56" t="inlineStr">
        <is>
          <t>Delivered</t>
        </is>
      </c>
      <c r="AD278" s="56">
        <f>IF(Z278&lt;=0,"Low Profit",IF(Z278&gt;=50,"HighProfit","Medium Profit"))</f>
        <v/>
      </c>
      <c r="AE278" s="56">
        <f>TEXT(B278,"mmmm")</f>
        <v/>
      </c>
    </row>
    <row r="279" ht="14.25" customHeight="1" s="57">
      <c r="A279" s="56" t="inlineStr">
        <is>
          <t>ORD-00231</t>
        </is>
      </c>
      <c r="B279" s="116" t="n">
        <v>45918</v>
      </c>
      <c r="C279" s="56" t="n">
        <v>2025</v>
      </c>
      <c r="D279" s="56" t="n">
        <v>9</v>
      </c>
      <c r="E279" s="56" t="inlineStr">
        <is>
          <t>UAE</t>
        </is>
      </c>
      <c r="F279" s="56" t="inlineStr">
        <is>
          <t>Abu Dhabi</t>
        </is>
      </c>
      <c r="G279" s="56" t="inlineStr">
        <is>
          <t>Meta Ads</t>
        </is>
      </c>
      <c r="H279" s="56" t="inlineStr">
        <is>
          <t>Launch Test</t>
        </is>
      </c>
      <c r="I279" s="56" t="inlineStr">
        <is>
          <t>P010</t>
        </is>
      </c>
      <c r="J279" s="56" t="inlineStr">
        <is>
          <t>Smart Water Bottle</t>
        </is>
      </c>
      <c r="K279" s="56" t="inlineStr">
        <is>
          <t>Lifestyle</t>
        </is>
      </c>
      <c r="L279" s="56" t="inlineStr">
        <is>
          <t>Shenzhen Smart Home</t>
        </is>
      </c>
      <c r="M279" s="56" t="n">
        <v>32.08</v>
      </c>
      <c r="N279" s="56" t="n">
        <v>9.970000000000001</v>
      </c>
      <c r="O279" s="56" t="n">
        <v>3.92</v>
      </c>
      <c r="P279" s="56" t="n">
        <v>0.03</v>
      </c>
      <c r="Q279" s="56" t="n">
        <v>4.09</v>
      </c>
      <c r="R279" s="56" t="n">
        <v>1</v>
      </c>
      <c r="S279" s="56">
        <f>IF(AC279="Cancelled",0,M279*R279)</f>
        <v/>
      </c>
      <c r="T279" s="56">
        <f>IF(AC279="Cancelled",0,N279*R279)</f>
        <v/>
      </c>
      <c r="U279" s="56">
        <f>IF(AC279="Cancelled",0,O279*R279)</f>
        <v/>
      </c>
      <c r="V279" s="56">
        <f>IF(AC279="Cancelled",0,ROUND(P279*S279,2))</f>
        <v/>
      </c>
      <c r="W279" s="56" t="inlineStr">
        <is>
          <t>No</t>
        </is>
      </c>
      <c r="X279" s="56" t="n">
        <v>0</v>
      </c>
      <c r="Y279" s="56">
        <f>IF(AC279="Cancelled",0,T279+U279+V279+Q279+X279)</f>
        <v/>
      </c>
      <c r="Z279" s="56">
        <f>IF(AC279="Cancelled",-Q279,S279-Y279)</f>
        <v/>
      </c>
      <c r="AA279" s="56">
        <f>IF(OR(AC279="Cancelled",S279=0),0,Z279/S279)</f>
        <v/>
      </c>
      <c r="AB279" s="56">
        <f>IFERROR(IF(Q279=0,0,S279/Q279),0)</f>
        <v/>
      </c>
      <c r="AC279" s="56" t="inlineStr">
        <is>
          <t>Delivered</t>
        </is>
      </c>
      <c r="AD279" s="56">
        <f>IF(Z279&lt;=0,"Low Profit",IF(Z279&gt;=50,"HighProfit","Medium Profit"))</f>
        <v/>
      </c>
      <c r="AE279" s="56">
        <f>TEXT(B279,"mmmm")</f>
        <v/>
      </c>
    </row>
    <row r="280" ht="14.25" customHeight="1" s="57">
      <c r="A280" s="56" t="inlineStr">
        <is>
          <t>ORD-00492</t>
        </is>
      </c>
      <c r="B280" s="116" t="n">
        <v>45918</v>
      </c>
      <c r="C280" s="56" t="n">
        <v>2025</v>
      </c>
      <c r="D280" s="56" t="n">
        <v>9</v>
      </c>
      <c r="E280" s="56" t="inlineStr">
        <is>
          <t>Saudi Arabia</t>
        </is>
      </c>
      <c r="F280" s="56" t="inlineStr">
        <is>
          <t>Riyadh</t>
        </is>
      </c>
      <c r="G280" s="56" t="inlineStr">
        <is>
          <t>TikTok Ads</t>
        </is>
      </c>
      <c r="H280" s="56" t="inlineStr">
        <is>
          <t>Bundle Promo</t>
        </is>
      </c>
      <c r="I280" s="56" t="inlineStr">
        <is>
          <t>P003</t>
        </is>
      </c>
      <c r="J280" s="56" t="inlineStr">
        <is>
          <t>LED Strip Lights</t>
        </is>
      </c>
      <c r="K280" s="56" t="inlineStr">
        <is>
          <t>Home Decor</t>
        </is>
      </c>
      <c r="L280" s="56" t="inlineStr">
        <is>
          <t>Yiwu Lighting Factory</t>
        </is>
      </c>
      <c r="M280" s="56" t="n">
        <v>26.91</v>
      </c>
      <c r="N280" s="56" t="n">
        <v>5.77</v>
      </c>
      <c r="O280" s="56" t="n">
        <v>3.88</v>
      </c>
      <c r="P280" s="56" t="n">
        <v>0.03</v>
      </c>
      <c r="Q280" s="56" t="n">
        <v>9.800000000000001</v>
      </c>
      <c r="R280" s="56" t="n">
        <v>1</v>
      </c>
      <c r="S280" s="56">
        <f>IF(AC280="Cancelled",0,M280*R280)</f>
        <v/>
      </c>
      <c r="T280" s="56">
        <f>IF(AC280="Cancelled",0,N280*R280)</f>
        <v/>
      </c>
      <c r="U280" s="56">
        <f>IF(AC280="Cancelled",0,O280*R280)</f>
        <v/>
      </c>
      <c r="V280" s="56">
        <f>IF(AC280="Cancelled",0,ROUND(P280*S280,2))</f>
        <v/>
      </c>
      <c r="W280" s="56" t="inlineStr">
        <is>
          <t>No</t>
        </is>
      </c>
      <c r="X280" s="56" t="n">
        <v>0</v>
      </c>
      <c r="Y280" s="56">
        <f>IF(AC280="Cancelled",0,T280+U280+V280+Q280+X280)</f>
        <v/>
      </c>
      <c r="Z280" s="56">
        <f>IF(AC280="Cancelled",-Q280,S280-Y280)</f>
        <v/>
      </c>
      <c r="AA280" s="56">
        <f>IF(OR(AC280="Cancelled",S280=0),0,Z280/S280)</f>
        <v/>
      </c>
      <c r="AB280" s="56">
        <f>IFERROR(IF(Q280=0,0,S280/Q280),0)</f>
        <v/>
      </c>
      <c r="AC280" s="56" t="inlineStr">
        <is>
          <t>Delivered</t>
        </is>
      </c>
      <c r="AD280" s="56">
        <f>IF(Z280&lt;=0,"Low Profit",IF(Z280&gt;=50,"HighProfit","Medium Profit"))</f>
        <v/>
      </c>
      <c r="AE280" s="56">
        <f>TEXT(B280,"mmmm")</f>
        <v/>
      </c>
    </row>
    <row r="281" ht="14.25" customHeight="1" s="57">
      <c r="A281" s="56" t="inlineStr">
        <is>
          <t>ORD-00034</t>
        </is>
      </c>
      <c r="B281" s="116" t="n">
        <v>45919</v>
      </c>
      <c r="C281" s="56" t="n">
        <v>2025</v>
      </c>
      <c r="D281" s="56" t="n">
        <v>9</v>
      </c>
      <c r="E281" s="56" t="inlineStr">
        <is>
          <t>Kuwait</t>
        </is>
      </c>
      <c r="F281" s="56" t="inlineStr">
        <is>
          <t>Kuwait City</t>
        </is>
      </c>
      <c r="G281" s="56" t="inlineStr">
        <is>
          <t>Google Ads</t>
        </is>
      </c>
      <c r="H281" s="56" t="inlineStr">
        <is>
          <t>Launch Test</t>
        </is>
      </c>
      <c r="I281" s="56" t="inlineStr">
        <is>
          <t>P008</t>
        </is>
      </c>
      <c r="J281" s="56" t="inlineStr">
        <is>
          <t>Portable Blender</t>
        </is>
      </c>
      <c r="K281" s="56" t="inlineStr">
        <is>
          <t>Kitchen</t>
        </is>
      </c>
      <c r="L281" s="56" t="inlineStr">
        <is>
          <t>Foshan Appliances</t>
        </is>
      </c>
      <c r="M281" s="56" t="n">
        <v>45.76</v>
      </c>
      <c r="N281" s="56" t="n">
        <v>17.04</v>
      </c>
      <c r="O281" s="56" t="n">
        <v>6.33</v>
      </c>
      <c r="P281" s="56" t="n">
        <v>0.03</v>
      </c>
      <c r="Q281" s="56" t="n">
        <v>6.3</v>
      </c>
      <c r="R281" s="56" t="n">
        <v>1</v>
      </c>
      <c r="S281" s="56">
        <f>IF(AC281="Cancelled",0,M281*R281)</f>
        <v/>
      </c>
      <c r="T281" s="56">
        <f>IF(AC281="Cancelled",0,N281*R281)</f>
        <v/>
      </c>
      <c r="U281" s="56">
        <f>IF(AC281="Cancelled",0,O281*R281)</f>
        <v/>
      </c>
      <c r="V281" s="56">
        <f>IF(AC281="Cancelled",0,ROUND(P281*S281,2))</f>
        <v/>
      </c>
      <c r="W281" s="56" t="inlineStr">
        <is>
          <t>No</t>
        </is>
      </c>
      <c r="X281" s="56" t="n">
        <v>0</v>
      </c>
      <c r="Y281" s="56">
        <f>IF(AC281="Cancelled",0,T281+U281+V281+Q281+X281)</f>
        <v/>
      </c>
      <c r="Z281" s="56">
        <f>IF(AC281="Cancelled",-Q281,S281-Y281)</f>
        <v/>
      </c>
      <c r="AA281" s="56">
        <f>IF(OR(AC281="Cancelled",S281=0),0,Z281/S281)</f>
        <v/>
      </c>
      <c r="AB281" s="56">
        <f>IFERROR(IF(Q281=0,0,S281/Q281),0)</f>
        <v/>
      </c>
      <c r="AC281" s="56" t="inlineStr">
        <is>
          <t>Delivered</t>
        </is>
      </c>
      <c r="AD281" s="56">
        <f>IF(Z281&lt;=0,"Low Profit",IF(Z281&gt;=50,"HighProfit","Medium Profit"))</f>
        <v/>
      </c>
      <c r="AE281" s="56">
        <f>TEXT(B281,"mmmm")</f>
        <v/>
      </c>
    </row>
    <row r="282" ht="14.25" customHeight="1" s="57">
      <c r="A282" s="56" t="inlineStr">
        <is>
          <t>ORD-00032</t>
        </is>
      </c>
      <c r="B282" s="116" t="n">
        <v>45920</v>
      </c>
      <c r="C282" s="56" t="n">
        <v>2025</v>
      </c>
      <c r="D282" s="56" t="n">
        <v>9</v>
      </c>
      <c r="E282" s="56" t="inlineStr">
        <is>
          <t>Kuwait</t>
        </is>
      </c>
      <c r="F282" s="56" t="inlineStr">
        <is>
          <t>Kuwait City</t>
        </is>
      </c>
      <c r="G282" s="56" t="inlineStr">
        <is>
          <t>Email</t>
        </is>
      </c>
      <c r="H282" s="56" t="inlineStr">
        <is>
          <t>Launch Test</t>
        </is>
      </c>
      <c r="I282" s="56" t="inlineStr">
        <is>
          <t>P007</t>
        </is>
      </c>
      <c r="J282" s="56" t="inlineStr">
        <is>
          <t>Pet Grooming Glove</t>
        </is>
      </c>
      <c r="K282" s="56" t="inlineStr">
        <is>
          <t>Pets</t>
        </is>
      </c>
      <c r="L282" s="56" t="inlineStr">
        <is>
          <t>Yiwu Pet Products</t>
        </is>
      </c>
      <c r="M282" s="56" t="n">
        <v>18.46</v>
      </c>
      <c r="N282" s="56" t="n">
        <v>3.65</v>
      </c>
      <c r="O282" s="56" t="n">
        <v>2.44</v>
      </c>
      <c r="P282" s="56" t="n">
        <v>0.03</v>
      </c>
      <c r="Q282" s="56" t="n">
        <v>3.75</v>
      </c>
      <c r="R282" s="56" t="n">
        <v>1</v>
      </c>
      <c r="S282" s="56">
        <f>IF(AC282="Cancelled",0,M282*R282)</f>
        <v/>
      </c>
      <c r="T282" s="56">
        <f>IF(AC282="Cancelled",0,N282*R282)</f>
        <v/>
      </c>
      <c r="U282" s="56">
        <f>IF(AC282="Cancelled",0,O282*R282)</f>
        <v/>
      </c>
      <c r="V282" s="56">
        <f>IF(AC282="Cancelled",0,ROUND(P282*S282,2))</f>
        <v/>
      </c>
      <c r="W282" s="56" t="inlineStr">
        <is>
          <t>No</t>
        </is>
      </c>
      <c r="X282" s="56" t="n">
        <v>0</v>
      </c>
      <c r="Y282" s="56">
        <f>IF(AC282="Cancelled",0,T282+U282+V282+Q282+X282)</f>
        <v/>
      </c>
      <c r="Z282" s="56">
        <f>IF(AC282="Cancelled",-Q282,S282-Y282)</f>
        <v/>
      </c>
      <c r="AA282" s="56">
        <f>IF(OR(AC282="Cancelled",S282=0),0,Z282/S282)</f>
        <v/>
      </c>
      <c r="AB282" s="56">
        <f>IFERROR(IF(Q282=0,0,S282/Q282),0)</f>
        <v/>
      </c>
      <c r="AC282" s="56" t="inlineStr">
        <is>
          <t>Delivered</t>
        </is>
      </c>
      <c r="AD282" s="56">
        <f>IF(Z282&lt;=0,"Low Profit",IF(Z282&gt;=50,"HighProfit","Medium Profit"))</f>
        <v/>
      </c>
      <c r="AE282" s="56">
        <f>TEXT(B282,"mmmm")</f>
        <v/>
      </c>
    </row>
    <row r="283" ht="14.25" customHeight="1" s="57">
      <c r="A283" s="56" t="inlineStr">
        <is>
          <t>ORD-00228</t>
        </is>
      </c>
      <c r="B283" s="116" t="n">
        <v>45920</v>
      </c>
      <c r="C283" s="56" t="n">
        <v>2025</v>
      </c>
      <c r="D283" s="56" t="n">
        <v>9</v>
      </c>
      <c r="E283" s="56" t="inlineStr">
        <is>
          <t>Kuwait</t>
        </is>
      </c>
      <c r="F283" s="56" t="inlineStr">
        <is>
          <t>Kuwait City</t>
        </is>
      </c>
      <c r="G283" s="56" t="inlineStr">
        <is>
          <t>Influencer</t>
        </is>
      </c>
      <c r="H283" s="56" t="inlineStr">
        <is>
          <t>Summer Sale</t>
        </is>
      </c>
      <c r="I283" s="56" t="inlineStr">
        <is>
          <t>P003</t>
        </is>
      </c>
      <c r="J283" s="56" t="inlineStr">
        <is>
          <t>LED Strip Lights</t>
        </is>
      </c>
      <c r="K283" s="56" t="inlineStr">
        <is>
          <t>Home Decor</t>
        </is>
      </c>
      <c r="L283" s="56" t="inlineStr">
        <is>
          <t>Yiwu Lighting Factory</t>
        </is>
      </c>
      <c r="M283" s="56" t="n">
        <v>26.14</v>
      </c>
      <c r="N283" s="56" t="n">
        <v>6</v>
      </c>
      <c r="O283" s="56" t="n">
        <v>3.45</v>
      </c>
      <c r="P283" s="56" t="n">
        <v>0.03</v>
      </c>
      <c r="Q283" s="56" t="n">
        <v>2.11</v>
      </c>
      <c r="R283" s="56" t="n">
        <v>2</v>
      </c>
      <c r="S283" s="56">
        <f>IF(AC283="Cancelled",0,M283*R283)</f>
        <v/>
      </c>
      <c r="T283" s="56">
        <f>IF(AC283="Cancelled",0,N283*R283)</f>
        <v/>
      </c>
      <c r="U283" s="56">
        <f>IF(AC283="Cancelled",0,O283*R283)</f>
        <v/>
      </c>
      <c r="V283" s="56">
        <f>IF(AC283="Cancelled",0,ROUND(P283*S283,2))</f>
        <v/>
      </c>
      <c r="W283" s="56" t="inlineStr">
        <is>
          <t>No</t>
        </is>
      </c>
      <c r="X283" s="56" t="n">
        <v>0</v>
      </c>
      <c r="Y283" s="56">
        <f>IF(AC283="Cancelled",0,T283+U283+V283+Q283+X283)</f>
        <v/>
      </c>
      <c r="Z283" s="56">
        <f>IF(AC283="Cancelled",-Q283,S283-Y283)</f>
        <v/>
      </c>
      <c r="AA283" s="56">
        <f>IF(OR(AC283="Cancelled",S283=0),0,Z283/S283)</f>
        <v/>
      </c>
      <c r="AB283" s="56">
        <f>IFERROR(IF(Q283=0,0,S283/Q283),0)</f>
        <v/>
      </c>
      <c r="AC283" s="56" t="inlineStr">
        <is>
          <t>Delivered</t>
        </is>
      </c>
      <c r="AD283" s="56">
        <f>IF(Z283&lt;=0,"Low Profit",IF(Z283&gt;=50,"HighProfit","Medium Profit"))</f>
        <v/>
      </c>
      <c r="AE283" s="56">
        <f>TEXT(B283,"mmmm")</f>
        <v/>
      </c>
    </row>
    <row r="284" ht="14.25" customHeight="1" s="57">
      <c r="A284" s="56" t="inlineStr">
        <is>
          <t>ORD-00094</t>
        </is>
      </c>
      <c r="B284" s="116" t="n">
        <v>45921</v>
      </c>
      <c r="C284" s="56" t="n">
        <v>2025</v>
      </c>
      <c r="D284" s="56" t="n">
        <v>9</v>
      </c>
      <c r="E284" s="56" t="inlineStr">
        <is>
          <t>Qatar</t>
        </is>
      </c>
      <c r="F284" s="56" t="inlineStr">
        <is>
          <t>Doha</t>
        </is>
      </c>
      <c r="G284" s="56" t="inlineStr">
        <is>
          <t>TikTok Ads</t>
        </is>
      </c>
      <c r="H284" s="56" t="inlineStr">
        <is>
          <t>New Creative A/B</t>
        </is>
      </c>
      <c r="I284" s="56" t="inlineStr">
        <is>
          <t>P005</t>
        </is>
      </c>
      <c r="J284" s="56" t="inlineStr">
        <is>
          <t>Mini Printer</t>
        </is>
      </c>
      <c r="K284" s="56" t="inlineStr">
        <is>
          <t>Electronics</t>
        </is>
      </c>
      <c r="L284" s="56" t="inlineStr">
        <is>
          <t>Shenzhen Print Tech</t>
        </is>
      </c>
      <c r="M284" s="56" t="n">
        <v>65.56999999999999</v>
      </c>
      <c r="N284" s="56" t="n">
        <v>20.99</v>
      </c>
      <c r="O284" s="56" t="n">
        <v>6.7</v>
      </c>
      <c r="P284" s="56" t="n">
        <v>0.03</v>
      </c>
      <c r="Q284" s="56" t="n">
        <v>6.09</v>
      </c>
      <c r="R284" s="56" t="n">
        <v>1</v>
      </c>
      <c r="S284" s="56">
        <f>IF(AC284="Cancelled",0,M284*R284)</f>
        <v/>
      </c>
      <c r="T284" s="56">
        <f>IF(AC284="Cancelled",0,N284*R284)</f>
        <v/>
      </c>
      <c r="U284" s="56">
        <f>IF(AC284="Cancelled",0,O284*R284)</f>
        <v/>
      </c>
      <c r="V284" s="56">
        <f>IF(AC284="Cancelled",0,ROUND(P284*S284,2))</f>
        <v/>
      </c>
      <c r="W284" s="56" t="inlineStr">
        <is>
          <t>No</t>
        </is>
      </c>
      <c r="X284" s="56" t="n">
        <v>0</v>
      </c>
      <c r="Y284" s="56">
        <f>IF(AC284="Cancelled",0,T284+U284+V284+Q284+X284)</f>
        <v/>
      </c>
      <c r="Z284" s="56">
        <f>IF(AC284="Cancelled",-Q284,S284-Y284)</f>
        <v/>
      </c>
      <c r="AA284" s="56">
        <f>IF(OR(AC284="Cancelled",S284=0),0,Z284/S284)</f>
        <v/>
      </c>
      <c r="AB284" s="56">
        <f>IFERROR(IF(Q284=0,0,S284/Q284),0)</f>
        <v/>
      </c>
      <c r="AC284" s="56" t="inlineStr">
        <is>
          <t>Delivered</t>
        </is>
      </c>
      <c r="AD284" s="56">
        <f>IF(Z284&lt;=0,"Low Profit",IF(Z284&gt;=50,"HighProfit","Medium Profit"))</f>
        <v/>
      </c>
      <c r="AE284" s="56">
        <f>TEXT(B284,"mmmm")</f>
        <v/>
      </c>
    </row>
    <row r="285" ht="14.25" customHeight="1" s="57">
      <c r="A285" s="56" t="inlineStr">
        <is>
          <t>ORD-00427</t>
        </is>
      </c>
      <c r="B285" s="116" t="n">
        <v>45922</v>
      </c>
      <c r="C285" s="56" t="n">
        <v>2025</v>
      </c>
      <c r="D285" s="56" t="n">
        <v>9</v>
      </c>
      <c r="E285" s="56" t="inlineStr">
        <is>
          <t>Saudi Arabia</t>
        </is>
      </c>
      <c r="F285" s="56" t="inlineStr">
        <is>
          <t>Jeddah</t>
        </is>
      </c>
      <c r="G285" s="56" t="inlineStr">
        <is>
          <t>TikTok Ads</t>
        </is>
      </c>
      <c r="H285" s="56" t="inlineStr">
        <is>
          <t>Summer Sale</t>
        </is>
      </c>
      <c r="I285" s="56" t="inlineStr">
        <is>
          <t>P002</t>
        </is>
      </c>
      <c r="J285" s="56" t="inlineStr">
        <is>
          <t>Phone Case</t>
        </is>
      </c>
      <c r="K285" s="56" t="inlineStr">
        <is>
          <t>Accessories</t>
        </is>
      </c>
      <c r="L285" s="56" t="inlineStr">
        <is>
          <t>Guangzhou Cases Ltd.</t>
        </is>
      </c>
      <c r="M285" s="56" t="n">
        <v>15.26</v>
      </c>
      <c r="N285" s="56" t="n">
        <v>2.1</v>
      </c>
      <c r="O285" s="56" t="n">
        <v>2.09</v>
      </c>
      <c r="P285" s="56" t="n">
        <v>0.03</v>
      </c>
      <c r="Q285" s="56" t="n">
        <v>17.77</v>
      </c>
      <c r="R285" s="56" t="n">
        <v>2</v>
      </c>
      <c r="S285" s="56">
        <f>IF(AC285="Cancelled",0,M285*R285)</f>
        <v/>
      </c>
      <c r="T285" s="56">
        <f>IF(AC285="Cancelled",0,N285*R285)</f>
        <v/>
      </c>
      <c r="U285" s="56">
        <f>IF(AC285="Cancelled",0,O285*R285)</f>
        <v/>
      </c>
      <c r="V285" s="56">
        <f>IF(AC285="Cancelled",0,ROUND(P285*S285,2))</f>
        <v/>
      </c>
      <c r="W285" s="56" t="inlineStr">
        <is>
          <t>No</t>
        </is>
      </c>
      <c r="X285" s="56" t="n">
        <v>0</v>
      </c>
      <c r="Y285" s="56">
        <f>IF(AC285="Cancelled",0,T285+U285+V285+Q285+X285)</f>
        <v/>
      </c>
      <c r="Z285" s="56">
        <f>IF(AC285="Cancelled",-Q285,S285-Y285)</f>
        <v/>
      </c>
      <c r="AA285" s="56">
        <f>IF(OR(AC285="Cancelled",S285=0),0,Z285/S285)</f>
        <v/>
      </c>
      <c r="AB285" s="56">
        <f>IFERROR(IF(Q285=0,0,S285/Q285),0)</f>
        <v/>
      </c>
      <c r="AC285" s="56" t="inlineStr">
        <is>
          <t>Delivered</t>
        </is>
      </c>
      <c r="AD285" s="56">
        <f>IF(Z285&lt;=0,"Low Profit",IF(Z285&gt;=50,"HighProfit","Medium Profit"))</f>
        <v/>
      </c>
      <c r="AE285" s="56">
        <f>TEXT(B285,"mmmm")</f>
        <v/>
      </c>
    </row>
    <row r="286" ht="14.25" customHeight="1" s="57">
      <c r="A286" s="56" t="inlineStr">
        <is>
          <t>ORD-00259</t>
        </is>
      </c>
      <c r="B286" s="116" t="n">
        <v>45925</v>
      </c>
      <c r="C286" s="56" t="n">
        <v>2025</v>
      </c>
      <c r="D286" s="56" t="n">
        <v>9</v>
      </c>
      <c r="E286" s="56" t="inlineStr">
        <is>
          <t>UAE</t>
        </is>
      </c>
      <c r="F286" s="56" t="inlineStr">
        <is>
          <t>Sharjah</t>
        </is>
      </c>
      <c r="G286" s="56" t="inlineStr">
        <is>
          <t>Organic Search</t>
        </is>
      </c>
      <c r="H286" s="56" t="inlineStr">
        <is>
          <t>Retargeting</t>
        </is>
      </c>
      <c r="I286" s="56" t="inlineStr">
        <is>
          <t>P002</t>
        </is>
      </c>
      <c r="J286" s="56" t="inlineStr">
        <is>
          <t>Phone Case</t>
        </is>
      </c>
      <c r="K286" s="56" t="inlineStr">
        <is>
          <t>Accessories</t>
        </is>
      </c>
      <c r="L286" s="56" t="inlineStr">
        <is>
          <t>Guangzhou Cases Ltd.</t>
        </is>
      </c>
      <c r="M286" s="56" t="n">
        <v>13.59</v>
      </c>
      <c r="N286" s="56" t="n">
        <v>2.15</v>
      </c>
      <c r="O286" s="56" t="n">
        <v>2.28</v>
      </c>
      <c r="P286" s="56" t="n">
        <v>0.03</v>
      </c>
      <c r="Q286" s="56" t="n">
        <v>0</v>
      </c>
      <c r="R286" s="56" t="n">
        <v>2</v>
      </c>
      <c r="S286" s="56">
        <f>IF(AC286="Cancelled",0,M286*R286)</f>
        <v/>
      </c>
      <c r="T286" s="56">
        <f>IF(AC286="Cancelled",0,N286*R286)</f>
        <v/>
      </c>
      <c r="U286" s="56">
        <f>IF(AC286="Cancelled",0,O286*R286)</f>
        <v/>
      </c>
      <c r="V286" s="56">
        <f>IF(AC286="Cancelled",0,ROUND(P286*S286,2))</f>
        <v/>
      </c>
      <c r="W286" s="56" t="inlineStr">
        <is>
          <t>No</t>
        </is>
      </c>
      <c r="X286" s="56" t="n">
        <v>0</v>
      </c>
      <c r="Y286" s="56">
        <f>IF(AC286="Cancelled",0,T286+U286+V286+Q286+X286)</f>
        <v/>
      </c>
      <c r="Z286" s="56">
        <f>IF(AC286="Cancelled",-Q286,S286-Y286)</f>
        <v/>
      </c>
      <c r="AA286" s="56">
        <f>IF(OR(AC286="Cancelled",S286=0),0,Z286/S286)</f>
        <v/>
      </c>
      <c r="AB286" s="56">
        <f>IFERROR(IF(Q286=0,0,S286/Q286),0)</f>
        <v/>
      </c>
      <c r="AC286" s="56" t="inlineStr">
        <is>
          <t>Delivered</t>
        </is>
      </c>
      <c r="AD286" s="56">
        <f>IF(Z286&lt;=0,"Low Profit",IF(Z286&gt;=50,"HighProfit","Medium Profit"))</f>
        <v/>
      </c>
      <c r="AE286" s="56">
        <f>TEXT(B286,"mmmm")</f>
        <v/>
      </c>
    </row>
    <row r="287" ht="14.25" customHeight="1" s="57">
      <c r="A287" s="56" t="inlineStr">
        <is>
          <t>ORD-00453</t>
        </is>
      </c>
      <c r="B287" s="116" t="n">
        <v>45925</v>
      </c>
      <c r="C287" s="56" t="n">
        <v>2025</v>
      </c>
      <c r="D287" s="56" t="n">
        <v>9</v>
      </c>
      <c r="E287" s="56" t="inlineStr">
        <is>
          <t>Kuwait</t>
        </is>
      </c>
      <c r="F287" s="56" t="inlineStr">
        <is>
          <t>Kuwait City</t>
        </is>
      </c>
      <c r="G287" s="56" t="inlineStr">
        <is>
          <t>Email</t>
        </is>
      </c>
      <c r="H287" s="56" t="inlineStr">
        <is>
          <t>Summer Sale</t>
        </is>
      </c>
      <c r="I287" s="56" t="inlineStr">
        <is>
          <t>P007</t>
        </is>
      </c>
      <c r="J287" s="56" t="inlineStr">
        <is>
          <t>Pet Grooming Glove</t>
        </is>
      </c>
      <c r="K287" s="56" t="inlineStr">
        <is>
          <t>Pets</t>
        </is>
      </c>
      <c r="L287" s="56" t="inlineStr">
        <is>
          <t>Yiwu Pet Products</t>
        </is>
      </c>
      <c r="M287" s="56" t="n">
        <v>20.16</v>
      </c>
      <c r="N287" s="56" t="n">
        <v>3.67</v>
      </c>
      <c r="O287" s="56" t="n">
        <v>2.74</v>
      </c>
      <c r="P287" s="56" t="n">
        <v>0.03</v>
      </c>
      <c r="Q287" s="56" t="n">
        <v>2.2</v>
      </c>
      <c r="R287" s="56" t="n">
        <v>1</v>
      </c>
      <c r="S287" s="56">
        <f>IF(AC287="Cancelled",0,M287*R287)</f>
        <v/>
      </c>
      <c r="T287" s="56">
        <f>IF(AC287="Cancelled",0,N287*R287)</f>
        <v/>
      </c>
      <c r="U287" s="56">
        <f>IF(AC287="Cancelled",0,O287*R287)</f>
        <v/>
      </c>
      <c r="V287" s="56">
        <f>IF(AC287="Cancelled",0,ROUND(P287*S287,2))</f>
        <v/>
      </c>
      <c r="W287" s="56" t="inlineStr">
        <is>
          <t>No</t>
        </is>
      </c>
      <c r="X287" s="56" t="n">
        <v>0</v>
      </c>
      <c r="Y287" s="56">
        <f>IF(AC287="Cancelled",0,T287+U287+V287+Q287+X287)</f>
        <v/>
      </c>
      <c r="Z287" s="56">
        <f>IF(AC287="Cancelled",-Q287,S287-Y287)</f>
        <v/>
      </c>
      <c r="AA287" s="56">
        <f>IF(OR(AC287="Cancelled",S287=0),0,Z287/S287)</f>
        <v/>
      </c>
      <c r="AB287" s="56">
        <f>IFERROR(IF(Q287=0,0,S287/Q287),0)</f>
        <v/>
      </c>
      <c r="AC287" s="56" t="inlineStr">
        <is>
          <t>Delivered</t>
        </is>
      </c>
      <c r="AD287" s="56">
        <f>IF(Z287&lt;=0,"Low Profit",IF(Z287&gt;=50,"HighProfit","Medium Profit"))</f>
        <v/>
      </c>
      <c r="AE287" s="56">
        <f>TEXT(B287,"mmmm")</f>
        <v/>
      </c>
    </row>
    <row r="288" ht="14.25" customHeight="1" s="57">
      <c r="A288" s="56" t="inlineStr">
        <is>
          <t>ORD-00253</t>
        </is>
      </c>
      <c r="B288" s="116" t="n">
        <v>45927</v>
      </c>
      <c r="C288" s="56" t="n">
        <v>2025</v>
      </c>
      <c r="D288" s="56" t="n">
        <v>9</v>
      </c>
      <c r="E288" s="56" t="inlineStr">
        <is>
          <t>Qatar</t>
        </is>
      </c>
      <c r="F288" s="56" t="inlineStr">
        <is>
          <t>Doha</t>
        </is>
      </c>
      <c r="G288" s="56" t="inlineStr">
        <is>
          <t>Meta Ads</t>
        </is>
      </c>
      <c r="H288" s="56" t="inlineStr">
        <is>
          <t>Summer Sale</t>
        </is>
      </c>
      <c r="I288" s="56" t="inlineStr">
        <is>
          <t>P004</t>
        </is>
      </c>
      <c r="J288" s="56" t="inlineStr">
        <is>
          <t>Beauty Tool</t>
        </is>
      </c>
      <c r="K288" s="56" t="inlineStr">
        <is>
          <t>Beauty</t>
        </is>
      </c>
      <c r="L288" s="56" t="inlineStr">
        <is>
          <t>Ningbo Beauty Supply</t>
        </is>
      </c>
      <c r="M288" s="56" t="n">
        <v>31.44</v>
      </c>
      <c r="N288" s="56" t="n">
        <v>6.67</v>
      </c>
      <c r="O288" s="56" t="n">
        <v>4.5</v>
      </c>
      <c r="P288" s="56" t="n">
        <v>0.03</v>
      </c>
      <c r="Q288" s="56" t="n">
        <v>6.4</v>
      </c>
      <c r="R288" s="56" t="n">
        <v>2</v>
      </c>
      <c r="S288" s="56">
        <f>IF(AC288="Cancelled",0,M288*R288)</f>
        <v/>
      </c>
      <c r="T288" s="56">
        <f>IF(AC288="Cancelled",0,N288*R288)</f>
        <v/>
      </c>
      <c r="U288" s="56">
        <f>IF(AC288="Cancelled",0,O288*R288)</f>
        <v/>
      </c>
      <c r="V288" s="56">
        <f>IF(AC288="Cancelled",0,ROUND(P288*S288,2))</f>
        <v/>
      </c>
      <c r="W288" s="56" t="inlineStr">
        <is>
          <t>No</t>
        </is>
      </c>
      <c r="X288" s="56" t="n">
        <v>0</v>
      </c>
      <c r="Y288" s="56">
        <f>IF(AC288="Cancelled",0,T288+U288+V288+Q288+X288)</f>
        <v/>
      </c>
      <c r="Z288" s="56">
        <f>IF(AC288="Cancelled",-Q288,S288-Y288)</f>
        <v/>
      </c>
      <c r="AA288" s="56">
        <f>IF(OR(AC288="Cancelled",S288=0),0,Z288/S288)</f>
        <v/>
      </c>
      <c r="AB288" s="56">
        <f>IFERROR(IF(Q288=0,0,S288/Q288),0)</f>
        <v/>
      </c>
      <c r="AC288" s="56" t="inlineStr">
        <is>
          <t>Delivered</t>
        </is>
      </c>
      <c r="AD288" s="56">
        <f>IF(Z288&lt;=0,"Low Profit",IF(Z288&gt;=50,"HighProfit","Medium Profit"))</f>
        <v/>
      </c>
      <c r="AE288" s="56">
        <f>TEXT(B288,"mmmm")</f>
        <v/>
      </c>
    </row>
    <row r="289" ht="14.25" customHeight="1" s="57">
      <c r="A289" s="56" t="inlineStr">
        <is>
          <t>ORD-00046</t>
        </is>
      </c>
      <c r="B289" s="116" t="n">
        <v>45928</v>
      </c>
      <c r="C289" s="56" t="n">
        <v>2025</v>
      </c>
      <c r="D289" s="56" t="n">
        <v>9</v>
      </c>
      <c r="E289" s="56" t="inlineStr">
        <is>
          <t>Kuwait</t>
        </is>
      </c>
      <c r="F289" s="56" t="inlineStr">
        <is>
          <t>Kuwait City</t>
        </is>
      </c>
      <c r="G289" s="56" t="inlineStr">
        <is>
          <t>Google Ads</t>
        </is>
      </c>
      <c r="H289" s="56" t="inlineStr">
        <is>
          <t>Launch Test</t>
        </is>
      </c>
      <c r="I289" s="56" t="inlineStr">
        <is>
          <t>P009</t>
        </is>
      </c>
      <c r="J289" s="56" t="inlineStr">
        <is>
          <t>Car Vacuum Cleaner</t>
        </is>
      </c>
      <c r="K289" s="56" t="inlineStr">
        <is>
          <t>Automotive</t>
        </is>
      </c>
      <c r="L289" s="56" t="inlineStr">
        <is>
          <t>Dongguan Auto Tools</t>
        </is>
      </c>
      <c r="M289" s="56" t="n">
        <v>41.3</v>
      </c>
      <c r="N289" s="56" t="n">
        <v>14.57</v>
      </c>
      <c r="O289" s="56" t="n">
        <v>5.91</v>
      </c>
      <c r="P289" s="56" t="n">
        <v>0.03</v>
      </c>
      <c r="Q289" s="56" t="n">
        <v>1.32</v>
      </c>
      <c r="R289" s="56" t="n">
        <v>1</v>
      </c>
      <c r="S289" s="56">
        <f>IF(AC289="Cancelled",0,M289*R289)</f>
        <v/>
      </c>
      <c r="T289" s="56">
        <f>IF(AC289="Cancelled",0,N289*R289)</f>
        <v/>
      </c>
      <c r="U289" s="56">
        <f>IF(AC289="Cancelled",0,O289*R289)</f>
        <v/>
      </c>
      <c r="V289" s="56">
        <f>IF(AC289="Cancelled",0,ROUND(P289*S289,2))</f>
        <v/>
      </c>
      <c r="W289" s="56" t="inlineStr">
        <is>
          <t>No</t>
        </is>
      </c>
      <c r="X289" s="56" t="n">
        <v>0</v>
      </c>
      <c r="Y289" s="56">
        <f>IF(AC289="Cancelled",0,T289+U289+V289+Q289+X289)</f>
        <v/>
      </c>
      <c r="Z289" s="56">
        <f>IF(AC289="Cancelled",-Q289,S289-Y289)</f>
        <v/>
      </c>
      <c r="AA289" s="56">
        <f>IF(OR(AC289="Cancelled",S289=0),0,Z289/S289)</f>
        <v/>
      </c>
      <c r="AB289" s="56">
        <f>IFERROR(IF(Q289=0,0,S289/Q289),0)</f>
        <v/>
      </c>
      <c r="AC289" s="56" t="inlineStr">
        <is>
          <t>Delivered</t>
        </is>
      </c>
      <c r="AD289" s="56">
        <f>IF(Z289&lt;=0,"Low Profit",IF(Z289&gt;=50,"HighProfit","Medium Profit"))</f>
        <v/>
      </c>
      <c r="AE289" s="56">
        <f>TEXT(B289,"mmmm")</f>
        <v/>
      </c>
    </row>
    <row r="290" ht="14.25" customHeight="1" s="57">
      <c r="A290" s="56" t="inlineStr">
        <is>
          <t>ORD-00224</t>
        </is>
      </c>
      <c r="B290" s="116" t="n">
        <v>45929</v>
      </c>
      <c r="C290" s="56" t="n">
        <v>2025</v>
      </c>
      <c r="D290" s="56" t="n">
        <v>9</v>
      </c>
      <c r="E290" s="56" t="inlineStr">
        <is>
          <t>UAE</t>
        </is>
      </c>
      <c r="F290" s="56" t="inlineStr">
        <is>
          <t>Abu Dhabi</t>
        </is>
      </c>
      <c r="G290" s="56" t="inlineStr">
        <is>
          <t>TikTok Ads</t>
        </is>
      </c>
      <c r="H290" s="56" t="inlineStr">
        <is>
          <t>Launch Test</t>
        </is>
      </c>
      <c r="I290" s="56" t="inlineStr">
        <is>
          <t>P003</t>
        </is>
      </c>
      <c r="J290" s="56" t="inlineStr">
        <is>
          <t>LED Strip Lights</t>
        </is>
      </c>
      <c r="K290" s="56" t="inlineStr">
        <is>
          <t>Home Decor</t>
        </is>
      </c>
      <c r="L290" s="56" t="inlineStr">
        <is>
          <t>Yiwu Lighting Factory</t>
        </is>
      </c>
      <c r="M290" s="56" t="n">
        <v>26.07</v>
      </c>
      <c r="N290" s="56" t="n">
        <v>6.34</v>
      </c>
      <c r="O290" s="56" t="n">
        <v>3.62</v>
      </c>
      <c r="P290" s="56" t="n">
        <v>0.03</v>
      </c>
      <c r="Q290" s="56" t="n">
        <v>4.26</v>
      </c>
      <c r="R290" s="56" t="n">
        <v>1</v>
      </c>
      <c r="S290" s="56">
        <f>IF(AC290="Cancelled",0,M290*R290)</f>
        <v/>
      </c>
      <c r="T290" s="56">
        <f>IF(AC290="Cancelled",0,N290*R290)</f>
        <v/>
      </c>
      <c r="U290" s="56">
        <f>IF(AC290="Cancelled",0,O290*R290)</f>
        <v/>
      </c>
      <c r="V290" s="56">
        <f>IF(AC290="Cancelled",0,ROUND(P290*S290,2))</f>
        <v/>
      </c>
      <c r="W290" s="56" t="inlineStr">
        <is>
          <t>No</t>
        </is>
      </c>
      <c r="X290" s="56" t="n">
        <v>0</v>
      </c>
      <c r="Y290" s="56">
        <f>IF(AC290="Cancelled",0,T290+U290+V290+Q290+X290)</f>
        <v/>
      </c>
      <c r="Z290" s="56">
        <f>IF(AC290="Cancelled",-Q290,S290-Y290)</f>
        <v/>
      </c>
      <c r="AA290" s="56">
        <f>IF(OR(AC290="Cancelled",S290=0),0,Z290/S290)</f>
        <v/>
      </c>
      <c r="AB290" s="56">
        <f>IFERROR(IF(Q290=0,0,S290/Q290),0)</f>
        <v/>
      </c>
      <c r="AC290" s="56" t="inlineStr">
        <is>
          <t>Delivered</t>
        </is>
      </c>
      <c r="AD290" s="56">
        <f>IF(Z290&lt;=0,"Low Profit",IF(Z290&gt;=50,"HighProfit","Medium Profit"))</f>
        <v/>
      </c>
      <c r="AE290" s="56">
        <f>TEXT(B290,"mmmm")</f>
        <v/>
      </c>
    </row>
    <row r="291" ht="14.25" customHeight="1" s="57">
      <c r="A291" s="56" t="inlineStr">
        <is>
          <t>ORD-00123</t>
        </is>
      </c>
      <c r="B291" s="116" t="n">
        <v>45930</v>
      </c>
      <c r="C291" s="56" t="n">
        <v>2025</v>
      </c>
      <c r="D291" s="56" t="n">
        <v>9</v>
      </c>
      <c r="E291" s="56" t="inlineStr">
        <is>
          <t>UAE</t>
        </is>
      </c>
      <c r="F291" s="56" t="inlineStr">
        <is>
          <t>Abu Dhabi</t>
        </is>
      </c>
      <c r="G291" s="56" t="inlineStr">
        <is>
          <t>Meta Ads</t>
        </is>
      </c>
      <c r="H291" s="56" t="inlineStr">
        <is>
          <t>Launch Test</t>
        </is>
      </c>
      <c r="I291" s="56" t="inlineStr">
        <is>
          <t>P004</t>
        </is>
      </c>
      <c r="J291" s="56" t="inlineStr">
        <is>
          <t>Beauty Tool</t>
        </is>
      </c>
      <c r="K291" s="56" t="inlineStr">
        <is>
          <t>Beauty</t>
        </is>
      </c>
      <c r="L291" s="56" t="inlineStr">
        <is>
          <t>Ningbo Beauty Supply</t>
        </is>
      </c>
      <c r="M291" s="56" t="n">
        <v>31.97</v>
      </c>
      <c r="N291" s="56" t="n">
        <v>7</v>
      </c>
      <c r="O291" s="56" t="n">
        <v>4.13</v>
      </c>
      <c r="P291" s="56" t="n">
        <v>0.03</v>
      </c>
      <c r="Q291" s="56" t="n">
        <v>15.35</v>
      </c>
      <c r="R291" s="56" t="n">
        <v>3</v>
      </c>
      <c r="S291" s="56">
        <f>IF(AC291="Cancelled",0,M291*R291)</f>
        <v/>
      </c>
      <c r="T291" s="56">
        <f>IF(AC291="Cancelled",0,N291*R291)</f>
        <v/>
      </c>
      <c r="U291" s="56">
        <f>IF(AC291="Cancelled",0,O291*R291)</f>
        <v/>
      </c>
      <c r="V291" s="56">
        <f>IF(AC291="Cancelled",0,ROUND(P291*S291,2))</f>
        <v/>
      </c>
      <c r="W291" s="56" t="inlineStr">
        <is>
          <t>No</t>
        </is>
      </c>
      <c r="X291" s="56" t="n">
        <v>0</v>
      </c>
      <c r="Y291" s="56">
        <f>IF(AC291="Cancelled",0,T291+U291+V291+Q291+X291)</f>
        <v/>
      </c>
      <c r="Z291" s="56">
        <f>IF(AC291="Cancelled",-Q291,S291-Y291)</f>
        <v/>
      </c>
      <c r="AA291" s="56">
        <f>IF(OR(AC291="Cancelled",S291=0),0,Z291/S291)</f>
        <v/>
      </c>
      <c r="AB291" s="56">
        <f>IFERROR(IF(Q291=0,0,S291/Q291),0)</f>
        <v/>
      </c>
      <c r="AC291" s="56" t="inlineStr">
        <is>
          <t>Delivered</t>
        </is>
      </c>
      <c r="AD291" s="56">
        <f>IF(Z291&lt;=0,"Low Profit",IF(Z291&gt;=50,"HighProfit","Medium Profit"))</f>
        <v/>
      </c>
      <c r="AE291" s="56">
        <f>TEXT(B291,"mmmm")</f>
        <v/>
      </c>
    </row>
    <row r="292" ht="14.25" customHeight="1" s="57">
      <c r="A292" s="56" t="inlineStr">
        <is>
          <t>ORD-00466</t>
        </is>
      </c>
      <c r="B292" s="116" t="n">
        <v>45930</v>
      </c>
      <c r="C292" s="56" t="n">
        <v>2025</v>
      </c>
      <c r="D292" s="56" t="n">
        <v>9</v>
      </c>
      <c r="E292" s="56" t="inlineStr">
        <is>
          <t>UAE</t>
        </is>
      </c>
      <c r="F292" s="56" t="inlineStr">
        <is>
          <t>Dubai</t>
        </is>
      </c>
      <c r="G292" s="56" t="inlineStr">
        <is>
          <t>Meta Ads</t>
        </is>
      </c>
      <c r="H292" s="56" t="inlineStr">
        <is>
          <t>Summer Sale</t>
        </is>
      </c>
      <c r="I292" s="56" t="inlineStr">
        <is>
          <t>P004</t>
        </is>
      </c>
      <c r="J292" s="56" t="inlineStr">
        <is>
          <t>Beauty Tool</t>
        </is>
      </c>
      <c r="K292" s="56" t="inlineStr">
        <is>
          <t>Beauty</t>
        </is>
      </c>
      <c r="L292" s="56" t="inlineStr">
        <is>
          <t>Ningbo Beauty Supply</t>
        </is>
      </c>
      <c r="M292" s="56" t="n">
        <v>33.04</v>
      </c>
      <c r="N292" s="56" t="n">
        <v>7.26</v>
      </c>
      <c r="O292" s="56" t="n">
        <v>5.09</v>
      </c>
      <c r="P292" s="56" t="n">
        <v>0.03</v>
      </c>
      <c r="Q292" s="56" t="n">
        <v>7.48</v>
      </c>
      <c r="R292" s="56" t="n">
        <v>3</v>
      </c>
      <c r="S292" s="56">
        <f>IF(AC292="Cancelled",0,M292*R292)</f>
        <v/>
      </c>
      <c r="T292" s="56">
        <f>IF(AC292="Cancelled",0,N292*R292)</f>
        <v/>
      </c>
      <c r="U292" s="56">
        <f>IF(AC292="Cancelled",0,O292*R292)</f>
        <v/>
      </c>
      <c r="V292" s="56">
        <f>IF(AC292="Cancelled",0,ROUND(P292*S292,2))</f>
        <v/>
      </c>
      <c r="W292" s="56" t="inlineStr">
        <is>
          <t>No</t>
        </is>
      </c>
      <c r="X292" s="56" t="n">
        <v>0</v>
      </c>
      <c r="Y292" s="56">
        <f>IF(AC292="Cancelled",0,T292+U292+V292+Q292+X292)</f>
        <v/>
      </c>
      <c r="Z292" s="56">
        <f>IF(AC292="Cancelled",-Q292,S292-Y292)</f>
        <v/>
      </c>
      <c r="AA292" s="56">
        <f>IF(OR(AC292="Cancelled",S292=0),0,Z292/S292)</f>
        <v/>
      </c>
      <c r="AB292" s="56">
        <f>IFERROR(IF(Q292=0,0,S292/Q292),0)</f>
        <v/>
      </c>
      <c r="AC292" s="56" t="inlineStr">
        <is>
          <t>Delivered</t>
        </is>
      </c>
      <c r="AD292" s="56">
        <f>IF(Z292&lt;=0,"Low Profit",IF(Z292&gt;=50,"HighProfit","Medium Profit"))</f>
        <v/>
      </c>
      <c r="AE292" s="56">
        <f>TEXT(B292,"mmmm")</f>
        <v/>
      </c>
    </row>
    <row r="293" ht="14.25" customHeight="1" s="57">
      <c r="A293" s="56" t="inlineStr">
        <is>
          <t>ORD-00181</t>
        </is>
      </c>
      <c r="B293" s="116" t="n">
        <v>45931</v>
      </c>
      <c r="C293" s="56" t="n">
        <v>2025</v>
      </c>
      <c r="D293" s="56" t="n">
        <v>10</v>
      </c>
      <c r="E293" s="56" t="inlineStr">
        <is>
          <t>Qatar</t>
        </is>
      </c>
      <c r="F293" s="56" t="inlineStr">
        <is>
          <t>Doha</t>
        </is>
      </c>
      <c r="G293" s="56" t="inlineStr">
        <is>
          <t>Email</t>
        </is>
      </c>
      <c r="H293" s="56" t="inlineStr">
        <is>
          <t>Launch Test</t>
        </is>
      </c>
      <c r="I293" s="56" t="inlineStr">
        <is>
          <t>P006</t>
        </is>
      </c>
      <c r="J293" s="56" t="inlineStr">
        <is>
          <t>Posture Corrector</t>
        </is>
      </c>
      <c r="K293" s="56" t="inlineStr">
        <is>
          <t>Fitness</t>
        </is>
      </c>
      <c r="L293" s="56" t="inlineStr">
        <is>
          <t>Hangzhou Health Gear</t>
        </is>
      </c>
      <c r="M293" s="56" t="n">
        <v>37.53</v>
      </c>
      <c r="N293" s="56" t="n">
        <v>8.800000000000001</v>
      </c>
      <c r="O293" s="56" t="n">
        <v>4.02</v>
      </c>
      <c r="P293" s="56" t="n">
        <v>0.03</v>
      </c>
      <c r="Q293" s="56" t="n">
        <v>12.54</v>
      </c>
      <c r="R293" s="56" t="n">
        <v>2</v>
      </c>
      <c r="S293" s="56">
        <f>IF(AC293="Cancelled",0,M293*R293)</f>
        <v/>
      </c>
      <c r="T293" s="56">
        <f>IF(AC293="Cancelled",0,N293*R293)</f>
        <v/>
      </c>
      <c r="U293" s="56">
        <f>IF(AC293="Cancelled",0,O293*R293)</f>
        <v/>
      </c>
      <c r="V293" s="56">
        <f>IF(AC293="Cancelled",0,ROUND(P293*S293,2))</f>
        <v/>
      </c>
      <c r="W293" s="56" t="inlineStr">
        <is>
          <t>No</t>
        </is>
      </c>
      <c r="X293" s="56" t="n">
        <v>0</v>
      </c>
      <c r="Y293" s="56">
        <f>IF(AC293="Cancelled",0,T293+U293+V293+Q293+X293)</f>
        <v/>
      </c>
      <c r="Z293" s="56">
        <f>IF(AC293="Cancelled",-Q293,S293-Y293)</f>
        <v/>
      </c>
      <c r="AA293" s="56">
        <f>IF(OR(AC293="Cancelled",S293=0),0,Z293/S293)</f>
        <v/>
      </c>
      <c r="AB293" s="56">
        <f>IFERROR(IF(Q293=0,0,S293/Q293),0)</f>
        <v/>
      </c>
      <c r="AC293" s="56" t="inlineStr">
        <is>
          <t>Delivered</t>
        </is>
      </c>
      <c r="AD293" s="56">
        <f>IF(Z293&lt;=0,"Low Profit",IF(Z293&gt;=50,"HighProfit","Medium Profit"))</f>
        <v/>
      </c>
      <c r="AE293" s="56">
        <f>TEXT(B293,"mmmm")</f>
        <v/>
      </c>
    </row>
    <row r="294" ht="14.25" customHeight="1" s="57">
      <c r="A294" s="56" t="inlineStr">
        <is>
          <t>ORD-00364</t>
        </is>
      </c>
      <c r="B294" s="116" t="n">
        <v>45931</v>
      </c>
      <c r="C294" s="56" t="n">
        <v>2025</v>
      </c>
      <c r="D294" s="56" t="n">
        <v>10</v>
      </c>
      <c r="E294" s="56" t="inlineStr">
        <is>
          <t>Kuwait</t>
        </is>
      </c>
      <c r="F294" s="56" t="inlineStr">
        <is>
          <t>Kuwait City</t>
        </is>
      </c>
      <c r="G294" s="56" t="inlineStr">
        <is>
          <t>Google Ads</t>
        </is>
      </c>
      <c r="H294" s="56" t="inlineStr">
        <is>
          <t>Launch Test</t>
        </is>
      </c>
      <c r="I294" s="56" t="inlineStr">
        <is>
          <t>P007</t>
        </is>
      </c>
      <c r="J294" s="56" t="inlineStr">
        <is>
          <t>Pet Grooming Glove</t>
        </is>
      </c>
      <c r="K294" s="56" t="inlineStr">
        <is>
          <t>Pets</t>
        </is>
      </c>
      <c r="L294" s="56" t="inlineStr">
        <is>
          <t>Yiwu Pet Products</t>
        </is>
      </c>
      <c r="M294" s="56" t="n">
        <v>18.32</v>
      </c>
      <c r="N294" s="56" t="n">
        <v>3.59</v>
      </c>
      <c r="O294" s="56" t="n">
        <v>2.52</v>
      </c>
      <c r="P294" s="56" t="n">
        <v>0.03</v>
      </c>
      <c r="Q294" s="56" t="n">
        <v>4.15</v>
      </c>
      <c r="R294" s="56" t="n">
        <v>1</v>
      </c>
      <c r="S294" s="56">
        <f>IF(AC294="Cancelled",0,M294*R294)</f>
        <v/>
      </c>
      <c r="T294" s="56">
        <f>IF(AC294="Cancelled",0,N294*R294)</f>
        <v/>
      </c>
      <c r="U294" s="56">
        <f>IF(AC294="Cancelled",0,O294*R294)</f>
        <v/>
      </c>
      <c r="V294" s="56">
        <f>IF(AC294="Cancelled",0,ROUND(P294*S294,2))</f>
        <v/>
      </c>
      <c r="W294" s="56" t="inlineStr">
        <is>
          <t>No</t>
        </is>
      </c>
      <c r="X294" s="56" t="n">
        <v>0</v>
      </c>
      <c r="Y294" s="56">
        <f>IF(AC294="Cancelled",0,T294+U294+V294+Q294+X294)</f>
        <v/>
      </c>
      <c r="Z294" s="56">
        <f>IF(AC294="Cancelled",-Q294,S294-Y294)</f>
        <v/>
      </c>
      <c r="AA294" s="56">
        <f>IF(OR(AC294="Cancelled",S294=0),0,Z294/S294)</f>
        <v/>
      </c>
      <c r="AB294" s="56">
        <f>IFERROR(IF(Q294=0,0,S294/Q294),0)</f>
        <v/>
      </c>
      <c r="AC294" s="56" t="inlineStr">
        <is>
          <t>Delivered</t>
        </is>
      </c>
      <c r="AD294" s="56">
        <f>IF(Z294&lt;=0,"Low Profit",IF(Z294&gt;=50,"HighProfit","Medium Profit"))</f>
        <v/>
      </c>
      <c r="AE294" s="56">
        <f>TEXT(B294,"mmmm")</f>
        <v/>
      </c>
    </row>
    <row r="295" ht="14.25" customHeight="1" s="57">
      <c r="A295" s="56" t="inlineStr">
        <is>
          <t>ORD-00178</t>
        </is>
      </c>
      <c r="B295" s="116" t="n">
        <v>45932</v>
      </c>
      <c r="C295" s="56" t="n">
        <v>2025</v>
      </c>
      <c r="D295" s="56" t="n">
        <v>10</v>
      </c>
      <c r="E295" s="56" t="inlineStr">
        <is>
          <t>UAE</t>
        </is>
      </c>
      <c r="F295" s="56" t="inlineStr">
        <is>
          <t>Sharjah</t>
        </is>
      </c>
      <c r="G295" s="56" t="inlineStr">
        <is>
          <t>Meta Ads</t>
        </is>
      </c>
      <c r="H295" s="56" t="inlineStr">
        <is>
          <t>Bundle Promo</t>
        </is>
      </c>
      <c r="I295" s="56" t="inlineStr">
        <is>
          <t>P001</t>
        </is>
      </c>
      <c r="J295" s="56" t="inlineStr">
        <is>
          <t>Wireless Earbuds</t>
        </is>
      </c>
      <c r="K295" s="56" t="inlineStr">
        <is>
          <t>Electronics</t>
        </is>
      </c>
      <c r="L295" s="56" t="inlineStr">
        <is>
          <t>Shenzhen Audio Co.</t>
        </is>
      </c>
      <c r="M295" s="56" t="n">
        <v>42.43</v>
      </c>
      <c r="N295" s="56" t="n">
        <v>8.529999999999999</v>
      </c>
      <c r="O295" s="56" t="n">
        <v>4.55</v>
      </c>
      <c r="P295" s="56" t="n">
        <v>0.03</v>
      </c>
      <c r="Q295" s="56" t="n">
        <v>3.43</v>
      </c>
      <c r="R295" s="56" t="n">
        <v>1</v>
      </c>
      <c r="S295" s="56">
        <f>IF(AC295="Cancelled",0,M295*R295)</f>
        <v/>
      </c>
      <c r="T295" s="56">
        <f>IF(AC295="Cancelled",0,N295*R295)</f>
        <v/>
      </c>
      <c r="U295" s="56">
        <f>IF(AC295="Cancelled",0,O295*R295)</f>
        <v/>
      </c>
      <c r="V295" s="56">
        <f>IF(AC295="Cancelled",0,ROUND(P295*S295,2))</f>
        <v/>
      </c>
      <c r="W295" s="56" t="inlineStr">
        <is>
          <t>No</t>
        </is>
      </c>
      <c r="X295" s="56" t="n">
        <v>0</v>
      </c>
      <c r="Y295" s="56">
        <f>IF(AC295="Cancelled",0,T295+U295+V295+Q295+X295)</f>
        <v/>
      </c>
      <c r="Z295" s="56">
        <f>IF(AC295="Cancelled",-Q295,S295-Y295)</f>
        <v/>
      </c>
      <c r="AA295" s="56">
        <f>IF(OR(AC295="Cancelled",S295=0),0,Z295/S295)</f>
        <v/>
      </c>
      <c r="AB295" s="56">
        <f>IFERROR(IF(Q295=0,0,S295/Q295),0)</f>
        <v/>
      </c>
      <c r="AC295" s="56" t="inlineStr">
        <is>
          <t>Delivered</t>
        </is>
      </c>
      <c r="AD295" s="56">
        <f>IF(Z295&lt;=0,"Low Profit",IF(Z295&gt;=50,"HighProfit","Medium Profit"))</f>
        <v/>
      </c>
      <c r="AE295" s="56">
        <f>TEXT(B295,"mmmm")</f>
        <v/>
      </c>
    </row>
    <row r="296" ht="14.25" customHeight="1" s="57">
      <c r="A296" s="56" t="inlineStr">
        <is>
          <t>ORD-00100</t>
        </is>
      </c>
      <c r="B296" s="116" t="n">
        <v>45935</v>
      </c>
      <c r="C296" s="56" t="n">
        <v>2025</v>
      </c>
      <c r="D296" s="56" t="n">
        <v>10</v>
      </c>
      <c r="E296" s="56" t="inlineStr">
        <is>
          <t>UAE</t>
        </is>
      </c>
      <c r="F296" s="56" t="inlineStr">
        <is>
          <t>Abu Dhabi</t>
        </is>
      </c>
      <c r="G296" s="56" t="inlineStr">
        <is>
          <t>Organic Search</t>
        </is>
      </c>
      <c r="H296" s="56" t="inlineStr">
        <is>
          <t>Summer Sale</t>
        </is>
      </c>
      <c r="I296" s="56" t="inlineStr">
        <is>
          <t>P002</t>
        </is>
      </c>
      <c r="J296" s="56" t="inlineStr">
        <is>
          <t>Phone Case</t>
        </is>
      </c>
      <c r="K296" s="56" t="inlineStr">
        <is>
          <t>Accessories</t>
        </is>
      </c>
      <c r="L296" s="56" t="inlineStr">
        <is>
          <t>Guangzhou Cases Ltd.</t>
        </is>
      </c>
      <c r="M296" s="56" t="n">
        <v>16.68</v>
      </c>
      <c r="N296" s="56" t="n">
        <v>2.07</v>
      </c>
      <c r="O296" s="56" t="n">
        <v>2.28</v>
      </c>
      <c r="P296" s="56" t="n">
        <v>0.03</v>
      </c>
      <c r="Q296" s="56" t="n">
        <v>0</v>
      </c>
      <c r="R296" s="56" t="n">
        <v>1</v>
      </c>
      <c r="S296" s="56">
        <f>IF(AC296="Cancelled",0,M296*R296)</f>
        <v/>
      </c>
      <c r="T296" s="56">
        <f>IF(AC296="Cancelled",0,N296*R296)</f>
        <v/>
      </c>
      <c r="U296" s="56">
        <f>IF(AC296="Cancelled",0,O296*R296)</f>
        <v/>
      </c>
      <c r="V296" s="56">
        <f>IF(AC296="Cancelled",0,ROUND(P296*S296,2))</f>
        <v/>
      </c>
      <c r="W296" s="56" t="inlineStr">
        <is>
          <t>No</t>
        </is>
      </c>
      <c r="X296" s="56" t="n">
        <v>0</v>
      </c>
      <c r="Y296" s="56">
        <f>IF(AC296="Cancelled",0,T296+U296+V296+Q296+X296)</f>
        <v/>
      </c>
      <c r="Z296" s="56">
        <f>IF(AC296="Cancelled",-Q296,S296-Y296)</f>
        <v/>
      </c>
      <c r="AA296" s="56">
        <f>IF(OR(AC296="Cancelled",S296=0),0,Z296/S296)</f>
        <v/>
      </c>
      <c r="AB296" s="56">
        <f>IFERROR(IF(Q296=0,0,S296/Q296),0)</f>
        <v/>
      </c>
      <c r="AC296" s="56" t="inlineStr">
        <is>
          <t>Delivered</t>
        </is>
      </c>
      <c r="AD296" s="56">
        <f>IF(Z296&lt;=0,"Low Profit",IF(Z296&gt;=50,"HighProfit","Medium Profit"))</f>
        <v/>
      </c>
      <c r="AE296" s="56">
        <f>TEXT(B296,"mmmm")</f>
        <v/>
      </c>
    </row>
    <row r="297" ht="14.25" customHeight="1" s="57">
      <c r="A297" s="56" t="inlineStr">
        <is>
          <t>ORD-00153</t>
        </is>
      </c>
      <c r="B297" s="116" t="n">
        <v>45935</v>
      </c>
      <c r="C297" s="56" t="n">
        <v>2025</v>
      </c>
      <c r="D297" s="56" t="n">
        <v>10</v>
      </c>
      <c r="E297" s="56" t="inlineStr">
        <is>
          <t>UAE</t>
        </is>
      </c>
      <c r="F297" s="56" t="inlineStr">
        <is>
          <t>Abu Dhabi</t>
        </is>
      </c>
      <c r="G297" s="56" t="inlineStr">
        <is>
          <t>TikTok Ads</t>
        </is>
      </c>
      <c r="H297" s="56" t="inlineStr">
        <is>
          <t>New Creative A/B</t>
        </is>
      </c>
      <c r="I297" s="56" t="inlineStr">
        <is>
          <t>P005</t>
        </is>
      </c>
      <c r="J297" s="56" t="inlineStr">
        <is>
          <t>Mini Printer</t>
        </is>
      </c>
      <c r="K297" s="56" t="inlineStr">
        <is>
          <t>Electronics</t>
        </is>
      </c>
      <c r="L297" s="56" t="inlineStr">
        <is>
          <t>Shenzhen Print Tech</t>
        </is>
      </c>
      <c r="M297" s="56" t="n">
        <v>64.40000000000001</v>
      </c>
      <c r="N297" s="56" t="n">
        <v>22.42</v>
      </c>
      <c r="O297" s="56" t="n">
        <v>6.6</v>
      </c>
      <c r="P297" s="56" t="n">
        <v>0.03</v>
      </c>
      <c r="Q297" s="56" t="n">
        <v>17.14</v>
      </c>
      <c r="R297" s="56" t="n">
        <v>2</v>
      </c>
      <c r="S297" s="56">
        <f>IF(AC297="Cancelled",0,M297*R297)</f>
        <v/>
      </c>
      <c r="T297" s="56">
        <f>IF(AC297="Cancelled",0,N297*R297)</f>
        <v/>
      </c>
      <c r="U297" s="56">
        <f>IF(AC297="Cancelled",0,O297*R297)</f>
        <v/>
      </c>
      <c r="V297" s="56">
        <f>IF(AC297="Cancelled",0,ROUND(P297*S297,2))</f>
        <v/>
      </c>
      <c r="W297" s="56" t="inlineStr">
        <is>
          <t>No</t>
        </is>
      </c>
      <c r="X297" s="56" t="n">
        <v>0</v>
      </c>
      <c r="Y297" s="56">
        <f>IF(AC297="Cancelled",0,T297+U297+V297+Q297+X297)</f>
        <v/>
      </c>
      <c r="Z297" s="56">
        <f>IF(AC297="Cancelled",-Q297,S297-Y297)</f>
        <v/>
      </c>
      <c r="AA297" s="56">
        <f>IF(OR(AC297="Cancelled",S297=0),0,Z297/S297)</f>
        <v/>
      </c>
      <c r="AB297" s="56">
        <f>IFERROR(IF(Q297=0,0,S297/Q297),0)</f>
        <v/>
      </c>
      <c r="AC297" s="56" t="inlineStr">
        <is>
          <t>Delivered</t>
        </is>
      </c>
      <c r="AD297" s="56">
        <f>IF(Z297&lt;=0,"Low Profit",IF(Z297&gt;=50,"HighProfit","Medium Profit"))</f>
        <v/>
      </c>
      <c r="AE297" s="56">
        <f>TEXT(B297,"mmmm")</f>
        <v/>
      </c>
    </row>
    <row r="298" ht="14.25" customHeight="1" s="57">
      <c r="A298" s="56" t="inlineStr">
        <is>
          <t>ORD-00308</t>
        </is>
      </c>
      <c r="B298" s="116" t="n">
        <v>45936</v>
      </c>
      <c r="C298" s="56" t="n">
        <v>2025</v>
      </c>
      <c r="D298" s="56" t="n">
        <v>10</v>
      </c>
      <c r="E298" s="56" t="inlineStr">
        <is>
          <t>Saudi Arabia</t>
        </is>
      </c>
      <c r="F298" s="56" t="inlineStr">
        <is>
          <t>Riyadh</t>
        </is>
      </c>
      <c r="G298" s="56" t="inlineStr">
        <is>
          <t>TikTok Ads</t>
        </is>
      </c>
      <c r="H298" s="56" t="inlineStr">
        <is>
          <t>Retargeting</t>
        </is>
      </c>
      <c r="I298" s="56" t="inlineStr">
        <is>
          <t>P007</t>
        </is>
      </c>
      <c r="J298" s="56" t="inlineStr">
        <is>
          <t>Pet Grooming Glove</t>
        </is>
      </c>
      <c r="K298" s="56" t="inlineStr">
        <is>
          <t>Pets</t>
        </is>
      </c>
      <c r="L298" s="56" t="inlineStr">
        <is>
          <t>Yiwu Pet Products</t>
        </is>
      </c>
      <c r="M298" s="56" t="n">
        <v>18.44</v>
      </c>
      <c r="N298" s="56" t="n">
        <v>3.58</v>
      </c>
      <c r="O298" s="56" t="n">
        <v>2.58</v>
      </c>
      <c r="P298" s="56" t="n">
        <v>0.03</v>
      </c>
      <c r="Q298" s="56" t="n">
        <v>11.91</v>
      </c>
      <c r="R298" s="56" t="n">
        <v>3</v>
      </c>
      <c r="S298" s="56">
        <f>IF(AC298="Cancelled",0,M298*R298)</f>
        <v/>
      </c>
      <c r="T298" s="56">
        <f>IF(AC298="Cancelled",0,N298*R298)</f>
        <v/>
      </c>
      <c r="U298" s="56">
        <f>IF(AC298="Cancelled",0,O298*R298)</f>
        <v/>
      </c>
      <c r="V298" s="56">
        <f>IF(AC298="Cancelled",0,ROUND(P298*S298,2))</f>
        <v/>
      </c>
      <c r="W298" s="56" t="inlineStr">
        <is>
          <t>No</t>
        </is>
      </c>
      <c r="X298" s="56" t="n">
        <v>0</v>
      </c>
      <c r="Y298" s="56">
        <f>IF(AC298="Cancelled",0,T298+U298+V298+Q298+X298)</f>
        <v/>
      </c>
      <c r="Z298" s="56">
        <f>IF(AC298="Cancelled",-Q298,S298-Y298)</f>
        <v/>
      </c>
      <c r="AA298" s="56">
        <f>IF(OR(AC298="Cancelled",S298=0),0,Z298/S298)</f>
        <v/>
      </c>
      <c r="AB298" s="56">
        <f>IFERROR(IF(Q298=0,0,S298/Q298),0)</f>
        <v/>
      </c>
      <c r="AC298" s="56" t="inlineStr">
        <is>
          <t>Delivered</t>
        </is>
      </c>
      <c r="AD298" s="56">
        <f>IF(Z298&lt;=0,"Low Profit",IF(Z298&gt;=50,"HighProfit","Medium Profit"))</f>
        <v/>
      </c>
      <c r="AE298" s="56">
        <f>TEXT(B298,"mmmm")</f>
        <v/>
      </c>
    </row>
    <row r="299" ht="14.25" customHeight="1" s="57">
      <c r="A299" s="56" t="inlineStr">
        <is>
          <t>ORD-00377</t>
        </is>
      </c>
      <c r="B299" s="116" t="n">
        <v>45936</v>
      </c>
      <c r="C299" s="56" t="n">
        <v>2025</v>
      </c>
      <c r="D299" s="56" t="n">
        <v>10</v>
      </c>
      <c r="E299" s="56" t="inlineStr">
        <is>
          <t>Saudi Arabia</t>
        </is>
      </c>
      <c r="F299" s="56" t="inlineStr">
        <is>
          <t>Jeddah</t>
        </is>
      </c>
      <c r="G299" s="56" t="inlineStr">
        <is>
          <t>TikTok Ads</t>
        </is>
      </c>
      <c r="H299" s="56" t="inlineStr">
        <is>
          <t>Retargeting</t>
        </is>
      </c>
      <c r="I299" s="56" t="inlineStr">
        <is>
          <t>P009</t>
        </is>
      </c>
      <c r="J299" s="56" t="inlineStr">
        <is>
          <t>Car Vacuum Cleaner</t>
        </is>
      </c>
      <c r="K299" s="56" t="inlineStr">
        <is>
          <t>Automotive</t>
        </is>
      </c>
      <c r="L299" s="56" t="inlineStr">
        <is>
          <t>Dongguan Auto Tools</t>
        </is>
      </c>
      <c r="M299" s="56" t="n">
        <v>48.51</v>
      </c>
      <c r="N299" s="56" t="n">
        <v>14.89</v>
      </c>
      <c r="O299" s="56" t="n">
        <v>7.02</v>
      </c>
      <c r="P299" s="56" t="n">
        <v>0.03</v>
      </c>
      <c r="Q299" s="56" t="n">
        <v>22.81</v>
      </c>
      <c r="R299" s="56" t="n">
        <v>3</v>
      </c>
      <c r="S299" s="56">
        <f>IF(AC299="Cancelled",0,M299*R299)</f>
        <v/>
      </c>
      <c r="T299" s="56">
        <f>IF(AC299="Cancelled",0,N299*R299)</f>
        <v/>
      </c>
      <c r="U299" s="56">
        <f>IF(AC299="Cancelled",0,O299*R299)</f>
        <v/>
      </c>
      <c r="V299" s="56">
        <f>IF(AC299="Cancelled",0,ROUND(P299*S299,2))</f>
        <v/>
      </c>
      <c r="W299" s="56" t="inlineStr">
        <is>
          <t>No</t>
        </is>
      </c>
      <c r="X299" s="56" t="n">
        <v>0</v>
      </c>
      <c r="Y299" s="56">
        <f>IF(AC299="Cancelled",0,T299+U299+V299+Q299+X299)</f>
        <v/>
      </c>
      <c r="Z299" s="56">
        <f>IF(AC299="Cancelled",-Q299,S299-Y299)</f>
        <v/>
      </c>
      <c r="AA299" s="56">
        <f>IF(OR(AC299="Cancelled",S299=0),0,Z299/S299)</f>
        <v/>
      </c>
      <c r="AB299" s="56">
        <f>IFERROR(IF(Q299=0,0,S299/Q299),0)</f>
        <v/>
      </c>
      <c r="AC299" s="56" t="inlineStr">
        <is>
          <t>Delivered</t>
        </is>
      </c>
      <c r="AD299" s="56">
        <f>IF(Z299&lt;=0,"Low Profit",IF(Z299&gt;=50,"HighProfit","Medium Profit"))</f>
        <v/>
      </c>
      <c r="AE299" s="56">
        <f>TEXT(B299,"mmmm")</f>
        <v/>
      </c>
    </row>
    <row r="300" ht="14.25" customHeight="1" s="57">
      <c r="A300" s="56" t="inlineStr">
        <is>
          <t>ORD-00115</t>
        </is>
      </c>
      <c r="B300" s="116" t="n">
        <v>45937</v>
      </c>
      <c r="C300" s="56" t="n">
        <v>2025</v>
      </c>
      <c r="D300" s="56" t="n">
        <v>10</v>
      </c>
      <c r="E300" s="56" t="inlineStr">
        <is>
          <t>Oman</t>
        </is>
      </c>
      <c r="F300" s="56" t="inlineStr">
        <is>
          <t>Muscat</t>
        </is>
      </c>
      <c r="G300" s="56" t="inlineStr">
        <is>
          <t>Influencer</t>
        </is>
      </c>
      <c r="H300" s="56" t="inlineStr">
        <is>
          <t>Summer Sale</t>
        </is>
      </c>
      <c r="I300" s="56" t="inlineStr">
        <is>
          <t>P005</t>
        </is>
      </c>
      <c r="J300" s="56" t="inlineStr">
        <is>
          <t>Mini Printer</t>
        </is>
      </c>
      <c r="K300" s="56" t="inlineStr">
        <is>
          <t>Electronics</t>
        </is>
      </c>
      <c r="L300" s="56" t="inlineStr">
        <is>
          <t>Shenzhen Print Tech</t>
        </is>
      </c>
      <c r="M300" s="56" t="n">
        <v>57.44</v>
      </c>
      <c r="N300" s="56" t="n">
        <v>21.63</v>
      </c>
      <c r="O300" s="56" t="n">
        <v>7.98</v>
      </c>
      <c r="P300" s="56" t="n">
        <v>0.03</v>
      </c>
      <c r="Q300" s="56" t="n">
        <v>14.62</v>
      </c>
      <c r="R300" s="56" t="n">
        <v>3</v>
      </c>
      <c r="S300" s="56">
        <f>IF(AC300="Cancelled",0,M300*R300)</f>
        <v/>
      </c>
      <c r="T300" s="56">
        <f>IF(AC300="Cancelled",0,N300*R300)</f>
        <v/>
      </c>
      <c r="U300" s="56">
        <f>IF(AC300="Cancelled",0,O300*R300)</f>
        <v/>
      </c>
      <c r="V300" s="56">
        <f>IF(AC300="Cancelled",0,ROUND(P300*S300,2))</f>
        <v/>
      </c>
      <c r="W300" s="56" t="inlineStr">
        <is>
          <t>No</t>
        </is>
      </c>
      <c r="X300" s="56" t="n">
        <v>0</v>
      </c>
      <c r="Y300" s="56">
        <f>IF(AC300="Cancelled",0,T300+U300+V300+Q300+X300)</f>
        <v/>
      </c>
      <c r="Z300" s="56">
        <f>IF(AC300="Cancelled",-Q300,S300-Y300)</f>
        <v/>
      </c>
      <c r="AA300" s="56">
        <f>IF(OR(AC300="Cancelled",S300=0),0,Z300/S300)</f>
        <v/>
      </c>
      <c r="AB300" s="56">
        <f>IFERROR(IF(Q300=0,0,S300/Q300),0)</f>
        <v/>
      </c>
      <c r="AC300" s="56" t="inlineStr">
        <is>
          <t>Delivered</t>
        </is>
      </c>
      <c r="AD300" s="56">
        <f>IF(Z300&lt;=0,"Low Profit",IF(Z300&gt;=50,"HighProfit","Medium Profit"))</f>
        <v/>
      </c>
      <c r="AE300" s="56">
        <f>TEXT(B300,"mmmm")</f>
        <v/>
      </c>
    </row>
    <row r="301" ht="14.25" customHeight="1" s="57">
      <c r="A301" s="56" t="inlineStr">
        <is>
          <t>ORD-00139</t>
        </is>
      </c>
      <c r="B301" s="116" t="n">
        <v>45937</v>
      </c>
      <c r="C301" s="56" t="n">
        <v>2025</v>
      </c>
      <c r="D301" s="56" t="n">
        <v>10</v>
      </c>
      <c r="E301" s="56" t="inlineStr">
        <is>
          <t>Kuwait</t>
        </is>
      </c>
      <c r="F301" s="56" t="inlineStr">
        <is>
          <t>Kuwait City</t>
        </is>
      </c>
      <c r="G301" s="56" t="inlineStr">
        <is>
          <t>Meta Ads</t>
        </is>
      </c>
      <c r="H301" s="56" t="inlineStr">
        <is>
          <t>Bundle Promo</t>
        </is>
      </c>
      <c r="I301" s="56" t="inlineStr">
        <is>
          <t>P003</t>
        </is>
      </c>
      <c r="J301" s="56" t="inlineStr">
        <is>
          <t>LED Strip Lights</t>
        </is>
      </c>
      <c r="K301" s="56" t="inlineStr">
        <is>
          <t>Home Decor</t>
        </is>
      </c>
      <c r="L301" s="56" t="inlineStr">
        <is>
          <t>Yiwu Lighting Factory</t>
        </is>
      </c>
      <c r="M301" s="56" t="n">
        <v>27.98</v>
      </c>
      <c r="N301" s="56" t="n">
        <v>6.03</v>
      </c>
      <c r="O301" s="56" t="n">
        <v>3.33</v>
      </c>
      <c r="P301" s="56" t="n">
        <v>0.03</v>
      </c>
      <c r="Q301" s="56" t="n">
        <v>9.130000000000001</v>
      </c>
      <c r="R301" s="56" t="n">
        <v>1</v>
      </c>
      <c r="S301" s="56">
        <f>IF(AC301="Cancelled",0,M301*R301)</f>
        <v/>
      </c>
      <c r="T301" s="56">
        <f>IF(AC301="Cancelled",0,N301*R301)</f>
        <v/>
      </c>
      <c r="U301" s="56">
        <f>IF(AC301="Cancelled",0,O301*R301)</f>
        <v/>
      </c>
      <c r="V301" s="56">
        <f>IF(AC301="Cancelled",0,ROUND(P301*S301,2))</f>
        <v/>
      </c>
      <c r="W301" s="56" t="inlineStr">
        <is>
          <t>No</t>
        </is>
      </c>
      <c r="X301" s="56" t="n">
        <v>0</v>
      </c>
      <c r="Y301" s="56">
        <f>IF(AC301="Cancelled",0,T301+U301+V301+Q301+X301)</f>
        <v/>
      </c>
      <c r="Z301" s="56">
        <f>IF(AC301="Cancelled",-Q301,S301-Y301)</f>
        <v/>
      </c>
      <c r="AA301" s="56">
        <f>IF(OR(AC301="Cancelled",S301=0),0,Z301/S301)</f>
        <v/>
      </c>
      <c r="AB301" s="56">
        <f>IFERROR(IF(Q301=0,0,S301/Q301),0)</f>
        <v/>
      </c>
      <c r="AC301" s="56" t="inlineStr">
        <is>
          <t>Delivered</t>
        </is>
      </c>
      <c r="AD301" s="56">
        <f>IF(Z301&lt;=0,"Low Profit",IF(Z301&gt;=50,"HighProfit","Medium Profit"))</f>
        <v/>
      </c>
      <c r="AE301" s="56">
        <f>TEXT(B301,"mmmm")</f>
        <v/>
      </c>
    </row>
    <row r="302" ht="14.25" customHeight="1" s="57">
      <c r="A302" s="56" t="inlineStr">
        <is>
          <t>ORD-00306</t>
        </is>
      </c>
      <c r="B302" s="116" t="n">
        <v>45938</v>
      </c>
      <c r="C302" s="56" t="n">
        <v>2025</v>
      </c>
      <c r="D302" s="56" t="n">
        <v>10</v>
      </c>
      <c r="E302" s="56" t="inlineStr">
        <is>
          <t>Saudi Arabia</t>
        </is>
      </c>
      <c r="F302" s="56" t="inlineStr">
        <is>
          <t>Jeddah</t>
        </is>
      </c>
      <c r="G302" s="56" t="inlineStr">
        <is>
          <t>Influencer</t>
        </is>
      </c>
      <c r="H302" s="56" t="inlineStr">
        <is>
          <t>Bundle Promo</t>
        </is>
      </c>
      <c r="I302" s="56" t="inlineStr">
        <is>
          <t>P009</t>
        </is>
      </c>
      <c r="J302" s="56" t="inlineStr">
        <is>
          <t>Car Vacuum Cleaner</t>
        </is>
      </c>
      <c r="K302" s="56" t="inlineStr">
        <is>
          <t>Automotive</t>
        </is>
      </c>
      <c r="L302" s="56" t="inlineStr">
        <is>
          <t>Dongguan Auto Tools</t>
        </is>
      </c>
      <c r="M302" s="56" t="n">
        <v>46.89</v>
      </c>
      <c r="N302" s="56" t="n">
        <v>13.49</v>
      </c>
      <c r="O302" s="56" t="n">
        <v>7.37</v>
      </c>
      <c r="P302" s="56" t="n">
        <v>0.03</v>
      </c>
      <c r="Q302" s="56" t="n">
        <v>6.2</v>
      </c>
      <c r="R302" s="56" t="n">
        <v>2</v>
      </c>
      <c r="S302" s="56">
        <f>IF(AC302="Cancelled",0,M302*R302)</f>
        <v/>
      </c>
      <c r="T302" s="56">
        <f>IF(AC302="Cancelled",0,N302*R302)</f>
        <v/>
      </c>
      <c r="U302" s="56">
        <f>IF(AC302="Cancelled",0,O302*R302)</f>
        <v/>
      </c>
      <c r="V302" s="56">
        <f>IF(AC302="Cancelled",0,ROUND(P302*S302,2))</f>
        <v/>
      </c>
      <c r="W302" s="56" t="inlineStr">
        <is>
          <t>No</t>
        </is>
      </c>
      <c r="X302" s="56" t="n">
        <v>0</v>
      </c>
      <c r="Y302" s="56">
        <f>IF(AC302="Cancelled",0,T302+U302+V302+Q302+X302)</f>
        <v/>
      </c>
      <c r="Z302" s="56">
        <f>IF(AC302="Cancelled",-Q302,S302-Y302)</f>
        <v/>
      </c>
      <c r="AA302" s="56">
        <f>IF(OR(AC302="Cancelled",S302=0),0,Z302/S302)</f>
        <v/>
      </c>
      <c r="AB302" s="56">
        <f>IFERROR(IF(Q302=0,0,S302/Q302),0)</f>
        <v/>
      </c>
      <c r="AC302" s="56" t="inlineStr">
        <is>
          <t>Delivered</t>
        </is>
      </c>
      <c r="AD302" s="56">
        <f>IF(Z302&lt;=0,"Low Profit",IF(Z302&gt;=50,"HighProfit","Medium Profit"))</f>
        <v/>
      </c>
      <c r="AE302" s="56">
        <f>TEXT(B302,"mmmm")</f>
        <v/>
      </c>
    </row>
    <row r="303" ht="14.25" customHeight="1" s="57">
      <c r="A303" s="56" t="inlineStr">
        <is>
          <t>ORD-00062</t>
        </is>
      </c>
      <c r="B303" s="116" t="n">
        <v>45939</v>
      </c>
      <c r="C303" s="56" t="n">
        <v>2025</v>
      </c>
      <c r="D303" s="56" t="n">
        <v>10</v>
      </c>
      <c r="E303" s="56" t="inlineStr">
        <is>
          <t>Saudi Arabia</t>
        </is>
      </c>
      <c r="F303" s="56" t="inlineStr">
        <is>
          <t>Riyadh</t>
        </is>
      </c>
      <c r="G303" s="56" t="inlineStr">
        <is>
          <t>TikTok Ads</t>
        </is>
      </c>
      <c r="H303" s="56" t="inlineStr">
        <is>
          <t>Bundle Promo</t>
        </is>
      </c>
      <c r="I303" s="56" t="inlineStr">
        <is>
          <t>P006</t>
        </is>
      </c>
      <c r="J303" s="56" t="inlineStr">
        <is>
          <t>Posture Corrector</t>
        </is>
      </c>
      <c r="K303" s="56" t="inlineStr">
        <is>
          <t>Fitness</t>
        </is>
      </c>
      <c r="L303" s="56" t="inlineStr">
        <is>
          <t>Hangzhou Health Gear</t>
        </is>
      </c>
      <c r="M303" s="56" t="n">
        <v>34.8</v>
      </c>
      <c r="N303" s="56" t="n">
        <v>9.449999999999999</v>
      </c>
      <c r="O303" s="56" t="n">
        <v>4.36</v>
      </c>
      <c r="P303" s="56" t="n">
        <v>0.03</v>
      </c>
      <c r="Q303" s="56" t="n">
        <v>2.63</v>
      </c>
      <c r="R303" s="56" t="n">
        <v>1</v>
      </c>
      <c r="S303" s="56">
        <f>IF(AC303="Cancelled",0,M303*R303)</f>
        <v/>
      </c>
      <c r="T303" s="56">
        <f>IF(AC303="Cancelled",0,N303*R303)</f>
        <v/>
      </c>
      <c r="U303" s="56">
        <f>IF(AC303="Cancelled",0,O303*R303)</f>
        <v/>
      </c>
      <c r="V303" s="56">
        <f>IF(AC303="Cancelled",0,ROUND(P303*S303,2))</f>
        <v/>
      </c>
      <c r="W303" s="56" t="inlineStr">
        <is>
          <t>No</t>
        </is>
      </c>
      <c r="X303" s="56" t="n">
        <v>0</v>
      </c>
      <c r="Y303" s="56">
        <f>IF(AC303="Cancelled",0,T303+U303+V303+Q303+X303)</f>
        <v/>
      </c>
      <c r="Z303" s="56">
        <f>IF(AC303="Cancelled",-Q303,S303-Y303)</f>
        <v/>
      </c>
      <c r="AA303" s="56">
        <f>IF(OR(AC303="Cancelled",S303=0),0,Z303/S303)</f>
        <v/>
      </c>
      <c r="AB303" s="56">
        <f>IFERROR(IF(Q303=0,0,S303/Q303),0)</f>
        <v/>
      </c>
      <c r="AC303" s="56" t="inlineStr">
        <is>
          <t>Delivered</t>
        </is>
      </c>
      <c r="AD303" s="56">
        <f>IF(Z303&lt;=0,"Low Profit",IF(Z303&gt;=50,"HighProfit","Medium Profit"))</f>
        <v/>
      </c>
      <c r="AE303" s="56">
        <f>TEXT(B303,"mmmm")</f>
        <v/>
      </c>
    </row>
    <row r="304" ht="14.25" customHeight="1" s="57">
      <c r="A304" s="56" t="inlineStr">
        <is>
          <t>ORD-00479</t>
        </is>
      </c>
      <c r="B304" s="116" t="n">
        <v>45940</v>
      </c>
      <c r="C304" s="56" t="n">
        <v>2025</v>
      </c>
      <c r="D304" s="56" t="n">
        <v>10</v>
      </c>
      <c r="E304" s="56" t="inlineStr">
        <is>
          <t>Qatar</t>
        </is>
      </c>
      <c r="F304" s="56" t="inlineStr">
        <is>
          <t>Doha</t>
        </is>
      </c>
      <c r="G304" s="56" t="inlineStr">
        <is>
          <t>Organic Search</t>
        </is>
      </c>
      <c r="H304" s="56" t="inlineStr">
        <is>
          <t>Bundle Promo</t>
        </is>
      </c>
      <c r="I304" s="56" t="inlineStr">
        <is>
          <t>P009</t>
        </is>
      </c>
      <c r="J304" s="56" t="inlineStr">
        <is>
          <t>Car Vacuum Cleaner</t>
        </is>
      </c>
      <c r="K304" s="56" t="inlineStr">
        <is>
          <t>Automotive</t>
        </is>
      </c>
      <c r="L304" s="56" t="inlineStr">
        <is>
          <t>Dongguan Auto Tools</t>
        </is>
      </c>
      <c r="M304" s="56" t="n">
        <v>49.25</v>
      </c>
      <c r="N304" s="56" t="n">
        <v>13.43</v>
      </c>
      <c r="O304" s="56" t="n">
        <v>7.47</v>
      </c>
      <c r="P304" s="56" t="n">
        <v>0.03</v>
      </c>
      <c r="Q304" s="56" t="n">
        <v>0</v>
      </c>
      <c r="R304" s="56" t="n">
        <v>2</v>
      </c>
      <c r="S304" s="56">
        <f>IF(AC304="Cancelled",0,M304*R304)</f>
        <v/>
      </c>
      <c r="T304" s="56">
        <f>IF(AC304="Cancelled",0,N304*R304)</f>
        <v/>
      </c>
      <c r="U304" s="56">
        <f>IF(AC304="Cancelled",0,O304*R304)</f>
        <v/>
      </c>
      <c r="V304" s="56">
        <f>IF(AC304="Cancelled",0,ROUND(P304*S304,2))</f>
        <v/>
      </c>
      <c r="W304" s="56" t="inlineStr">
        <is>
          <t>No</t>
        </is>
      </c>
      <c r="X304" s="56" t="n">
        <v>0</v>
      </c>
      <c r="Y304" s="56">
        <f>IF(AC304="Cancelled",0,T304+U304+V304+Q304+X304)</f>
        <v/>
      </c>
      <c r="Z304" s="56">
        <f>IF(AC304="Cancelled",-Q304,S304-Y304)</f>
        <v/>
      </c>
      <c r="AA304" s="56">
        <f>IF(OR(AC304="Cancelled",S304=0),0,Z304/S304)</f>
        <v/>
      </c>
      <c r="AB304" s="56">
        <f>IFERROR(IF(Q304=0,0,S304/Q304),0)</f>
        <v/>
      </c>
      <c r="AC304" s="56" t="inlineStr">
        <is>
          <t>Delivered</t>
        </is>
      </c>
      <c r="AD304" s="56">
        <f>IF(Z304&lt;=0,"Low Profit",IF(Z304&gt;=50,"HighProfit","Medium Profit"))</f>
        <v/>
      </c>
      <c r="AE304" s="56">
        <f>TEXT(B304,"mmmm")</f>
        <v/>
      </c>
    </row>
    <row r="305" ht="14.25" customHeight="1" s="57">
      <c r="A305" s="56" t="inlineStr">
        <is>
          <t>ORD-00202</t>
        </is>
      </c>
      <c r="B305" s="116" t="n">
        <v>45943</v>
      </c>
      <c r="C305" s="56" t="n">
        <v>2025</v>
      </c>
      <c r="D305" s="56" t="n">
        <v>10</v>
      </c>
      <c r="E305" s="56" t="inlineStr">
        <is>
          <t>UAE</t>
        </is>
      </c>
      <c r="F305" s="56" t="inlineStr">
        <is>
          <t>Dubai</t>
        </is>
      </c>
      <c r="G305" s="56" t="inlineStr">
        <is>
          <t>Meta Ads</t>
        </is>
      </c>
      <c r="H305" s="56" t="inlineStr">
        <is>
          <t>New Creative A/B</t>
        </is>
      </c>
      <c r="I305" s="56" t="inlineStr">
        <is>
          <t>P001</t>
        </is>
      </c>
      <c r="J305" s="56" t="inlineStr">
        <is>
          <t>Wireless Earbuds</t>
        </is>
      </c>
      <c r="K305" s="56" t="inlineStr">
        <is>
          <t>Electronics</t>
        </is>
      </c>
      <c r="L305" s="56" t="inlineStr">
        <is>
          <t>Shenzhen Audio Co.</t>
        </is>
      </c>
      <c r="M305" s="56" t="n">
        <v>39</v>
      </c>
      <c r="N305" s="56" t="n">
        <v>8.58</v>
      </c>
      <c r="O305" s="56" t="n">
        <v>3.72</v>
      </c>
      <c r="P305" s="56" t="n">
        <v>0.03</v>
      </c>
      <c r="Q305" s="56" t="n">
        <v>18.54</v>
      </c>
      <c r="R305" s="56" t="n">
        <v>2</v>
      </c>
      <c r="S305" s="56">
        <f>IF(AC305="Cancelled",0,M305*R305)</f>
        <v/>
      </c>
      <c r="T305" s="56">
        <f>IF(AC305="Cancelled",0,N305*R305)</f>
        <v/>
      </c>
      <c r="U305" s="56">
        <f>IF(AC305="Cancelled",0,O305*R305)</f>
        <v/>
      </c>
      <c r="V305" s="56">
        <f>IF(AC305="Cancelled",0,ROUND(P305*S305,2))</f>
        <v/>
      </c>
      <c r="W305" s="56" t="inlineStr">
        <is>
          <t>Yes</t>
        </is>
      </c>
      <c r="X305" s="56" t="n">
        <v>48.77</v>
      </c>
      <c r="Y305" s="56">
        <f>IF(AC305="Cancelled",0,T305+U305+V305+Q305+X305)</f>
        <v/>
      </c>
      <c r="Z305" s="56">
        <f>IF(AC305="Cancelled",-Q305,S305-Y305)</f>
        <v/>
      </c>
      <c r="AA305" s="56">
        <f>IF(OR(AC305="Cancelled",S305=0),0,Z305/S305)</f>
        <v/>
      </c>
      <c r="AB305" s="56">
        <f>IFERROR(IF(Q305=0,0,S305/Q305),0)</f>
        <v/>
      </c>
      <c r="AC305" s="56" t="inlineStr">
        <is>
          <t>Refunded</t>
        </is>
      </c>
      <c r="AD305" s="56">
        <f>IF(Z305&lt;=0,"Low Profit",IF(Z305&gt;=50,"HighProfit","Medium Profit"))</f>
        <v/>
      </c>
      <c r="AE305" s="56">
        <f>TEXT(B305,"mmmm")</f>
        <v/>
      </c>
    </row>
    <row r="306" ht="14.25" customHeight="1" s="57">
      <c r="A306" s="56" t="inlineStr">
        <is>
          <t>ORD-00028</t>
        </is>
      </c>
      <c r="B306" s="116" t="n">
        <v>45944</v>
      </c>
      <c r="C306" s="56" t="n">
        <v>2025</v>
      </c>
      <c r="D306" s="56" t="n">
        <v>10</v>
      </c>
      <c r="E306" s="56" t="inlineStr">
        <is>
          <t>Kuwait</t>
        </is>
      </c>
      <c r="F306" s="56" t="inlineStr">
        <is>
          <t>Kuwait City</t>
        </is>
      </c>
      <c r="G306" s="56" t="inlineStr">
        <is>
          <t>TikTok Ads</t>
        </is>
      </c>
      <c r="H306" s="56" t="inlineStr">
        <is>
          <t>New Creative A/B</t>
        </is>
      </c>
      <c r="I306" s="56" t="inlineStr">
        <is>
          <t>P009</t>
        </is>
      </c>
      <c r="J306" s="56" t="inlineStr">
        <is>
          <t>Car Vacuum Cleaner</t>
        </is>
      </c>
      <c r="K306" s="56" t="inlineStr">
        <is>
          <t>Automotive</t>
        </is>
      </c>
      <c r="L306" s="56" t="inlineStr">
        <is>
          <t>Dongguan Auto Tools</t>
        </is>
      </c>
      <c r="M306" s="56" t="n">
        <v>42</v>
      </c>
      <c r="N306" s="56" t="n">
        <v>15</v>
      </c>
      <c r="O306" s="56" t="n">
        <v>6.15</v>
      </c>
      <c r="P306" s="56" t="n">
        <v>0.03</v>
      </c>
      <c r="Q306" s="56" t="n">
        <v>14.04</v>
      </c>
      <c r="R306" s="56" t="n">
        <v>2</v>
      </c>
      <c r="S306" s="56">
        <f>IF(AC306="Cancelled",0,M306*R306)</f>
        <v/>
      </c>
      <c r="T306" s="56">
        <f>IF(AC306="Cancelled",0,N306*R306)</f>
        <v/>
      </c>
      <c r="U306" s="56">
        <f>IF(AC306="Cancelled",0,O306*R306)</f>
        <v/>
      </c>
      <c r="V306" s="56">
        <f>IF(AC306="Cancelled",0,ROUND(P306*S306,2))</f>
        <v/>
      </c>
      <c r="W306" s="56" t="inlineStr">
        <is>
          <t>No</t>
        </is>
      </c>
      <c r="X306" s="56" t="n">
        <v>0</v>
      </c>
      <c r="Y306" s="56">
        <f>IF(AC306="Cancelled",0,T306+U306+V306+Q306+X306)</f>
        <v/>
      </c>
      <c r="Z306" s="56">
        <f>IF(AC306="Cancelled",-Q306,S306-Y306)</f>
        <v/>
      </c>
      <c r="AA306" s="56">
        <f>IF(OR(AC306="Cancelled",S306=0),0,Z306/S306)</f>
        <v/>
      </c>
      <c r="AB306" s="56">
        <f>IFERROR(IF(Q306=0,0,S306/Q306),0)</f>
        <v/>
      </c>
      <c r="AC306" s="56" t="inlineStr">
        <is>
          <t>Delivered</t>
        </is>
      </c>
      <c r="AD306" s="56">
        <f>IF(Z306&lt;=0,"Low Profit",IF(Z306&gt;=50,"HighProfit","Medium Profit"))</f>
        <v/>
      </c>
      <c r="AE306" s="56">
        <f>TEXT(B306,"mmmm")</f>
        <v/>
      </c>
    </row>
    <row r="307" ht="14.25" customHeight="1" s="57">
      <c r="A307" s="56" t="inlineStr">
        <is>
          <t>ORD-00076</t>
        </is>
      </c>
      <c r="B307" s="116" t="n">
        <v>45947</v>
      </c>
      <c r="C307" s="56" t="n">
        <v>2025</v>
      </c>
      <c r="D307" s="56" t="n">
        <v>10</v>
      </c>
      <c r="E307" s="56" t="inlineStr">
        <is>
          <t>UAE</t>
        </is>
      </c>
      <c r="F307" s="56" t="inlineStr">
        <is>
          <t>Sharjah</t>
        </is>
      </c>
      <c r="G307" s="56" t="inlineStr">
        <is>
          <t>TikTok Ads</t>
        </is>
      </c>
      <c r="H307" s="56" t="inlineStr">
        <is>
          <t>Launch Test</t>
        </is>
      </c>
      <c r="I307" s="56" t="inlineStr">
        <is>
          <t>P009</t>
        </is>
      </c>
      <c r="J307" s="56" t="inlineStr">
        <is>
          <t>Car Vacuum Cleaner</t>
        </is>
      </c>
      <c r="K307" s="56" t="inlineStr">
        <is>
          <t>Automotive</t>
        </is>
      </c>
      <c r="L307" s="56" t="inlineStr">
        <is>
          <t>Dongguan Auto Tools</t>
        </is>
      </c>
      <c r="M307" s="56" t="n">
        <v>49.59</v>
      </c>
      <c r="N307" s="56" t="n">
        <v>14.68</v>
      </c>
      <c r="O307" s="56" t="n">
        <v>6.35</v>
      </c>
      <c r="P307" s="56" t="n">
        <v>0.03</v>
      </c>
      <c r="Q307" s="56" t="n">
        <v>20.57</v>
      </c>
      <c r="R307" s="56" t="n">
        <v>2</v>
      </c>
      <c r="S307" s="56">
        <f>IF(AC307="Cancelled",0,M307*R307)</f>
        <v/>
      </c>
      <c r="T307" s="56">
        <f>IF(AC307="Cancelled",0,N307*R307)</f>
        <v/>
      </c>
      <c r="U307" s="56">
        <f>IF(AC307="Cancelled",0,O307*R307)</f>
        <v/>
      </c>
      <c r="V307" s="56">
        <f>IF(AC307="Cancelled",0,ROUND(P307*S307,2))</f>
        <v/>
      </c>
      <c r="W307" s="56" t="inlineStr">
        <is>
          <t>No</t>
        </is>
      </c>
      <c r="X307" s="56" t="n">
        <v>0</v>
      </c>
      <c r="Y307" s="56">
        <f>IF(AC307="Cancelled",0,T307+U307+V307+Q307+X307)</f>
        <v/>
      </c>
      <c r="Z307" s="56">
        <f>IF(AC307="Cancelled",-Q307,S307-Y307)</f>
        <v/>
      </c>
      <c r="AA307" s="56">
        <f>IF(OR(AC307="Cancelled",S307=0),0,Z307/S307)</f>
        <v/>
      </c>
      <c r="AB307" s="56">
        <f>IFERROR(IF(Q307=0,0,S307/Q307),0)</f>
        <v/>
      </c>
      <c r="AC307" s="56" t="inlineStr">
        <is>
          <t>Delivered</t>
        </is>
      </c>
      <c r="AD307" s="56">
        <f>IF(Z307&lt;=0,"Low Profit",IF(Z307&gt;=50,"HighProfit","Medium Profit"))</f>
        <v/>
      </c>
      <c r="AE307" s="56">
        <f>TEXT(B307,"mmmm")</f>
        <v/>
      </c>
    </row>
    <row r="308" ht="14.25" customHeight="1" s="57">
      <c r="A308" s="56" t="inlineStr">
        <is>
          <t>ORD-00318</t>
        </is>
      </c>
      <c r="B308" s="116" t="n">
        <v>45949</v>
      </c>
      <c r="C308" s="56" t="n">
        <v>2025</v>
      </c>
      <c r="D308" s="56" t="n">
        <v>10</v>
      </c>
      <c r="E308" s="56" t="inlineStr">
        <is>
          <t>Qatar</t>
        </is>
      </c>
      <c r="F308" s="56" t="inlineStr">
        <is>
          <t>Doha</t>
        </is>
      </c>
      <c r="G308" s="56" t="inlineStr">
        <is>
          <t>Meta Ads</t>
        </is>
      </c>
      <c r="H308" s="56" t="inlineStr">
        <is>
          <t>Launch Test</t>
        </is>
      </c>
      <c r="I308" s="56" t="inlineStr">
        <is>
          <t>P003</t>
        </is>
      </c>
      <c r="J308" s="56" t="inlineStr">
        <is>
          <t>LED Strip Lights</t>
        </is>
      </c>
      <c r="K308" s="56" t="inlineStr">
        <is>
          <t>Home Decor</t>
        </is>
      </c>
      <c r="L308" s="56" t="inlineStr">
        <is>
          <t>Yiwu Lighting Factory</t>
        </is>
      </c>
      <c r="M308" s="56" t="n">
        <v>27.67</v>
      </c>
      <c r="N308" s="56" t="n">
        <v>6.27</v>
      </c>
      <c r="O308" s="56" t="n">
        <v>3.82</v>
      </c>
      <c r="P308" s="56" t="n">
        <v>0.03</v>
      </c>
      <c r="Q308" s="56" t="n">
        <v>20.76</v>
      </c>
      <c r="R308" s="56" t="n">
        <v>2</v>
      </c>
      <c r="S308" s="56">
        <f>IF(AC308="Cancelled",0,M308*R308)</f>
        <v/>
      </c>
      <c r="T308" s="56">
        <f>IF(AC308="Cancelled",0,N308*R308)</f>
        <v/>
      </c>
      <c r="U308" s="56">
        <f>IF(AC308="Cancelled",0,O308*R308)</f>
        <v/>
      </c>
      <c r="V308" s="56">
        <f>IF(AC308="Cancelled",0,ROUND(P308*S308,2))</f>
        <v/>
      </c>
      <c r="W308" s="56" t="inlineStr">
        <is>
          <t>No</t>
        </is>
      </c>
      <c r="X308" s="56" t="n">
        <v>0</v>
      </c>
      <c r="Y308" s="56">
        <f>IF(AC308="Cancelled",0,T308+U308+V308+Q308+X308)</f>
        <v/>
      </c>
      <c r="Z308" s="56">
        <f>IF(AC308="Cancelled",-Q308,S308-Y308)</f>
        <v/>
      </c>
      <c r="AA308" s="56">
        <f>IF(OR(AC308="Cancelled",S308=0),0,Z308/S308)</f>
        <v/>
      </c>
      <c r="AB308" s="56">
        <f>IFERROR(IF(Q308=0,0,S308/Q308),0)</f>
        <v/>
      </c>
      <c r="AC308" s="56" t="inlineStr">
        <is>
          <t>Delivered</t>
        </is>
      </c>
      <c r="AD308" s="56">
        <f>IF(Z308&lt;=0,"Low Profit",IF(Z308&gt;=50,"HighProfit","Medium Profit"))</f>
        <v/>
      </c>
      <c r="AE308" s="56">
        <f>TEXT(B308,"mmmm")</f>
        <v/>
      </c>
    </row>
    <row r="309" ht="14.25" customHeight="1" s="57">
      <c r="A309" s="56" t="inlineStr">
        <is>
          <t>ORD-00001</t>
        </is>
      </c>
      <c r="B309" s="116" t="n">
        <v>45950</v>
      </c>
      <c r="C309" s="56" t="n">
        <v>2025</v>
      </c>
      <c r="D309" s="56" t="n">
        <v>10</v>
      </c>
      <c r="E309" s="56" t="inlineStr">
        <is>
          <t>Oman</t>
        </is>
      </c>
      <c r="F309" s="56" t="inlineStr">
        <is>
          <t>Muscat</t>
        </is>
      </c>
      <c r="G309" s="56" t="inlineStr">
        <is>
          <t>Google Ads</t>
        </is>
      </c>
      <c r="H309" s="56" t="inlineStr">
        <is>
          <t>New Creative A/B</t>
        </is>
      </c>
      <c r="I309" s="56" t="inlineStr">
        <is>
          <t>P001</t>
        </is>
      </c>
      <c r="J309" s="56" t="inlineStr">
        <is>
          <t>Wireless Earbuds</t>
        </is>
      </c>
      <c r="K309" s="56" t="inlineStr">
        <is>
          <t>Electronics</t>
        </is>
      </c>
      <c r="L309" s="56" t="inlineStr">
        <is>
          <t>Shenzhen Audio Co.</t>
        </is>
      </c>
      <c r="M309" s="56" t="n">
        <v>43.15</v>
      </c>
      <c r="N309" s="56" t="n">
        <v>8.99</v>
      </c>
      <c r="O309" s="56" t="n">
        <v>4.25</v>
      </c>
      <c r="P309" s="56" t="n">
        <v>0.03</v>
      </c>
      <c r="Q309" s="56" t="n">
        <v>5.04</v>
      </c>
      <c r="R309" s="56" t="n">
        <v>2</v>
      </c>
      <c r="S309" s="56">
        <f>IF(AC309="Cancelled",0,M309*R309)</f>
        <v/>
      </c>
      <c r="T309" s="56">
        <f>IF(AC309="Cancelled",0,N309*R309)</f>
        <v/>
      </c>
      <c r="U309" s="56">
        <f>IF(AC309="Cancelled",0,O309*R309)</f>
        <v/>
      </c>
      <c r="V309" s="56">
        <f>IF(AC309="Cancelled",0,ROUND(P309*S309,2))</f>
        <v/>
      </c>
      <c r="W309" s="56" t="inlineStr">
        <is>
          <t>No</t>
        </is>
      </c>
      <c r="X309" s="56" t="n">
        <v>0</v>
      </c>
      <c r="Y309" s="56">
        <f>IF(AC309="Cancelled",0,T309+U309+V309+Q309+X309)</f>
        <v/>
      </c>
      <c r="Z309" s="56">
        <f>IF(AC309="Cancelled",-Q309,S309-Y309)</f>
        <v/>
      </c>
      <c r="AA309" s="56">
        <f>IF(OR(AC309="Cancelled",S309=0),0,Z309/S309)</f>
        <v/>
      </c>
      <c r="AB309" s="56">
        <f>IFERROR(IF(Q309=0,0,S309/Q309),0)</f>
        <v/>
      </c>
      <c r="AC309" s="56" t="inlineStr">
        <is>
          <t>Delivered</t>
        </is>
      </c>
      <c r="AD309" s="56">
        <f>IF(Z309&lt;=0,"Low Profit",IF(Z309&gt;=50,"HighProfit","Medium Profit"))</f>
        <v/>
      </c>
      <c r="AE309" s="56">
        <f>TEXT(B309,"mmmm")</f>
        <v/>
      </c>
    </row>
    <row r="310" ht="14.25" customHeight="1" s="57">
      <c r="A310" s="56" t="inlineStr">
        <is>
          <t>ORD-00024</t>
        </is>
      </c>
      <c r="B310" s="116" t="n">
        <v>45950</v>
      </c>
      <c r="C310" s="56" t="n">
        <v>2025</v>
      </c>
      <c r="D310" s="56" t="n">
        <v>10</v>
      </c>
      <c r="E310" s="56" t="inlineStr">
        <is>
          <t>UAE</t>
        </is>
      </c>
      <c r="F310" s="56" t="inlineStr">
        <is>
          <t>Dubai</t>
        </is>
      </c>
      <c r="G310" s="56" t="inlineStr">
        <is>
          <t>Meta Ads</t>
        </is>
      </c>
      <c r="H310" s="56" t="inlineStr">
        <is>
          <t>Summer Sale</t>
        </is>
      </c>
      <c r="I310" s="56" t="inlineStr">
        <is>
          <t>P008</t>
        </is>
      </c>
      <c r="J310" s="56" t="inlineStr">
        <is>
          <t>Portable Blender</t>
        </is>
      </c>
      <c r="K310" s="56" t="inlineStr">
        <is>
          <t>Kitchen</t>
        </is>
      </c>
      <c r="L310" s="56" t="inlineStr">
        <is>
          <t>Foshan Appliances</t>
        </is>
      </c>
      <c r="M310" s="56" t="n">
        <v>54.76</v>
      </c>
      <c r="N310" s="56" t="n">
        <v>15.6</v>
      </c>
      <c r="O310" s="56" t="n">
        <v>6.8</v>
      </c>
      <c r="P310" s="56" t="n">
        <v>0.03</v>
      </c>
      <c r="Q310" s="56" t="n">
        <v>12.72</v>
      </c>
      <c r="R310" s="56" t="n">
        <v>2</v>
      </c>
      <c r="S310" s="56">
        <f>IF(AC310="Cancelled",0,M310*R310)</f>
        <v/>
      </c>
      <c r="T310" s="56">
        <f>IF(AC310="Cancelled",0,N310*R310)</f>
        <v/>
      </c>
      <c r="U310" s="56">
        <f>IF(AC310="Cancelled",0,O310*R310)</f>
        <v/>
      </c>
      <c r="V310" s="56">
        <f>IF(AC310="Cancelled",0,ROUND(P310*S310,2))</f>
        <v/>
      </c>
      <c r="W310" s="56" t="inlineStr">
        <is>
          <t>No</t>
        </is>
      </c>
      <c r="X310" s="56" t="n">
        <v>0</v>
      </c>
      <c r="Y310" s="56">
        <f>IF(AC310="Cancelled",0,T310+U310+V310+Q310+X310)</f>
        <v/>
      </c>
      <c r="Z310" s="56">
        <f>IF(AC310="Cancelled",-Q310,S310-Y310)</f>
        <v/>
      </c>
      <c r="AA310" s="56">
        <f>IF(OR(AC310="Cancelled",S310=0),0,Z310/S310)</f>
        <v/>
      </c>
      <c r="AB310" s="56">
        <f>IFERROR(IF(Q310=0,0,S310/Q310),0)</f>
        <v/>
      </c>
      <c r="AC310" s="56" t="inlineStr">
        <is>
          <t>Delivered</t>
        </is>
      </c>
      <c r="AD310" s="56">
        <f>IF(Z310&lt;=0,"Low Profit",IF(Z310&gt;=50,"HighProfit","Medium Profit"))</f>
        <v/>
      </c>
      <c r="AE310" s="56">
        <f>TEXT(B310,"mmmm")</f>
        <v/>
      </c>
    </row>
    <row r="311" ht="14.25" customHeight="1" s="57">
      <c r="A311" s="56" t="inlineStr">
        <is>
          <t>ORD-00122</t>
        </is>
      </c>
      <c r="B311" s="116" t="n">
        <v>45950</v>
      </c>
      <c r="C311" s="56" t="n">
        <v>2025</v>
      </c>
      <c r="D311" s="56" t="n">
        <v>10</v>
      </c>
      <c r="E311" s="56" t="inlineStr">
        <is>
          <t>UAE</t>
        </is>
      </c>
      <c r="F311" s="56" t="inlineStr">
        <is>
          <t>Abu Dhabi</t>
        </is>
      </c>
      <c r="G311" s="56" t="inlineStr">
        <is>
          <t>TikTok Ads</t>
        </is>
      </c>
      <c r="H311" s="56" t="inlineStr">
        <is>
          <t>New Creative A/B</t>
        </is>
      </c>
      <c r="I311" s="56" t="inlineStr">
        <is>
          <t>P003</t>
        </is>
      </c>
      <c r="J311" s="56" t="inlineStr">
        <is>
          <t>LED Strip Lights</t>
        </is>
      </c>
      <c r="K311" s="56" t="inlineStr">
        <is>
          <t>Home Decor</t>
        </is>
      </c>
      <c r="L311" s="56" t="inlineStr">
        <is>
          <t>Yiwu Lighting Factory</t>
        </is>
      </c>
      <c r="M311" s="56" t="n">
        <v>26.34</v>
      </c>
      <c r="N311" s="56" t="n">
        <v>6.22</v>
      </c>
      <c r="O311" s="56" t="n">
        <v>3.46</v>
      </c>
      <c r="P311" s="56" t="n">
        <v>0.03</v>
      </c>
      <c r="Q311" s="56" t="n">
        <v>7.78</v>
      </c>
      <c r="R311" s="56" t="n">
        <v>2</v>
      </c>
      <c r="S311" s="56">
        <f>IF(AC311="Cancelled",0,M311*R311)</f>
        <v/>
      </c>
      <c r="T311" s="56">
        <f>IF(AC311="Cancelled",0,N311*R311)</f>
        <v/>
      </c>
      <c r="U311" s="56">
        <f>IF(AC311="Cancelled",0,O311*R311)</f>
        <v/>
      </c>
      <c r="V311" s="56">
        <f>IF(AC311="Cancelled",0,ROUND(P311*S311,2))</f>
        <v/>
      </c>
      <c r="W311" s="56" t="inlineStr">
        <is>
          <t>No</t>
        </is>
      </c>
      <c r="X311" s="56" t="n">
        <v>0</v>
      </c>
      <c r="Y311" s="56">
        <f>IF(AC311="Cancelled",0,T311+U311+V311+Q311+X311)</f>
        <v/>
      </c>
      <c r="Z311" s="56">
        <f>IF(AC311="Cancelled",-Q311,S311-Y311)</f>
        <v/>
      </c>
      <c r="AA311" s="56">
        <f>IF(OR(AC311="Cancelled",S311=0),0,Z311/S311)</f>
        <v/>
      </c>
      <c r="AB311" s="56">
        <f>IFERROR(IF(Q311=0,0,S311/Q311),0)</f>
        <v/>
      </c>
      <c r="AC311" s="56" t="inlineStr">
        <is>
          <t>Delivered</t>
        </is>
      </c>
      <c r="AD311" s="56">
        <f>IF(Z311&lt;=0,"Low Profit",IF(Z311&gt;=50,"HighProfit","Medium Profit"))</f>
        <v/>
      </c>
      <c r="AE311" s="56">
        <f>TEXT(B311,"mmmm")</f>
        <v/>
      </c>
    </row>
    <row r="312" ht="14.25" customHeight="1" s="57">
      <c r="A312" s="56" t="inlineStr">
        <is>
          <t>ORD-00394</t>
        </is>
      </c>
      <c r="B312" s="116" t="n">
        <v>45950</v>
      </c>
      <c r="C312" s="56" t="n">
        <v>2025</v>
      </c>
      <c r="D312" s="56" t="n">
        <v>10</v>
      </c>
      <c r="E312" s="56" t="inlineStr">
        <is>
          <t>Oman</t>
        </is>
      </c>
      <c r="F312" s="56" t="inlineStr">
        <is>
          <t>Muscat</t>
        </is>
      </c>
      <c r="G312" s="56" t="inlineStr">
        <is>
          <t>Meta Ads</t>
        </is>
      </c>
      <c r="H312" s="56" t="inlineStr">
        <is>
          <t>New Creative A/B</t>
        </is>
      </c>
      <c r="I312" s="56" t="inlineStr">
        <is>
          <t>P002</t>
        </is>
      </c>
      <c r="J312" s="56" t="inlineStr">
        <is>
          <t>Phone Case</t>
        </is>
      </c>
      <c r="K312" s="56" t="inlineStr">
        <is>
          <t>Accessories</t>
        </is>
      </c>
      <c r="L312" s="56" t="inlineStr">
        <is>
          <t>Guangzhou Cases Ltd.</t>
        </is>
      </c>
      <c r="M312" s="56" t="n">
        <v>16.52</v>
      </c>
      <c r="N312" s="56" t="n">
        <v>2.09</v>
      </c>
      <c r="O312" s="56" t="n">
        <v>2.06</v>
      </c>
      <c r="P312" s="56" t="n">
        <v>0.03</v>
      </c>
      <c r="Q312" s="56" t="n">
        <v>7.93</v>
      </c>
      <c r="R312" s="56" t="n">
        <v>3</v>
      </c>
      <c r="S312" s="56">
        <f>IF(AC312="Cancelled",0,M312*R312)</f>
        <v/>
      </c>
      <c r="T312" s="56">
        <f>IF(AC312="Cancelled",0,N312*R312)</f>
        <v/>
      </c>
      <c r="U312" s="56">
        <f>IF(AC312="Cancelled",0,O312*R312)</f>
        <v/>
      </c>
      <c r="V312" s="56">
        <f>IF(AC312="Cancelled",0,ROUND(P312*S312,2))</f>
        <v/>
      </c>
      <c r="W312" s="56" t="inlineStr">
        <is>
          <t>No</t>
        </is>
      </c>
      <c r="X312" s="56" t="n">
        <v>0</v>
      </c>
      <c r="Y312" s="56">
        <f>IF(AC312="Cancelled",0,T312+U312+V312+Q312+X312)</f>
        <v/>
      </c>
      <c r="Z312" s="56">
        <f>IF(AC312="Cancelled",-Q312,S312-Y312)</f>
        <v/>
      </c>
      <c r="AA312" s="56">
        <f>IF(OR(AC312="Cancelled",S312=0),0,Z312/S312)</f>
        <v/>
      </c>
      <c r="AB312" s="56">
        <f>IFERROR(IF(Q312=0,0,S312/Q312),0)</f>
        <v/>
      </c>
      <c r="AC312" s="56" t="inlineStr">
        <is>
          <t>Delivered</t>
        </is>
      </c>
      <c r="AD312" s="56">
        <f>IF(Z312&lt;=0,"Low Profit",IF(Z312&gt;=50,"HighProfit","Medium Profit"))</f>
        <v/>
      </c>
      <c r="AE312" s="56">
        <f>TEXT(B312,"mmmm")</f>
        <v/>
      </c>
    </row>
    <row r="313" ht="14.25" customHeight="1" s="57">
      <c r="A313" s="56" t="inlineStr">
        <is>
          <t>ORD-00437</t>
        </is>
      </c>
      <c r="B313" s="116" t="n">
        <v>45951</v>
      </c>
      <c r="C313" s="56" t="n">
        <v>2025</v>
      </c>
      <c r="D313" s="56" t="n">
        <v>10</v>
      </c>
      <c r="E313" s="56" t="inlineStr">
        <is>
          <t>Qatar</t>
        </is>
      </c>
      <c r="F313" s="56" t="inlineStr">
        <is>
          <t>Doha</t>
        </is>
      </c>
      <c r="G313" s="56" t="inlineStr">
        <is>
          <t>TikTok Ads</t>
        </is>
      </c>
      <c r="H313" s="56" t="inlineStr">
        <is>
          <t>Retargeting</t>
        </is>
      </c>
      <c r="I313" s="56" t="inlineStr">
        <is>
          <t>P010</t>
        </is>
      </c>
      <c r="J313" s="56" t="inlineStr">
        <is>
          <t>Smart Water Bottle</t>
        </is>
      </c>
      <c r="K313" s="56" t="inlineStr">
        <is>
          <t>Lifestyle</t>
        </is>
      </c>
      <c r="L313" s="56" t="inlineStr">
        <is>
          <t>Shenzhen Smart Home</t>
        </is>
      </c>
      <c r="M313" s="56" t="n">
        <v>29.92</v>
      </c>
      <c r="N313" s="56" t="n">
        <v>10.79</v>
      </c>
      <c r="O313" s="56" t="n">
        <v>3.97</v>
      </c>
      <c r="P313" s="56" t="n">
        <v>0.03</v>
      </c>
      <c r="Q313" s="56" t="n">
        <v>4.96</v>
      </c>
      <c r="R313" s="56" t="n">
        <v>1</v>
      </c>
      <c r="S313" s="56">
        <f>IF(AC313="Cancelled",0,M313*R313)</f>
        <v/>
      </c>
      <c r="T313" s="56">
        <f>IF(AC313="Cancelled",0,N313*R313)</f>
        <v/>
      </c>
      <c r="U313" s="56">
        <f>IF(AC313="Cancelled",0,O313*R313)</f>
        <v/>
      </c>
      <c r="V313" s="56">
        <f>IF(AC313="Cancelled",0,ROUND(P313*S313,2))</f>
        <v/>
      </c>
      <c r="W313" s="56" t="inlineStr">
        <is>
          <t>No</t>
        </is>
      </c>
      <c r="X313" s="56" t="n">
        <v>0</v>
      </c>
      <c r="Y313" s="56">
        <f>IF(AC313="Cancelled",0,T313+U313+V313+Q313+X313)</f>
        <v/>
      </c>
      <c r="Z313" s="56">
        <f>IF(AC313="Cancelled",-Q313,S313-Y313)</f>
        <v/>
      </c>
      <c r="AA313" s="56">
        <f>IF(OR(AC313="Cancelled",S313=0),0,Z313/S313)</f>
        <v/>
      </c>
      <c r="AB313" s="56">
        <f>IFERROR(IF(Q313=0,0,S313/Q313),0)</f>
        <v/>
      </c>
      <c r="AC313" s="56" t="inlineStr">
        <is>
          <t>Delivered</t>
        </is>
      </c>
      <c r="AD313" s="56">
        <f>IF(Z313&lt;=0,"Low Profit",IF(Z313&gt;=50,"HighProfit","Medium Profit"))</f>
        <v/>
      </c>
      <c r="AE313" s="56">
        <f>TEXT(B313,"mmmm")</f>
        <v/>
      </c>
    </row>
    <row r="314" ht="14.25" customHeight="1" s="57">
      <c r="A314" s="56" t="inlineStr">
        <is>
          <t>ORD-00086</t>
        </is>
      </c>
      <c r="B314" s="116" t="n">
        <v>45952</v>
      </c>
      <c r="C314" s="56" t="n">
        <v>2025</v>
      </c>
      <c r="D314" s="56" t="n">
        <v>10</v>
      </c>
      <c r="E314" s="56" t="inlineStr">
        <is>
          <t>UAE</t>
        </is>
      </c>
      <c r="F314" s="56" t="inlineStr">
        <is>
          <t>Dubai</t>
        </is>
      </c>
      <c r="G314" s="56" t="inlineStr">
        <is>
          <t>Organic Search</t>
        </is>
      </c>
      <c r="H314" s="56" t="inlineStr">
        <is>
          <t>Bundle Promo</t>
        </is>
      </c>
      <c r="I314" s="56" t="inlineStr">
        <is>
          <t>P010</t>
        </is>
      </c>
      <c r="J314" s="56" t="inlineStr">
        <is>
          <t>Smart Water Bottle</t>
        </is>
      </c>
      <c r="K314" s="56" t="inlineStr">
        <is>
          <t>Lifestyle</t>
        </is>
      </c>
      <c r="L314" s="56" t="inlineStr">
        <is>
          <t>Shenzhen Smart Home</t>
        </is>
      </c>
      <c r="M314" s="56" t="n">
        <v>31.18</v>
      </c>
      <c r="N314" s="56" t="n">
        <v>9.82</v>
      </c>
      <c r="O314" s="56" t="n">
        <v>3.68</v>
      </c>
      <c r="P314" s="56" t="n">
        <v>0.03</v>
      </c>
      <c r="Q314" s="56" t="n">
        <v>0</v>
      </c>
      <c r="R314" s="56" t="n">
        <v>1</v>
      </c>
      <c r="S314" s="56">
        <f>IF(AC314="Cancelled",0,M314*R314)</f>
        <v/>
      </c>
      <c r="T314" s="56">
        <f>IF(AC314="Cancelled",0,N314*R314)</f>
        <v/>
      </c>
      <c r="U314" s="56">
        <f>IF(AC314="Cancelled",0,O314*R314)</f>
        <v/>
      </c>
      <c r="V314" s="56">
        <f>IF(AC314="Cancelled",0,ROUND(P314*S314,2))</f>
        <v/>
      </c>
      <c r="W314" s="56" t="inlineStr">
        <is>
          <t>No</t>
        </is>
      </c>
      <c r="X314" s="56" t="n">
        <v>0</v>
      </c>
      <c r="Y314" s="56">
        <f>IF(AC314="Cancelled",0,T314+U314+V314+Q314+X314)</f>
        <v/>
      </c>
      <c r="Z314" s="56">
        <f>IF(AC314="Cancelled",-Q314,S314-Y314)</f>
        <v/>
      </c>
      <c r="AA314" s="56">
        <f>IF(OR(AC314="Cancelled",S314=0),0,Z314/S314)</f>
        <v/>
      </c>
      <c r="AB314" s="56">
        <f>IFERROR(IF(Q314=0,0,S314/Q314),0)</f>
        <v/>
      </c>
      <c r="AC314" s="56" t="inlineStr">
        <is>
          <t>Delivered</t>
        </is>
      </c>
      <c r="AD314" s="56">
        <f>IF(Z314&lt;=0,"Low Profit",IF(Z314&gt;=50,"HighProfit","Medium Profit"))</f>
        <v/>
      </c>
      <c r="AE314" s="56">
        <f>TEXT(B314,"mmmm")</f>
        <v/>
      </c>
    </row>
    <row r="315" ht="14.25" customHeight="1" s="57">
      <c r="A315" s="56" t="inlineStr">
        <is>
          <t>ORD-00168</t>
        </is>
      </c>
      <c r="B315" s="116" t="n">
        <v>45953</v>
      </c>
      <c r="C315" s="56" t="n">
        <v>2025</v>
      </c>
      <c r="D315" s="56" t="n">
        <v>10</v>
      </c>
      <c r="E315" s="56" t="inlineStr">
        <is>
          <t>UAE</t>
        </is>
      </c>
      <c r="F315" s="56" t="inlineStr">
        <is>
          <t>Abu Dhabi</t>
        </is>
      </c>
      <c r="G315" s="56" t="inlineStr">
        <is>
          <t>Google Ads</t>
        </is>
      </c>
      <c r="H315" s="56" t="inlineStr">
        <is>
          <t>Retargeting</t>
        </is>
      </c>
      <c r="I315" s="56" t="inlineStr">
        <is>
          <t>P006</t>
        </is>
      </c>
      <c r="J315" s="56" t="inlineStr">
        <is>
          <t>Posture Corrector</t>
        </is>
      </c>
      <c r="K315" s="56" t="inlineStr">
        <is>
          <t>Fitness</t>
        </is>
      </c>
      <c r="L315" s="56" t="inlineStr">
        <is>
          <t>Hangzhou Health Gear</t>
        </is>
      </c>
      <c r="M315" s="56" t="n">
        <v>34.78</v>
      </c>
      <c r="N315" s="56" t="n">
        <v>8.890000000000001</v>
      </c>
      <c r="O315" s="56" t="n">
        <v>4.35</v>
      </c>
      <c r="P315" s="56" t="n">
        <v>0.03</v>
      </c>
      <c r="Q315" s="56" t="n">
        <v>1.76</v>
      </c>
      <c r="R315" s="56" t="n">
        <v>1</v>
      </c>
      <c r="S315" s="56">
        <f>IF(AC315="Cancelled",0,M315*R315)</f>
        <v/>
      </c>
      <c r="T315" s="56">
        <f>IF(AC315="Cancelled",0,N315*R315)</f>
        <v/>
      </c>
      <c r="U315" s="56">
        <f>IF(AC315="Cancelled",0,O315*R315)</f>
        <v/>
      </c>
      <c r="V315" s="56">
        <f>IF(AC315="Cancelled",0,ROUND(P315*S315,2))</f>
        <v/>
      </c>
      <c r="W315" s="56" t="inlineStr">
        <is>
          <t>No</t>
        </is>
      </c>
      <c r="X315" s="56" t="n">
        <v>0</v>
      </c>
      <c r="Y315" s="56">
        <f>IF(AC315="Cancelled",0,T315+U315+V315+Q315+X315)</f>
        <v/>
      </c>
      <c r="Z315" s="56">
        <f>IF(AC315="Cancelled",-Q315,S315-Y315)</f>
        <v/>
      </c>
      <c r="AA315" s="56">
        <f>IF(OR(AC315="Cancelled",S315=0),0,Z315/S315)</f>
        <v/>
      </c>
      <c r="AB315" s="56">
        <f>IFERROR(IF(Q315=0,0,S315/Q315),0)</f>
        <v/>
      </c>
      <c r="AC315" s="56" t="inlineStr">
        <is>
          <t>Delivered</t>
        </is>
      </c>
      <c r="AD315" s="56">
        <f>IF(Z315&lt;=0,"Low Profit",IF(Z315&gt;=50,"HighProfit","Medium Profit"))</f>
        <v/>
      </c>
      <c r="AE315" s="56">
        <f>TEXT(B315,"mmmm")</f>
        <v/>
      </c>
    </row>
    <row r="316" ht="14.25" customHeight="1" s="57">
      <c r="A316" s="56" t="inlineStr">
        <is>
          <t>ORD-00361</t>
        </is>
      </c>
      <c r="B316" s="116" t="n">
        <v>45953</v>
      </c>
      <c r="C316" s="56" t="n">
        <v>2025</v>
      </c>
      <c r="D316" s="56" t="n">
        <v>10</v>
      </c>
      <c r="E316" s="56" t="inlineStr">
        <is>
          <t>UAE</t>
        </is>
      </c>
      <c r="F316" s="56" t="inlineStr">
        <is>
          <t>Sharjah</t>
        </is>
      </c>
      <c r="G316" s="56" t="inlineStr">
        <is>
          <t>Meta Ads</t>
        </is>
      </c>
      <c r="H316" s="56" t="inlineStr">
        <is>
          <t>Summer Sale</t>
        </is>
      </c>
      <c r="I316" s="56" t="inlineStr">
        <is>
          <t>P004</t>
        </is>
      </c>
      <c r="J316" s="56" t="inlineStr">
        <is>
          <t>Beauty Tool</t>
        </is>
      </c>
      <c r="K316" s="56" t="inlineStr">
        <is>
          <t>Beauty</t>
        </is>
      </c>
      <c r="L316" s="56" t="inlineStr">
        <is>
          <t>Ningbo Beauty Supply</t>
        </is>
      </c>
      <c r="M316" s="56" t="n">
        <v>29.27</v>
      </c>
      <c r="N316" s="56" t="n">
        <v>6.92</v>
      </c>
      <c r="O316" s="56" t="n">
        <v>5</v>
      </c>
      <c r="P316" s="56" t="n">
        <v>0.03</v>
      </c>
      <c r="Q316" s="56" t="n">
        <v>13.55</v>
      </c>
      <c r="R316" s="56" t="n">
        <v>3</v>
      </c>
      <c r="S316" s="56">
        <f>IF(AC316="Cancelled",0,M316*R316)</f>
        <v/>
      </c>
      <c r="T316" s="56">
        <f>IF(AC316="Cancelled",0,N316*R316)</f>
        <v/>
      </c>
      <c r="U316" s="56">
        <f>IF(AC316="Cancelled",0,O316*R316)</f>
        <v/>
      </c>
      <c r="V316" s="56">
        <f>IF(AC316="Cancelled",0,ROUND(P316*S316,2))</f>
        <v/>
      </c>
      <c r="W316" s="56" t="inlineStr">
        <is>
          <t>No</t>
        </is>
      </c>
      <c r="X316" s="56" t="n">
        <v>0</v>
      </c>
      <c r="Y316" s="56">
        <f>IF(AC316="Cancelled",0,T316+U316+V316+Q316+X316)</f>
        <v/>
      </c>
      <c r="Z316" s="56">
        <f>IF(AC316="Cancelled",-Q316,S316-Y316)</f>
        <v/>
      </c>
      <c r="AA316" s="56">
        <f>IF(OR(AC316="Cancelled",S316=0),0,Z316/S316)</f>
        <v/>
      </c>
      <c r="AB316" s="56">
        <f>IFERROR(IF(Q316=0,0,S316/Q316),0)</f>
        <v/>
      </c>
      <c r="AC316" s="56" t="inlineStr">
        <is>
          <t>Delivered</t>
        </is>
      </c>
      <c r="AD316" s="56">
        <f>IF(Z316&lt;=0,"Low Profit",IF(Z316&gt;=50,"HighProfit","Medium Profit"))</f>
        <v/>
      </c>
      <c r="AE316" s="56">
        <f>TEXT(B316,"mmmm")</f>
        <v/>
      </c>
    </row>
    <row r="317" ht="14.25" customHeight="1" s="57">
      <c r="A317" s="56" t="inlineStr">
        <is>
          <t>ORD-00120</t>
        </is>
      </c>
      <c r="B317" s="116" t="n">
        <v>45957</v>
      </c>
      <c r="C317" s="56" t="n">
        <v>2025</v>
      </c>
      <c r="D317" s="56" t="n">
        <v>10</v>
      </c>
      <c r="E317" s="56" t="inlineStr">
        <is>
          <t>Kuwait</t>
        </is>
      </c>
      <c r="F317" s="56" t="inlineStr">
        <is>
          <t>Kuwait City</t>
        </is>
      </c>
      <c r="G317" s="56" t="inlineStr">
        <is>
          <t>Google Ads</t>
        </is>
      </c>
      <c r="H317" s="56" t="inlineStr">
        <is>
          <t>Launch Test</t>
        </is>
      </c>
      <c r="I317" s="56" t="inlineStr">
        <is>
          <t>P009</t>
        </is>
      </c>
      <c r="J317" s="56" t="inlineStr">
        <is>
          <t>Car Vacuum Cleaner</t>
        </is>
      </c>
      <c r="K317" s="56" t="inlineStr">
        <is>
          <t>Automotive</t>
        </is>
      </c>
      <c r="L317" s="56" t="inlineStr">
        <is>
          <t>Dongguan Auto Tools</t>
        </is>
      </c>
      <c r="M317" s="56" t="n">
        <v>44.55</v>
      </c>
      <c r="N317" s="56" t="n">
        <v>14.85</v>
      </c>
      <c r="O317" s="56" t="n">
        <v>6.53</v>
      </c>
      <c r="P317" s="56" t="n">
        <v>0.03</v>
      </c>
      <c r="Q317" s="56" t="n">
        <v>25.47</v>
      </c>
      <c r="R317" s="56" t="n">
        <v>3</v>
      </c>
      <c r="S317" s="56">
        <f>IF(AC317="Cancelled",0,M317*R317)</f>
        <v/>
      </c>
      <c r="T317" s="56">
        <f>IF(AC317="Cancelled",0,N317*R317)</f>
        <v/>
      </c>
      <c r="U317" s="56">
        <f>IF(AC317="Cancelled",0,O317*R317)</f>
        <v/>
      </c>
      <c r="V317" s="56">
        <f>IF(AC317="Cancelled",0,ROUND(P317*S317,2))</f>
        <v/>
      </c>
      <c r="W317" s="56" t="inlineStr">
        <is>
          <t>No</t>
        </is>
      </c>
      <c r="X317" s="56" t="n">
        <v>0</v>
      </c>
      <c r="Y317" s="56">
        <f>IF(AC317="Cancelled",0,T317+U317+V317+Q317+X317)</f>
        <v/>
      </c>
      <c r="Z317" s="56">
        <f>IF(AC317="Cancelled",-Q317,S317-Y317)</f>
        <v/>
      </c>
      <c r="AA317" s="56">
        <f>IF(OR(AC317="Cancelled",S317=0),0,Z317/S317)</f>
        <v/>
      </c>
      <c r="AB317" s="56">
        <f>IFERROR(IF(Q317=0,0,S317/Q317),0)</f>
        <v/>
      </c>
      <c r="AC317" s="56" t="inlineStr">
        <is>
          <t>Delivered</t>
        </is>
      </c>
      <c r="AD317" s="56">
        <f>IF(Z317&lt;=0,"Low Profit",IF(Z317&gt;=50,"HighProfit","Medium Profit"))</f>
        <v/>
      </c>
      <c r="AE317" s="56">
        <f>TEXT(B317,"mmmm")</f>
        <v/>
      </c>
    </row>
    <row r="318" ht="14.25" customHeight="1" s="57">
      <c r="A318" s="56" t="inlineStr">
        <is>
          <t>ORD-00373</t>
        </is>
      </c>
      <c r="B318" s="116" t="n">
        <v>45958</v>
      </c>
      <c r="C318" s="56" t="n">
        <v>2025</v>
      </c>
      <c r="D318" s="56" t="n">
        <v>10</v>
      </c>
      <c r="E318" s="56" t="inlineStr">
        <is>
          <t>Oman</t>
        </is>
      </c>
      <c r="F318" s="56" t="inlineStr">
        <is>
          <t>Muscat</t>
        </is>
      </c>
      <c r="G318" s="56" t="inlineStr">
        <is>
          <t>TikTok Ads</t>
        </is>
      </c>
      <c r="H318" s="56" t="inlineStr">
        <is>
          <t>Bundle Promo</t>
        </is>
      </c>
      <c r="I318" s="56" t="inlineStr">
        <is>
          <t>P005</t>
        </is>
      </c>
      <c r="J318" s="56" t="inlineStr">
        <is>
          <t>Mini Printer</t>
        </is>
      </c>
      <c r="K318" s="56" t="inlineStr">
        <is>
          <t>Electronics</t>
        </is>
      </c>
      <c r="L318" s="56" t="inlineStr">
        <is>
          <t>Shenzhen Print Tech</t>
        </is>
      </c>
      <c r="M318" s="56" t="n">
        <v>64.73</v>
      </c>
      <c r="N318" s="56" t="n">
        <v>23.25</v>
      </c>
      <c r="O318" s="56" t="n">
        <v>7.52</v>
      </c>
      <c r="P318" s="56" t="n">
        <v>0.03</v>
      </c>
      <c r="Q318" s="56" t="n">
        <v>5.7</v>
      </c>
      <c r="R318" s="56" t="n">
        <v>1</v>
      </c>
      <c r="S318" s="56">
        <f>IF(AC318="Cancelled",0,M318*R318)</f>
        <v/>
      </c>
      <c r="T318" s="56">
        <f>IF(AC318="Cancelled",0,N318*R318)</f>
        <v/>
      </c>
      <c r="U318" s="56">
        <f>IF(AC318="Cancelled",0,O318*R318)</f>
        <v/>
      </c>
      <c r="V318" s="56">
        <f>IF(AC318="Cancelled",0,ROUND(P318*S318,2))</f>
        <v/>
      </c>
      <c r="W318" s="56" t="inlineStr">
        <is>
          <t>No</t>
        </is>
      </c>
      <c r="X318" s="56" t="n">
        <v>0</v>
      </c>
      <c r="Y318" s="56">
        <f>IF(AC318="Cancelled",0,T318+U318+V318+Q318+X318)</f>
        <v/>
      </c>
      <c r="Z318" s="56">
        <f>IF(AC318="Cancelled",-Q318,S318-Y318)</f>
        <v/>
      </c>
      <c r="AA318" s="56">
        <f>IF(OR(AC318="Cancelled",S318=0),0,Z318/S318)</f>
        <v/>
      </c>
      <c r="AB318" s="56">
        <f>IFERROR(IF(Q318=0,0,S318/Q318),0)</f>
        <v/>
      </c>
      <c r="AC318" s="56" t="inlineStr">
        <is>
          <t>Delivered</t>
        </is>
      </c>
      <c r="AD318" s="56">
        <f>IF(Z318&lt;=0,"Low Profit",IF(Z318&gt;=50,"HighProfit","Medium Profit"))</f>
        <v/>
      </c>
      <c r="AE318" s="56">
        <f>TEXT(B318,"mmmm")</f>
        <v/>
      </c>
    </row>
    <row r="319" ht="14.25" customHeight="1" s="57">
      <c r="A319" s="56" t="inlineStr">
        <is>
          <t>ORD-00413</t>
        </is>
      </c>
      <c r="B319" s="116" t="n">
        <v>45958</v>
      </c>
      <c r="C319" s="56" t="n">
        <v>2025</v>
      </c>
      <c r="D319" s="56" t="n">
        <v>10</v>
      </c>
      <c r="E319" s="56" t="inlineStr">
        <is>
          <t>Saudi Arabia</t>
        </is>
      </c>
      <c r="F319" s="56" t="inlineStr">
        <is>
          <t>Jeddah</t>
        </is>
      </c>
      <c r="G319" s="56" t="inlineStr">
        <is>
          <t>Google Ads</t>
        </is>
      </c>
      <c r="H319" s="56" t="inlineStr">
        <is>
          <t>Bundle Promo</t>
        </is>
      </c>
      <c r="I319" s="56" t="inlineStr">
        <is>
          <t>P004</t>
        </is>
      </c>
      <c r="J319" s="56" t="inlineStr">
        <is>
          <t>Beauty Tool</t>
        </is>
      </c>
      <c r="K319" s="56" t="inlineStr">
        <is>
          <t>Beauty</t>
        </is>
      </c>
      <c r="L319" s="56" t="inlineStr">
        <is>
          <t>Ningbo Beauty Supply</t>
        </is>
      </c>
      <c r="M319" s="56" t="n">
        <v>27.58</v>
      </c>
      <c r="N319" s="56" t="n">
        <v>7</v>
      </c>
      <c r="O319" s="56" t="n">
        <v>4.42</v>
      </c>
      <c r="P319" s="56" t="n">
        <v>0.03</v>
      </c>
      <c r="Q319" s="56" t="n">
        <v>22.58</v>
      </c>
      <c r="R319" s="56" t="n">
        <v>3</v>
      </c>
      <c r="S319" s="56">
        <f>IF(AC319="Cancelled",0,M319*R319)</f>
        <v/>
      </c>
      <c r="T319" s="56">
        <f>IF(AC319="Cancelled",0,N319*R319)</f>
        <v/>
      </c>
      <c r="U319" s="56">
        <f>IF(AC319="Cancelled",0,O319*R319)</f>
        <v/>
      </c>
      <c r="V319" s="56">
        <f>IF(AC319="Cancelled",0,ROUND(P319*S319,2))</f>
        <v/>
      </c>
      <c r="W319" s="56" t="inlineStr">
        <is>
          <t>No</t>
        </is>
      </c>
      <c r="X319" s="56" t="n">
        <v>0</v>
      </c>
      <c r="Y319" s="56">
        <f>IF(AC319="Cancelled",0,T319+U319+V319+Q319+X319)</f>
        <v/>
      </c>
      <c r="Z319" s="56">
        <f>IF(AC319="Cancelled",-Q319,S319-Y319)</f>
        <v/>
      </c>
      <c r="AA319" s="56">
        <f>IF(OR(AC319="Cancelled",S319=0),0,Z319/S319)</f>
        <v/>
      </c>
      <c r="AB319" s="56">
        <f>IFERROR(IF(Q319=0,0,S319/Q319),0)</f>
        <v/>
      </c>
      <c r="AC319" s="56" t="inlineStr">
        <is>
          <t>Delivered</t>
        </is>
      </c>
      <c r="AD319" s="56">
        <f>IF(Z319&lt;=0,"Low Profit",IF(Z319&gt;=50,"HighProfit","Medium Profit"))</f>
        <v/>
      </c>
      <c r="AE319" s="56">
        <f>TEXT(B319,"mmmm")</f>
        <v/>
      </c>
    </row>
    <row r="320" ht="14.25" customHeight="1" s="57">
      <c r="A320" s="56" t="inlineStr">
        <is>
          <t>ORD-00305</t>
        </is>
      </c>
      <c r="B320" s="116" t="n">
        <v>45962</v>
      </c>
      <c r="C320" s="56" t="n">
        <v>2025</v>
      </c>
      <c r="D320" s="56" t="n">
        <v>11</v>
      </c>
      <c r="E320" s="56" t="inlineStr">
        <is>
          <t>UAE</t>
        </is>
      </c>
      <c r="F320" s="56" t="inlineStr">
        <is>
          <t>Abu Dhabi</t>
        </is>
      </c>
      <c r="G320" s="56" t="inlineStr">
        <is>
          <t>TikTok Ads</t>
        </is>
      </c>
      <c r="H320" s="56" t="inlineStr">
        <is>
          <t>New Creative A/B</t>
        </is>
      </c>
      <c r="I320" s="56" t="inlineStr">
        <is>
          <t>P006</t>
        </is>
      </c>
      <c r="J320" s="56" t="inlineStr">
        <is>
          <t>Posture Corrector</t>
        </is>
      </c>
      <c r="K320" s="56" t="inlineStr">
        <is>
          <t>Fitness</t>
        </is>
      </c>
      <c r="L320" s="56" t="inlineStr">
        <is>
          <t>Hangzhou Health Gear</t>
        </is>
      </c>
      <c r="M320" s="56" t="n">
        <v>31.75</v>
      </c>
      <c r="N320" s="56" t="n">
        <v>9.609999999999999</v>
      </c>
      <c r="O320" s="56" t="n">
        <v>3.74</v>
      </c>
      <c r="P320" s="56" t="n">
        <v>0.03</v>
      </c>
      <c r="Q320" s="56" t="n">
        <v>4.88</v>
      </c>
      <c r="R320" s="56" t="n">
        <v>1</v>
      </c>
      <c r="S320" s="56">
        <f>IF(AC320="Cancelled",0,M320*R320)</f>
        <v/>
      </c>
      <c r="T320" s="56">
        <f>IF(AC320="Cancelled",0,N320*R320)</f>
        <v/>
      </c>
      <c r="U320" s="56">
        <f>IF(AC320="Cancelled",0,O320*R320)</f>
        <v/>
      </c>
      <c r="V320" s="56">
        <f>IF(AC320="Cancelled",0,ROUND(P320*S320,2))</f>
        <v/>
      </c>
      <c r="W320" s="56" t="inlineStr">
        <is>
          <t>No</t>
        </is>
      </c>
      <c r="X320" s="56" t="n">
        <v>0</v>
      </c>
      <c r="Y320" s="56">
        <f>IF(AC320="Cancelled",0,T320+U320+V320+Q320+X320)</f>
        <v/>
      </c>
      <c r="Z320" s="56">
        <f>IF(AC320="Cancelled",-Q320,S320-Y320)</f>
        <v/>
      </c>
      <c r="AA320" s="56">
        <f>IF(OR(AC320="Cancelled",S320=0),0,Z320/S320)</f>
        <v/>
      </c>
      <c r="AB320" s="56">
        <f>IFERROR(IF(Q320=0,0,S320/Q320),0)</f>
        <v/>
      </c>
      <c r="AC320" s="56" t="inlineStr">
        <is>
          <t>Delivered</t>
        </is>
      </c>
      <c r="AD320" s="56">
        <f>IF(Z320&lt;=0,"Low Profit",IF(Z320&gt;=50,"HighProfit","Medium Profit"))</f>
        <v/>
      </c>
      <c r="AE320" s="56">
        <f>TEXT(B320,"mmmm")</f>
        <v/>
      </c>
    </row>
    <row r="321" ht="14.25" customHeight="1" s="57">
      <c r="A321" s="56" t="inlineStr">
        <is>
          <t>ORD-00323</t>
        </is>
      </c>
      <c r="B321" s="116" t="n">
        <v>45962</v>
      </c>
      <c r="C321" s="56" t="n">
        <v>2025</v>
      </c>
      <c r="D321" s="56" t="n">
        <v>11</v>
      </c>
      <c r="E321" s="56" t="inlineStr">
        <is>
          <t>UAE</t>
        </is>
      </c>
      <c r="F321" s="56" t="inlineStr">
        <is>
          <t>Abu Dhabi</t>
        </is>
      </c>
      <c r="G321" s="56" t="inlineStr">
        <is>
          <t>Meta Ads</t>
        </is>
      </c>
      <c r="H321" s="56" t="inlineStr">
        <is>
          <t>Retargeting</t>
        </is>
      </c>
      <c r="I321" s="56" t="inlineStr">
        <is>
          <t>P010</t>
        </is>
      </c>
      <c r="J321" s="56" t="inlineStr">
        <is>
          <t>Smart Water Bottle</t>
        </is>
      </c>
      <c r="K321" s="56" t="inlineStr">
        <is>
          <t>Lifestyle</t>
        </is>
      </c>
      <c r="L321" s="56" t="inlineStr">
        <is>
          <t>Shenzhen Smart Home</t>
        </is>
      </c>
      <c r="M321" s="56" t="n">
        <v>34.09</v>
      </c>
      <c r="N321" s="56" t="n">
        <v>10.59</v>
      </c>
      <c r="O321" s="56" t="n">
        <v>3.88</v>
      </c>
      <c r="P321" s="56" t="n">
        <v>0.03</v>
      </c>
      <c r="Q321" s="56" t="n">
        <v>15.15</v>
      </c>
      <c r="R321" s="56" t="n">
        <v>2</v>
      </c>
      <c r="S321" s="56">
        <f>IF(AC321="Cancelled",0,M321*R321)</f>
        <v/>
      </c>
      <c r="T321" s="56">
        <f>IF(AC321="Cancelled",0,N321*R321)</f>
        <v/>
      </c>
      <c r="U321" s="56">
        <f>IF(AC321="Cancelled",0,O321*R321)</f>
        <v/>
      </c>
      <c r="V321" s="56">
        <f>IF(AC321="Cancelled",0,ROUND(P321*S321,2))</f>
        <v/>
      </c>
      <c r="W321" s="56" t="inlineStr">
        <is>
          <t>No</t>
        </is>
      </c>
      <c r="X321" s="56" t="n">
        <v>0</v>
      </c>
      <c r="Y321" s="56">
        <f>IF(AC321="Cancelled",0,T321+U321+V321+Q321+X321)</f>
        <v/>
      </c>
      <c r="Z321" s="56">
        <f>IF(AC321="Cancelled",-Q321,S321-Y321)</f>
        <v/>
      </c>
      <c r="AA321" s="56">
        <f>IF(OR(AC321="Cancelled",S321=0),0,Z321/S321)</f>
        <v/>
      </c>
      <c r="AB321" s="56">
        <f>IFERROR(IF(Q321=0,0,S321/Q321),0)</f>
        <v/>
      </c>
      <c r="AC321" s="56" t="inlineStr">
        <is>
          <t>Delivered</t>
        </is>
      </c>
      <c r="AD321" s="56">
        <f>IF(Z321&lt;=0,"Low Profit",IF(Z321&gt;=50,"HighProfit","Medium Profit"))</f>
        <v/>
      </c>
      <c r="AE321" s="56">
        <f>TEXT(B321,"mmmm")</f>
        <v/>
      </c>
    </row>
    <row r="322" ht="14.25" customHeight="1" s="57">
      <c r="A322" s="56" t="inlineStr">
        <is>
          <t>ORD-00328</t>
        </is>
      </c>
      <c r="B322" s="116" t="n">
        <v>45962</v>
      </c>
      <c r="C322" s="56" t="n">
        <v>2025</v>
      </c>
      <c r="D322" s="56" t="n">
        <v>11</v>
      </c>
      <c r="E322" s="56" t="inlineStr">
        <is>
          <t>Qatar</t>
        </is>
      </c>
      <c r="F322" s="56" t="inlineStr">
        <is>
          <t>Doha</t>
        </is>
      </c>
      <c r="G322" s="56" t="inlineStr">
        <is>
          <t>Meta Ads</t>
        </is>
      </c>
      <c r="H322" s="56" t="inlineStr">
        <is>
          <t>Summer Sale</t>
        </is>
      </c>
      <c r="I322" s="56" t="inlineStr">
        <is>
          <t>P002</t>
        </is>
      </c>
      <c r="J322" s="56" t="inlineStr">
        <is>
          <t>Phone Case</t>
        </is>
      </c>
      <c r="K322" s="56" t="inlineStr">
        <is>
          <t>Accessories</t>
        </is>
      </c>
      <c r="L322" s="56" t="inlineStr">
        <is>
          <t>Guangzhou Cases Ltd.</t>
        </is>
      </c>
      <c r="M322" s="56" t="n">
        <v>14.19</v>
      </c>
      <c r="N322" s="56" t="n">
        <v>2.1</v>
      </c>
      <c r="O322" s="56" t="n">
        <v>1.84</v>
      </c>
      <c r="P322" s="56" t="n">
        <v>0.03</v>
      </c>
      <c r="Q322" s="56" t="n">
        <v>4.38</v>
      </c>
      <c r="R322" s="56" t="n">
        <v>2</v>
      </c>
      <c r="S322" s="56">
        <f>IF(AC322="Cancelled",0,M322*R322)</f>
        <v/>
      </c>
      <c r="T322" s="56">
        <f>IF(AC322="Cancelled",0,N322*R322)</f>
        <v/>
      </c>
      <c r="U322" s="56">
        <f>IF(AC322="Cancelled",0,O322*R322)</f>
        <v/>
      </c>
      <c r="V322" s="56">
        <f>IF(AC322="Cancelled",0,ROUND(P322*S322,2))</f>
        <v/>
      </c>
      <c r="W322" s="56" t="inlineStr">
        <is>
          <t>No</t>
        </is>
      </c>
      <c r="X322" s="56" t="n">
        <v>0</v>
      </c>
      <c r="Y322" s="56">
        <f>IF(AC322="Cancelled",0,T322+U322+V322+Q322+X322)</f>
        <v/>
      </c>
      <c r="Z322" s="56">
        <f>IF(AC322="Cancelled",-Q322,S322-Y322)</f>
        <v/>
      </c>
      <c r="AA322" s="56">
        <f>IF(OR(AC322="Cancelled",S322=0),0,Z322/S322)</f>
        <v/>
      </c>
      <c r="AB322" s="56">
        <f>IFERROR(IF(Q322=0,0,S322/Q322),0)</f>
        <v/>
      </c>
      <c r="AC322" s="56" t="inlineStr">
        <is>
          <t>Delivered</t>
        </is>
      </c>
      <c r="AD322" s="56">
        <f>IF(Z322&lt;=0,"Low Profit",IF(Z322&gt;=50,"HighProfit","Medium Profit"))</f>
        <v/>
      </c>
      <c r="AE322" s="56">
        <f>TEXT(B322,"mmmm")</f>
        <v/>
      </c>
    </row>
    <row r="323" ht="14.25" customHeight="1" s="57">
      <c r="A323" s="56" t="inlineStr">
        <is>
          <t>ORD-00402</t>
        </is>
      </c>
      <c r="B323" s="116" t="n">
        <v>45962</v>
      </c>
      <c r="C323" s="56" t="n">
        <v>2025</v>
      </c>
      <c r="D323" s="56" t="n">
        <v>11</v>
      </c>
      <c r="E323" s="56" t="inlineStr">
        <is>
          <t>Qatar</t>
        </is>
      </c>
      <c r="F323" s="56" t="inlineStr">
        <is>
          <t>Doha</t>
        </is>
      </c>
      <c r="G323" s="56" t="inlineStr">
        <is>
          <t>Influencer</t>
        </is>
      </c>
      <c r="H323" s="56" t="inlineStr">
        <is>
          <t>Retargeting</t>
        </is>
      </c>
      <c r="I323" s="56" t="inlineStr">
        <is>
          <t>P006</t>
        </is>
      </c>
      <c r="J323" s="56" t="inlineStr">
        <is>
          <t>Posture Corrector</t>
        </is>
      </c>
      <c r="K323" s="56" t="inlineStr">
        <is>
          <t>Fitness</t>
        </is>
      </c>
      <c r="L323" s="56" t="inlineStr">
        <is>
          <t>Hangzhou Health Gear</t>
        </is>
      </c>
      <c r="M323" s="56" t="n">
        <v>34.48</v>
      </c>
      <c r="N323" s="56" t="n">
        <v>9.44</v>
      </c>
      <c r="O323" s="56" t="n">
        <v>3.91</v>
      </c>
      <c r="P323" s="56" t="n">
        <v>0.03</v>
      </c>
      <c r="Q323" s="56" t="n">
        <v>5.67</v>
      </c>
      <c r="R323" s="56" t="n">
        <v>1</v>
      </c>
      <c r="S323" s="56">
        <f>IF(AC323="Cancelled",0,M323*R323)</f>
        <v/>
      </c>
      <c r="T323" s="56">
        <f>IF(AC323="Cancelled",0,N323*R323)</f>
        <v/>
      </c>
      <c r="U323" s="56">
        <f>IF(AC323="Cancelled",0,O323*R323)</f>
        <v/>
      </c>
      <c r="V323" s="56">
        <f>IF(AC323="Cancelled",0,ROUND(P323*S323,2))</f>
        <v/>
      </c>
      <c r="W323" s="56" t="inlineStr">
        <is>
          <t>No</t>
        </is>
      </c>
      <c r="X323" s="56" t="n">
        <v>0</v>
      </c>
      <c r="Y323" s="56">
        <f>IF(AC323="Cancelled",0,T323+U323+V323+Q323+X323)</f>
        <v/>
      </c>
      <c r="Z323" s="56">
        <f>IF(AC323="Cancelled",-Q323,S323-Y323)</f>
        <v/>
      </c>
      <c r="AA323" s="56">
        <f>IF(OR(AC323="Cancelled",S323=0),0,Z323/S323)</f>
        <v/>
      </c>
      <c r="AB323" s="56">
        <f>IFERROR(IF(Q323=0,0,S323/Q323),0)</f>
        <v/>
      </c>
      <c r="AC323" s="56" t="inlineStr">
        <is>
          <t>Delivered</t>
        </is>
      </c>
      <c r="AD323" s="56">
        <f>IF(Z323&lt;=0,"Low Profit",IF(Z323&gt;=50,"HighProfit","Medium Profit"))</f>
        <v/>
      </c>
      <c r="AE323" s="56">
        <f>TEXT(B323,"mmmm")</f>
        <v/>
      </c>
    </row>
    <row r="324" ht="14.25" customHeight="1" s="57">
      <c r="A324" s="56" t="inlineStr">
        <is>
          <t>ORD-00319</t>
        </is>
      </c>
      <c r="B324" s="116" t="n">
        <v>45963</v>
      </c>
      <c r="C324" s="56" t="n">
        <v>2025</v>
      </c>
      <c r="D324" s="56" t="n">
        <v>11</v>
      </c>
      <c r="E324" s="56" t="inlineStr">
        <is>
          <t>UAE</t>
        </is>
      </c>
      <c r="F324" s="56" t="inlineStr">
        <is>
          <t>Dubai</t>
        </is>
      </c>
      <c r="G324" s="56" t="inlineStr">
        <is>
          <t>Organic Search</t>
        </is>
      </c>
      <c r="H324" s="56" t="inlineStr">
        <is>
          <t>New Creative A/B</t>
        </is>
      </c>
      <c r="I324" s="56" t="inlineStr">
        <is>
          <t>P007</t>
        </is>
      </c>
      <c r="J324" s="56" t="inlineStr">
        <is>
          <t>Pet Grooming Glove</t>
        </is>
      </c>
      <c r="K324" s="56" t="inlineStr">
        <is>
          <t>Pets</t>
        </is>
      </c>
      <c r="L324" s="56" t="inlineStr">
        <is>
          <t>Yiwu Pet Products</t>
        </is>
      </c>
      <c r="M324" s="56" t="n">
        <v>19.11</v>
      </c>
      <c r="N324" s="56" t="n">
        <v>3.56</v>
      </c>
      <c r="O324" s="56" t="n">
        <v>2.41</v>
      </c>
      <c r="P324" s="56" t="n">
        <v>0.03</v>
      </c>
      <c r="Q324" s="56" t="n">
        <v>0</v>
      </c>
      <c r="R324" s="56" t="n">
        <v>2</v>
      </c>
      <c r="S324" s="56">
        <f>IF(AC324="Cancelled",0,M324*R324)</f>
        <v/>
      </c>
      <c r="T324" s="56">
        <f>IF(AC324="Cancelled",0,N324*R324)</f>
        <v/>
      </c>
      <c r="U324" s="56">
        <f>IF(AC324="Cancelled",0,O324*R324)</f>
        <v/>
      </c>
      <c r="V324" s="56">
        <f>IF(AC324="Cancelled",0,ROUND(P324*S324,2))</f>
        <v/>
      </c>
      <c r="W324" s="56" t="inlineStr">
        <is>
          <t>No</t>
        </is>
      </c>
      <c r="X324" s="56" t="n">
        <v>0</v>
      </c>
      <c r="Y324" s="56">
        <f>IF(AC324="Cancelled",0,T324+U324+V324+Q324+X324)</f>
        <v/>
      </c>
      <c r="Z324" s="56">
        <f>IF(AC324="Cancelled",-Q324,S324-Y324)</f>
        <v/>
      </c>
      <c r="AA324" s="56">
        <f>IF(OR(AC324="Cancelled",S324=0),0,Z324/S324)</f>
        <v/>
      </c>
      <c r="AB324" s="56">
        <f>IFERROR(IF(Q324=0,0,S324/Q324),0)</f>
        <v/>
      </c>
      <c r="AC324" s="56" t="inlineStr">
        <is>
          <t>Delivered</t>
        </is>
      </c>
      <c r="AD324" s="56">
        <f>IF(Z324&lt;=0,"Low Profit",IF(Z324&gt;=50,"HighProfit","Medium Profit"))</f>
        <v/>
      </c>
      <c r="AE324" s="56">
        <f>TEXT(B324,"mmmm")</f>
        <v/>
      </c>
    </row>
    <row r="325" ht="14.25" customHeight="1" s="57">
      <c r="A325" s="56" t="inlineStr">
        <is>
          <t>ORD-00450</t>
        </is>
      </c>
      <c r="B325" s="116" t="n">
        <v>45964</v>
      </c>
      <c r="C325" s="56" t="n">
        <v>2025</v>
      </c>
      <c r="D325" s="56" t="n">
        <v>11</v>
      </c>
      <c r="E325" s="56" t="inlineStr">
        <is>
          <t>Oman</t>
        </is>
      </c>
      <c r="F325" s="56" t="inlineStr">
        <is>
          <t>Muscat</t>
        </is>
      </c>
      <c r="G325" s="56" t="inlineStr">
        <is>
          <t>TikTok Ads</t>
        </is>
      </c>
      <c r="H325" s="56" t="inlineStr">
        <is>
          <t>Retargeting</t>
        </is>
      </c>
      <c r="I325" s="56" t="inlineStr">
        <is>
          <t>P002</t>
        </is>
      </c>
      <c r="J325" s="56" t="inlineStr">
        <is>
          <t>Phone Case</t>
        </is>
      </c>
      <c r="K325" s="56" t="inlineStr">
        <is>
          <t>Accessories</t>
        </is>
      </c>
      <c r="L325" s="56" t="inlineStr">
        <is>
          <t>Guangzhou Cases Ltd.</t>
        </is>
      </c>
      <c r="M325" s="56" t="n">
        <v>16.12</v>
      </c>
      <c r="N325" s="56" t="n">
        <v>1.99</v>
      </c>
      <c r="O325" s="56" t="n">
        <v>2.23</v>
      </c>
      <c r="P325" s="56" t="n">
        <v>0.03</v>
      </c>
      <c r="Q325" s="56" t="n">
        <v>8</v>
      </c>
      <c r="R325" s="56" t="n">
        <v>1</v>
      </c>
      <c r="S325" s="56">
        <f>IF(AC325="Cancelled",0,M325*R325)</f>
        <v/>
      </c>
      <c r="T325" s="56">
        <f>IF(AC325="Cancelled",0,N325*R325)</f>
        <v/>
      </c>
      <c r="U325" s="56">
        <f>IF(AC325="Cancelled",0,O325*R325)</f>
        <v/>
      </c>
      <c r="V325" s="56">
        <f>IF(AC325="Cancelled",0,ROUND(P325*S325,2))</f>
        <v/>
      </c>
      <c r="W325" s="56" t="inlineStr">
        <is>
          <t>No</t>
        </is>
      </c>
      <c r="X325" s="56" t="n">
        <v>0</v>
      </c>
      <c r="Y325" s="56">
        <f>IF(AC325="Cancelled",0,T325+U325+V325+Q325+X325)</f>
        <v/>
      </c>
      <c r="Z325" s="56">
        <f>IF(AC325="Cancelled",-Q325,S325-Y325)</f>
        <v/>
      </c>
      <c r="AA325" s="56">
        <f>IF(OR(AC325="Cancelled",S325=0),0,Z325/S325)</f>
        <v/>
      </c>
      <c r="AB325" s="56">
        <f>IFERROR(IF(Q325=0,0,S325/Q325),0)</f>
        <v/>
      </c>
      <c r="AC325" s="56" t="inlineStr">
        <is>
          <t>Delivered</t>
        </is>
      </c>
      <c r="AD325" s="56">
        <f>IF(Z325&lt;=0,"Low Profit",IF(Z325&gt;=50,"HighProfit","Medium Profit"))</f>
        <v/>
      </c>
      <c r="AE325" s="56">
        <f>TEXT(B325,"mmmm")</f>
        <v/>
      </c>
    </row>
    <row r="326" ht="14.25" customHeight="1" s="57">
      <c r="A326" s="56" t="inlineStr">
        <is>
          <t>ORD-00443</t>
        </is>
      </c>
      <c r="B326" s="116" t="n">
        <v>45965</v>
      </c>
      <c r="C326" s="56" t="n">
        <v>2025</v>
      </c>
      <c r="D326" s="56" t="n">
        <v>11</v>
      </c>
      <c r="E326" s="56" t="inlineStr">
        <is>
          <t>UAE</t>
        </is>
      </c>
      <c r="F326" s="56" t="inlineStr">
        <is>
          <t>Sharjah</t>
        </is>
      </c>
      <c r="G326" s="56" t="inlineStr">
        <is>
          <t>TikTok Ads</t>
        </is>
      </c>
      <c r="H326" s="56" t="inlineStr">
        <is>
          <t>Retargeting</t>
        </is>
      </c>
      <c r="I326" s="56" t="inlineStr">
        <is>
          <t>P009</t>
        </is>
      </c>
      <c r="J326" s="56" t="inlineStr">
        <is>
          <t>Car Vacuum Cleaner</t>
        </is>
      </c>
      <c r="K326" s="56" t="inlineStr">
        <is>
          <t>Automotive</t>
        </is>
      </c>
      <c r="L326" s="56" t="inlineStr">
        <is>
          <t>Dongguan Auto Tools</t>
        </is>
      </c>
      <c r="M326" s="56" t="n">
        <v>46.75</v>
      </c>
      <c r="N326" s="56" t="n">
        <v>14.25</v>
      </c>
      <c r="O326" s="56" t="n">
        <v>7.27</v>
      </c>
      <c r="P326" s="56" t="n">
        <v>0.03</v>
      </c>
      <c r="Q326" s="56" t="n">
        <v>14.75</v>
      </c>
      <c r="R326" s="56" t="n">
        <v>3</v>
      </c>
      <c r="S326" s="56">
        <f>IF(AC326="Cancelled",0,M326*R326)</f>
        <v/>
      </c>
      <c r="T326" s="56">
        <f>IF(AC326="Cancelled",0,N326*R326)</f>
        <v/>
      </c>
      <c r="U326" s="56">
        <f>IF(AC326="Cancelled",0,O326*R326)</f>
        <v/>
      </c>
      <c r="V326" s="56">
        <f>IF(AC326="Cancelled",0,ROUND(P326*S326,2))</f>
        <v/>
      </c>
      <c r="W326" s="56" t="inlineStr">
        <is>
          <t>No</t>
        </is>
      </c>
      <c r="X326" s="56" t="n">
        <v>0</v>
      </c>
      <c r="Y326" s="56">
        <f>IF(AC326="Cancelled",0,T326+U326+V326+Q326+X326)</f>
        <v/>
      </c>
      <c r="Z326" s="56">
        <f>IF(AC326="Cancelled",-Q326,S326-Y326)</f>
        <v/>
      </c>
      <c r="AA326" s="56">
        <f>IF(OR(AC326="Cancelled",S326=0),0,Z326/S326)</f>
        <v/>
      </c>
      <c r="AB326" s="56">
        <f>IFERROR(IF(Q326=0,0,S326/Q326),0)</f>
        <v/>
      </c>
      <c r="AC326" s="56" t="inlineStr">
        <is>
          <t>Delivered</t>
        </is>
      </c>
      <c r="AD326" s="56">
        <f>IF(Z326&lt;=0,"Low Profit",IF(Z326&gt;=50,"HighProfit","Medium Profit"))</f>
        <v/>
      </c>
      <c r="AE326" s="56">
        <f>TEXT(B326,"mmmm")</f>
        <v/>
      </c>
    </row>
    <row r="327" ht="14.25" customHeight="1" s="57">
      <c r="A327" s="56" t="inlineStr">
        <is>
          <t>ORD-00101</t>
        </is>
      </c>
      <c r="B327" s="116" t="n">
        <v>45966</v>
      </c>
      <c r="C327" s="56" t="n">
        <v>2025</v>
      </c>
      <c r="D327" s="56" t="n">
        <v>11</v>
      </c>
      <c r="E327" s="56" t="inlineStr">
        <is>
          <t>Saudi Arabia</t>
        </is>
      </c>
      <c r="F327" s="56" t="inlineStr">
        <is>
          <t>Riyadh</t>
        </is>
      </c>
      <c r="G327" s="56" t="inlineStr">
        <is>
          <t>TikTok Ads</t>
        </is>
      </c>
      <c r="H327" s="56" t="inlineStr">
        <is>
          <t>Launch Test</t>
        </is>
      </c>
      <c r="I327" s="56" t="inlineStr">
        <is>
          <t>P002</t>
        </is>
      </c>
      <c r="J327" s="56" t="inlineStr">
        <is>
          <t>Phone Case</t>
        </is>
      </c>
      <c r="K327" s="56" t="inlineStr">
        <is>
          <t>Accessories</t>
        </is>
      </c>
      <c r="L327" s="56" t="inlineStr">
        <is>
          <t>Guangzhou Cases Ltd.</t>
        </is>
      </c>
      <c r="M327" s="56" t="n">
        <v>15.08</v>
      </c>
      <c r="N327" s="56" t="n">
        <v>2.1</v>
      </c>
      <c r="O327" s="56" t="n">
        <v>2.18</v>
      </c>
      <c r="P327" s="56" t="n">
        <v>0.03</v>
      </c>
      <c r="Q327" s="56" t="n">
        <v>2.91</v>
      </c>
      <c r="R327" s="56" t="n">
        <v>1</v>
      </c>
      <c r="S327" s="56">
        <f>IF(AC327="Cancelled",0,M327*R327)</f>
        <v/>
      </c>
      <c r="T327" s="56">
        <f>IF(AC327="Cancelled",0,N327*R327)</f>
        <v/>
      </c>
      <c r="U327" s="56">
        <f>IF(AC327="Cancelled",0,O327*R327)</f>
        <v/>
      </c>
      <c r="V327" s="56">
        <f>IF(AC327="Cancelled",0,ROUND(P327*S327,2))</f>
        <v/>
      </c>
      <c r="W327" s="56" t="inlineStr">
        <is>
          <t>No</t>
        </is>
      </c>
      <c r="X327" s="56" t="n">
        <v>0</v>
      </c>
      <c r="Y327" s="56">
        <f>IF(AC327="Cancelled",0,T327+U327+V327+Q327+X327)</f>
        <v/>
      </c>
      <c r="Z327" s="56">
        <f>IF(AC327="Cancelled",-Q327,S327-Y327)</f>
        <v/>
      </c>
      <c r="AA327" s="56">
        <f>IF(OR(AC327="Cancelled",S327=0),0,Z327/S327)</f>
        <v/>
      </c>
      <c r="AB327" s="56">
        <f>IFERROR(IF(Q327=0,0,S327/Q327),0)</f>
        <v/>
      </c>
      <c r="AC327" s="56" t="inlineStr">
        <is>
          <t>Delivered</t>
        </is>
      </c>
      <c r="AD327" s="56">
        <f>IF(Z327&lt;=0,"Low Profit",IF(Z327&gt;=50,"HighProfit","Medium Profit"))</f>
        <v/>
      </c>
      <c r="AE327" s="56">
        <f>TEXT(B327,"mmmm")</f>
        <v/>
      </c>
    </row>
    <row r="328" ht="14.25" customHeight="1" s="57">
      <c r="A328" s="56" t="inlineStr">
        <is>
          <t>ORD-00214</t>
        </is>
      </c>
      <c r="B328" s="116" t="n">
        <v>45967</v>
      </c>
      <c r="C328" s="56" t="n">
        <v>2025</v>
      </c>
      <c r="D328" s="56" t="n">
        <v>11</v>
      </c>
      <c r="E328" s="56" t="inlineStr">
        <is>
          <t>UAE</t>
        </is>
      </c>
      <c r="F328" s="56" t="inlineStr">
        <is>
          <t>Abu Dhabi</t>
        </is>
      </c>
      <c r="G328" s="56" t="inlineStr">
        <is>
          <t>TikTok Ads</t>
        </is>
      </c>
      <c r="H328" s="56" t="inlineStr">
        <is>
          <t>Summer Sale</t>
        </is>
      </c>
      <c r="I328" s="56" t="inlineStr">
        <is>
          <t>P005</t>
        </is>
      </c>
      <c r="J328" s="56" t="inlineStr">
        <is>
          <t>Mini Printer</t>
        </is>
      </c>
      <c r="K328" s="56" t="inlineStr">
        <is>
          <t>Electronics</t>
        </is>
      </c>
      <c r="L328" s="56" t="inlineStr">
        <is>
          <t>Shenzhen Print Tech</t>
        </is>
      </c>
      <c r="M328" s="56" t="n">
        <v>66.56999999999999</v>
      </c>
      <c r="N328" s="56" t="n">
        <v>22.75</v>
      </c>
      <c r="O328" s="56" t="n">
        <v>7.57</v>
      </c>
      <c r="P328" s="56" t="n">
        <v>0.03</v>
      </c>
      <c r="Q328" s="56" t="n">
        <v>9.93</v>
      </c>
      <c r="R328" s="56" t="n">
        <v>2</v>
      </c>
      <c r="S328" s="56">
        <f>IF(AC328="Cancelled",0,M328*R328)</f>
        <v/>
      </c>
      <c r="T328" s="56">
        <f>IF(AC328="Cancelled",0,N328*R328)</f>
        <v/>
      </c>
      <c r="U328" s="56">
        <f>IF(AC328="Cancelled",0,O328*R328)</f>
        <v/>
      </c>
      <c r="V328" s="56">
        <f>IF(AC328="Cancelled",0,ROUND(P328*S328,2))</f>
        <v/>
      </c>
      <c r="W328" s="56" t="inlineStr">
        <is>
          <t>No</t>
        </is>
      </c>
      <c r="X328" s="56" t="n">
        <v>0</v>
      </c>
      <c r="Y328" s="56">
        <f>IF(AC328="Cancelled",0,T328+U328+V328+Q328+X328)</f>
        <v/>
      </c>
      <c r="Z328" s="56">
        <f>IF(AC328="Cancelled",-Q328,S328-Y328)</f>
        <v/>
      </c>
      <c r="AA328" s="56">
        <f>IF(OR(AC328="Cancelled",S328=0),0,Z328/S328)</f>
        <v/>
      </c>
      <c r="AB328" s="56">
        <f>IFERROR(IF(Q328=0,0,S328/Q328),0)</f>
        <v/>
      </c>
      <c r="AC328" s="56" t="inlineStr">
        <is>
          <t>Delivered</t>
        </is>
      </c>
      <c r="AD328" s="56">
        <f>IF(Z328&lt;=0,"Low Profit",IF(Z328&gt;=50,"HighProfit","Medium Profit"))</f>
        <v/>
      </c>
      <c r="AE328" s="56">
        <f>TEXT(B328,"mmmm")</f>
        <v/>
      </c>
    </row>
    <row r="329" ht="14.25" customHeight="1" s="57">
      <c r="A329" s="56" t="inlineStr">
        <is>
          <t>ORD-00026</t>
        </is>
      </c>
      <c r="B329" s="116" t="n">
        <v>45968</v>
      </c>
      <c r="C329" s="56" t="n">
        <v>2025</v>
      </c>
      <c r="D329" s="56" t="n">
        <v>11</v>
      </c>
      <c r="E329" s="56" t="inlineStr">
        <is>
          <t>UAE</t>
        </is>
      </c>
      <c r="F329" s="56" t="inlineStr">
        <is>
          <t>Dubai</t>
        </is>
      </c>
      <c r="G329" s="56" t="inlineStr">
        <is>
          <t>Influencer</t>
        </is>
      </c>
      <c r="H329" s="56" t="inlineStr">
        <is>
          <t>Launch Test</t>
        </is>
      </c>
      <c r="I329" s="56" t="inlineStr">
        <is>
          <t>P006</t>
        </is>
      </c>
      <c r="J329" s="56" t="inlineStr">
        <is>
          <t>Posture Corrector</t>
        </is>
      </c>
      <c r="K329" s="56" t="inlineStr">
        <is>
          <t>Fitness</t>
        </is>
      </c>
      <c r="L329" s="56" t="inlineStr">
        <is>
          <t>Hangzhou Health Gear</t>
        </is>
      </c>
      <c r="M329" s="56" t="n">
        <v>37.69</v>
      </c>
      <c r="N329" s="56" t="n">
        <v>8.65</v>
      </c>
      <c r="O329" s="56" t="n">
        <v>4.04</v>
      </c>
      <c r="P329" s="56" t="n">
        <v>0.03</v>
      </c>
      <c r="Q329" s="56" t="n">
        <v>9.369999999999999</v>
      </c>
      <c r="R329" s="56" t="n">
        <v>1</v>
      </c>
      <c r="S329" s="56">
        <f>IF(AC329="Cancelled",0,M329*R329)</f>
        <v/>
      </c>
      <c r="T329" s="56">
        <f>IF(AC329="Cancelled",0,N329*R329)</f>
        <v/>
      </c>
      <c r="U329" s="56">
        <f>IF(AC329="Cancelled",0,O329*R329)</f>
        <v/>
      </c>
      <c r="V329" s="56">
        <f>IF(AC329="Cancelled",0,ROUND(P329*S329,2))</f>
        <v/>
      </c>
      <c r="W329" s="56" t="inlineStr">
        <is>
          <t>No</t>
        </is>
      </c>
      <c r="X329" s="56" t="n">
        <v>0</v>
      </c>
      <c r="Y329" s="56">
        <f>IF(AC329="Cancelled",0,T329+U329+V329+Q329+X329)</f>
        <v/>
      </c>
      <c r="Z329" s="56">
        <f>IF(AC329="Cancelled",-Q329,S329-Y329)</f>
        <v/>
      </c>
      <c r="AA329" s="56">
        <f>IF(OR(AC329="Cancelled",S329=0),0,Z329/S329)</f>
        <v/>
      </c>
      <c r="AB329" s="56">
        <f>IFERROR(IF(Q329=0,0,S329/Q329),0)</f>
        <v/>
      </c>
      <c r="AC329" s="56" t="inlineStr">
        <is>
          <t>Delivered</t>
        </is>
      </c>
      <c r="AD329" s="56">
        <f>IF(Z329&lt;=0,"Low Profit",IF(Z329&gt;=50,"HighProfit","Medium Profit"))</f>
        <v/>
      </c>
      <c r="AE329" s="56">
        <f>TEXT(B329,"mmmm")</f>
        <v/>
      </c>
    </row>
    <row r="330" ht="14.25" customHeight="1" s="57">
      <c r="A330" s="56" t="inlineStr">
        <is>
          <t>ORD-00261</t>
        </is>
      </c>
      <c r="B330" s="116" t="n">
        <v>45968</v>
      </c>
      <c r="C330" s="56" t="n">
        <v>2025</v>
      </c>
      <c r="D330" s="56" t="n">
        <v>11</v>
      </c>
      <c r="E330" s="56" t="inlineStr">
        <is>
          <t>UAE</t>
        </is>
      </c>
      <c r="F330" s="56" t="inlineStr">
        <is>
          <t>Abu Dhabi</t>
        </is>
      </c>
      <c r="G330" s="56" t="inlineStr">
        <is>
          <t>TikTok Ads</t>
        </is>
      </c>
      <c r="H330" s="56" t="inlineStr">
        <is>
          <t>Bundle Promo</t>
        </is>
      </c>
      <c r="I330" s="56" t="inlineStr">
        <is>
          <t>P006</t>
        </is>
      </c>
      <c r="J330" s="56" t="inlineStr">
        <is>
          <t>Posture Corrector</t>
        </is>
      </c>
      <c r="K330" s="56" t="inlineStr">
        <is>
          <t>Fitness</t>
        </is>
      </c>
      <c r="L330" s="56" t="inlineStr">
        <is>
          <t>Hangzhou Health Gear</t>
        </is>
      </c>
      <c r="M330" s="56" t="n">
        <v>35.31</v>
      </c>
      <c r="N330" s="56" t="n">
        <v>9.02</v>
      </c>
      <c r="O330" s="56" t="n">
        <v>3.89</v>
      </c>
      <c r="P330" s="56" t="n">
        <v>0.03</v>
      </c>
      <c r="Q330" s="56" t="n">
        <v>8.5</v>
      </c>
      <c r="R330" s="56" t="n">
        <v>3</v>
      </c>
      <c r="S330" s="56">
        <f>IF(AC330="Cancelled",0,M330*R330)</f>
        <v/>
      </c>
      <c r="T330" s="56">
        <f>IF(AC330="Cancelled",0,N330*R330)</f>
        <v/>
      </c>
      <c r="U330" s="56">
        <f>IF(AC330="Cancelled",0,O330*R330)</f>
        <v/>
      </c>
      <c r="V330" s="56">
        <f>IF(AC330="Cancelled",0,ROUND(P330*S330,2))</f>
        <v/>
      </c>
      <c r="W330" s="56" t="inlineStr">
        <is>
          <t>No</t>
        </is>
      </c>
      <c r="X330" s="56" t="n">
        <v>0</v>
      </c>
      <c r="Y330" s="56">
        <f>IF(AC330="Cancelled",0,T330+U330+V330+Q330+X330)</f>
        <v/>
      </c>
      <c r="Z330" s="56">
        <f>IF(AC330="Cancelled",-Q330,S330-Y330)</f>
        <v/>
      </c>
      <c r="AA330" s="56">
        <f>IF(OR(AC330="Cancelled",S330=0),0,Z330/S330)</f>
        <v/>
      </c>
      <c r="AB330" s="56">
        <f>IFERROR(IF(Q330=0,0,S330/Q330),0)</f>
        <v/>
      </c>
      <c r="AC330" s="56" t="inlineStr">
        <is>
          <t>Delivered</t>
        </is>
      </c>
      <c r="AD330" s="56">
        <f>IF(Z330&lt;=0,"Low Profit",IF(Z330&gt;=50,"HighProfit","Medium Profit"))</f>
        <v/>
      </c>
      <c r="AE330" s="56">
        <f>TEXT(B330,"mmmm")</f>
        <v/>
      </c>
    </row>
    <row r="331" ht="14.25" customHeight="1" s="57">
      <c r="A331" s="56" t="inlineStr">
        <is>
          <t>ORD-00487</t>
        </is>
      </c>
      <c r="B331" s="116" t="n">
        <v>45971</v>
      </c>
      <c r="C331" s="56" t="n">
        <v>2025</v>
      </c>
      <c r="D331" s="56" t="n">
        <v>11</v>
      </c>
      <c r="E331" s="56" t="inlineStr">
        <is>
          <t>UAE</t>
        </is>
      </c>
      <c r="F331" s="56" t="inlineStr">
        <is>
          <t>Abu Dhabi</t>
        </is>
      </c>
      <c r="G331" s="56" t="inlineStr">
        <is>
          <t>TikTok Ads</t>
        </is>
      </c>
      <c r="H331" s="56" t="inlineStr">
        <is>
          <t>Bundle Promo</t>
        </is>
      </c>
      <c r="I331" s="56" t="inlineStr">
        <is>
          <t>P009</t>
        </is>
      </c>
      <c r="J331" s="56" t="inlineStr">
        <is>
          <t>Car Vacuum Cleaner</t>
        </is>
      </c>
      <c r="K331" s="56" t="inlineStr">
        <is>
          <t>Automotive</t>
        </is>
      </c>
      <c r="L331" s="56" t="inlineStr">
        <is>
          <t>Dongguan Auto Tools</t>
        </is>
      </c>
      <c r="M331" s="56" t="n">
        <v>50.03</v>
      </c>
      <c r="N331" s="56" t="n">
        <v>13.96</v>
      </c>
      <c r="O331" s="56" t="n">
        <v>6.49</v>
      </c>
      <c r="P331" s="56" t="n">
        <v>0.03</v>
      </c>
      <c r="Q331" s="56" t="n">
        <v>6.15</v>
      </c>
      <c r="R331" s="56" t="n">
        <v>1</v>
      </c>
      <c r="S331" s="56">
        <f>IF(AC331="Cancelled",0,M331*R331)</f>
        <v/>
      </c>
      <c r="T331" s="56">
        <f>IF(AC331="Cancelled",0,N331*R331)</f>
        <v/>
      </c>
      <c r="U331" s="56">
        <f>IF(AC331="Cancelled",0,O331*R331)</f>
        <v/>
      </c>
      <c r="V331" s="56">
        <f>IF(AC331="Cancelled",0,ROUND(P331*S331,2))</f>
        <v/>
      </c>
      <c r="W331" s="56" t="inlineStr">
        <is>
          <t>No</t>
        </is>
      </c>
      <c r="X331" s="56" t="n">
        <v>0</v>
      </c>
      <c r="Y331" s="56">
        <f>IF(AC331="Cancelled",0,T331+U331+V331+Q331+X331)</f>
        <v/>
      </c>
      <c r="Z331" s="56">
        <f>IF(AC331="Cancelled",-Q331,S331-Y331)</f>
        <v/>
      </c>
      <c r="AA331" s="56">
        <f>IF(OR(AC331="Cancelled",S331=0),0,Z331/S331)</f>
        <v/>
      </c>
      <c r="AB331" s="56">
        <f>IFERROR(IF(Q331=0,0,S331/Q331),0)</f>
        <v/>
      </c>
      <c r="AC331" s="56" t="inlineStr">
        <is>
          <t>Delivered</t>
        </is>
      </c>
      <c r="AD331" s="56">
        <f>IF(Z331&lt;=0,"Low Profit",IF(Z331&gt;=50,"HighProfit","Medium Profit"))</f>
        <v/>
      </c>
      <c r="AE331" s="56">
        <f>TEXT(B331,"mmmm")</f>
        <v/>
      </c>
    </row>
    <row r="332" ht="14.25" customHeight="1" s="57">
      <c r="A332" s="56" t="inlineStr">
        <is>
          <t>ORD-00008</t>
        </is>
      </c>
      <c r="B332" s="116" t="n">
        <v>45974</v>
      </c>
      <c r="C332" s="56" t="n">
        <v>2025</v>
      </c>
      <c r="D332" s="56" t="n">
        <v>11</v>
      </c>
      <c r="E332" s="56" t="inlineStr">
        <is>
          <t>UAE</t>
        </is>
      </c>
      <c r="F332" s="56" t="inlineStr">
        <is>
          <t>Abu Dhabi</t>
        </is>
      </c>
      <c r="G332" s="56" t="inlineStr">
        <is>
          <t>TikTok Ads</t>
        </is>
      </c>
      <c r="H332" s="56" t="inlineStr">
        <is>
          <t>Summer Sale</t>
        </is>
      </c>
      <c r="I332" s="56" t="inlineStr">
        <is>
          <t>P009</t>
        </is>
      </c>
      <c r="J332" s="56" t="inlineStr">
        <is>
          <t>Car Vacuum Cleaner</t>
        </is>
      </c>
      <c r="K332" s="56" t="inlineStr">
        <is>
          <t>Automotive</t>
        </is>
      </c>
      <c r="L332" s="56" t="inlineStr">
        <is>
          <t>Dongguan Auto Tools</t>
        </is>
      </c>
      <c r="M332" s="56" t="n">
        <v>47.03</v>
      </c>
      <c r="N332" s="56" t="n">
        <v>15.02</v>
      </c>
      <c r="O332" s="56" t="n">
        <v>6.13</v>
      </c>
      <c r="P332" s="56" t="n">
        <v>0.03</v>
      </c>
      <c r="Q332" s="56" t="n">
        <v>2.67</v>
      </c>
      <c r="R332" s="56" t="n">
        <v>1</v>
      </c>
      <c r="S332" s="56">
        <f>IF(AC332="Cancelled",0,M332*R332)</f>
        <v/>
      </c>
      <c r="T332" s="56">
        <f>IF(AC332="Cancelled",0,N332*R332)</f>
        <v/>
      </c>
      <c r="U332" s="56">
        <f>IF(AC332="Cancelled",0,O332*R332)</f>
        <v/>
      </c>
      <c r="V332" s="56">
        <f>IF(AC332="Cancelled",0,ROUND(P332*S332,2))</f>
        <v/>
      </c>
      <c r="W332" s="56" t="inlineStr">
        <is>
          <t>No</t>
        </is>
      </c>
      <c r="X332" s="56" t="n">
        <v>0</v>
      </c>
      <c r="Y332" s="56">
        <f>IF(AC332="Cancelled",0,T332+U332+V332+Q332+X332)</f>
        <v/>
      </c>
      <c r="Z332" s="56">
        <f>IF(AC332="Cancelled",-Q332,S332-Y332)</f>
        <v/>
      </c>
      <c r="AA332" s="56">
        <f>IF(OR(AC332="Cancelled",S332=0),0,Z332/S332)</f>
        <v/>
      </c>
      <c r="AB332" s="56">
        <f>IFERROR(IF(Q332=0,0,S332/Q332),0)</f>
        <v/>
      </c>
      <c r="AC332" s="56" t="inlineStr">
        <is>
          <t>Delivered</t>
        </is>
      </c>
      <c r="AD332" s="56">
        <f>IF(Z332&lt;=0,"Low Profit",IF(Z332&gt;=50,"HighProfit","Medium Profit"))</f>
        <v/>
      </c>
      <c r="AE332" s="56">
        <f>TEXT(B332,"mmmm")</f>
        <v/>
      </c>
    </row>
    <row r="333" ht="14.25" customHeight="1" s="57">
      <c r="A333" s="56" t="inlineStr">
        <is>
          <t>ORD-00270</t>
        </is>
      </c>
      <c r="B333" s="116" t="n">
        <v>45977</v>
      </c>
      <c r="C333" s="56" t="n">
        <v>2025</v>
      </c>
      <c r="D333" s="56" t="n">
        <v>11</v>
      </c>
      <c r="E333" s="56" t="inlineStr">
        <is>
          <t>Oman</t>
        </is>
      </c>
      <c r="F333" s="56" t="inlineStr">
        <is>
          <t>Muscat</t>
        </is>
      </c>
      <c r="G333" s="56" t="inlineStr">
        <is>
          <t>TikTok Ads</t>
        </is>
      </c>
      <c r="H333" s="56" t="inlineStr">
        <is>
          <t>New Creative A/B</t>
        </is>
      </c>
      <c r="I333" s="56" t="inlineStr">
        <is>
          <t>P002</t>
        </is>
      </c>
      <c r="J333" s="56" t="inlineStr">
        <is>
          <t>Phone Case</t>
        </is>
      </c>
      <c r="K333" s="56" t="inlineStr">
        <is>
          <t>Accessories</t>
        </is>
      </c>
      <c r="L333" s="56" t="inlineStr">
        <is>
          <t>Guangzhou Cases Ltd.</t>
        </is>
      </c>
      <c r="M333" s="56" t="n">
        <v>16.4</v>
      </c>
      <c r="N333" s="56" t="n">
        <v>2.12</v>
      </c>
      <c r="O333" s="56" t="n">
        <v>1.94</v>
      </c>
      <c r="P333" s="56" t="n">
        <v>0.03</v>
      </c>
      <c r="Q333" s="56" t="n">
        <v>19.5</v>
      </c>
      <c r="R333" s="56" t="n">
        <v>2</v>
      </c>
      <c r="S333" s="56">
        <f>IF(AC333="Cancelled",0,M333*R333)</f>
        <v/>
      </c>
      <c r="T333" s="56">
        <f>IF(AC333="Cancelled",0,N333*R333)</f>
        <v/>
      </c>
      <c r="U333" s="56">
        <f>IF(AC333="Cancelled",0,O333*R333)</f>
        <v/>
      </c>
      <c r="V333" s="56">
        <f>IF(AC333="Cancelled",0,ROUND(P333*S333,2))</f>
        <v/>
      </c>
      <c r="W333" s="56" t="inlineStr">
        <is>
          <t>No</t>
        </is>
      </c>
      <c r="X333" s="56" t="n">
        <v>0</v>
      </c>
      <c r="Y333" s="56">
        <f>IF(AC333="Cancelled",0,T333+U333+V333+Q333+X333)</f>
        <v/>
      </c>
      <c r="Z333" s="56">
        <f>IF(AC333="Cancelled",-Q333,S333-Y333)</f>
        <v/>
      </c>
      <c r="AA333" s="56">
        <f>IF(OR(AC333="Cancelled",S333=0),0,Z333/S333)</f>
        <v/>
      </c>
      <c r="AB333" s="56">
        <f>IFERROR(IF(Q333=0,0,S333/Q333),0)</f>
        <v/>
      </c>
      <c r="AC333" s="56" t="inlineStr">
        <is>
          <t>Delivered</t>
        </is>
      </c>
      <c r="AD333" s="56">
        <f>IF(Z333&lt;=0,"Low Profit",IF(Z333&gt;=50,"HighProfit","Medium Profit"))</f>
        <v/>
      </c>
      <c r="AE333" s="56">
        <f>TEXT(B333,"mmmm")</f>
        <v/>
      </c>
    </row>
    <row r="334" ht="14.25" customHeight="1" s="57">
      <c r="A334" s="56" t="inlineStr">
        <is>
          <t>ORD-00148</t>
        </is>
      </c>
      <c r="B334" s="116" t="n">
        <v>45978</v>
      </c>
      <c r="C334" s="56" t="n">
        <v>2025</v>
      </c>
      <c r="D334" s="56" t="n">
        <v>11</v>
      </c>
      <c r="E334" s="56" t="inlineStr">
        <is>
          <t>UAE</t>
        </is>
      </c>
      <c r="F334" s="56" t="inlineStr">
        <is>
          <t>Sharjah</t>
        </is>
      </c>
      <c r="G334" s="56" t="inlineStr">
        <is>
          <t>Organic Search</t>
        </is>
      </c>
      <c r="H334" s="56" t="inlineStr">
        <is>
          <t>Bundle Promo</t>
        </is>
      </c>
      <c r="I334" s="56" t="inlineStr">
        <is>
          <t>P008</t>
        </is>
      </c>
      <c r="J334" s="56" t="inlineStr">
        <is>
          <t>Portable Blender</t>
        </is>
      </c>
      <c r="K334" s="56" t="inlineStr">
        <is>
          <t>Kitchen</t>
        </is>
      </c>
      <c r="L334" s="56" t="inlineStr">
        <is>
          <t>Foshan Appliances</t>
        </is>
      </c>
      <c r="M334" s="56" t="n">
        <v>48.53</v>
      </c>
      <c r="N334" s="56" t="n">
        <v>15.84</v>
      </c>
      <c r="O334" s="56" t="n">
        <v>6.67</v>
      </c>
      <c r="P334" s="56" t="n">
        <v>0.03</v>
      </c>
      <c r="Q334" s="56" t="n">
        <v>0</v>
      </c>
      <c r="R334" s="56" t="n">
        <v>1</v>
      </c>
      <c r="S334" s="56">
        <f>IF(AC334="Cancelled",0,M334*R334)</f>
        <v/>
      </c>
      <c r="T334" s="56">
        <f>IF(AC334="Cancelled",0,N334*R334)</f>
        <v/>
      </c>
      <c r="U334" s="56">
        <f>IF(AC334="Cancelled",0,O334*R334)</f>
        <v/>
      </c>
      <c r="V334" s="56">
        <f>IF(AC334="Cancelled",0,ROUND(P334*S334,2))</f>
        <v/>
      </c>
      <c r="W334" s="56" t="inlineStr">
        <is>
          <t>No</t>
        </is>
      </c>
      <c r="X334" s="56" t="n">
        <v>0</v>
      </c>
      <c r="Y334" s="56">
        <f>IF(AC334="Cancelled",0,T334+U334+V334+Q334+X334)</f>
        <v/>
      </c>
      <c r="Z334" s="56">
        <f>IF(AC334="Cancelled",-Q334,S334-Y334)</f>
        <v/>
      </c>
      <c r="AA334" s="56">
        <f>IF(OR(AC334="Cancelled",S334=0),0,Z334/S334)</f>
        <v/>
      </c>
      <c r="AB334" s="56">
        <f>IFERROR(IF(Q334=0,0,S334/Q334),0)</f>
        <v/>
      </c>
      <c r="AC334" s="56" t="inlineStr">
        <is>
          <t>Delivered</t>
        </is>
      </c>
      <c r="AD334" s="56">
        <f>IF(Z334&lt;=0,"Low Profit",IF(Z334&gt;=50,"HighProfit","Medium Profit"))</f>
        <v/>
      </c>
      <c r="AE334" s="56">
        <f>TEXT(B334,"mmmm")</f>
        <v/>
      </c>
    </row>
    <row r="335" ht="14.25" customHeight="1" s="57">
      <c r="A335" s="56" t="inlineStr">
        <is>
          <t>ORD-00411</t>
        </is>
      </c>
      <c r="B335" s="116" t="n">
        <v>45980</v>
      </c>
      <c r="C335" s="56" t="n">
        <v>2025</v>
      </c>
      <c r="D335" s="56" t="n">
        <v>11</v>
      </c>
      <c r="E335" s="56" t="inlineStr">
        <is>
          <t>UAE</t>
        </is>
      </c>
      <c r="F335" s="56" t="inlineStr">
        <is>
          <t>Abu Dhabi</t>
        </is>
      </c>
      <c r="G335" s="56" t="inlineStr">
        <is>
          <t>Google Ads</t>
        </is>
      </c>
      <c r="H335" s="56" t="inlineStr">
        <is>
          <t>Summer Sale</t>
        </is>
      </c>
      <c r="I335" s="56" t="inlineStr">
        <is>
          <t>P007</t>
        </is>
      </c>
      <c r="J335" s="56" t="inlineStr">
        <is>
          <t>Pet Grooming Glove</t>
        </is>
      </c>
      <c r="K335" s="56" t="inlineStr">
        <is>
          <t>Pets</t>
        </is>
      </c>
      <c r="L335" s="56" t="inlineStr">
        <is>
          <t>Yiwu Pet Products</t>
        </is>
      </c>
      <c r="M335" s="56" t="n">
        <v>21.97</v>
      </c>
      <c r="N335" s="56" t="n">
        <v>3.75</v>
      </c>
      <c r="O335" s="56" t="n">
        <v>2.33</v>
      </c>
      <c r="P335" s="56" t="n">
        <v>0.03</v>
      </c>
      <c r="Q335" s="56" t="n">
        <v>1.32</v>
      </c>
      <c r="R335" s="56" t="n">
        <v>1</v>
      </c>
      <c r="S335" s="56">
        <f>IF(AC335="Cancelled",0,M335*R335)</f>
        <v/>
      </c>
      <c r="T335" s="56">
        <f>IF(AC335="Cancelled",0,N335*R335)</f>
        <v/>
      </c>
      <c r="U335" s="56">
        <f>IF(AC335="Cancelled",0,O335*R335)</f>
        <v/>
      </c>
      <c r="V335" s="56">
        <f>IF(AC335="Cancelled",0,ROUND(P335*S335,2))</f>
        <v/>
      </c>
      <c r="W335" s="56" t="inlineStr">
        <is>
          <t>No</t>
        </is>
      </c>
      <c r="X335" s="56" t="n">
        <v>0</v>
      </c>
      <c r="Y335" s="56">
        <f>IF(AC335="Cancelled",0,T335+U335+V335+Q335+X335)</f>
        <v/>
      </c>
      <c r="Z335" s="56">
        <f>IF(AC335="Cancelled",-Q335,S335-Y335)</f>
        <v/>
      </c>
      <c r="AA335" s="56">
        <f>IF(OR(AC335="Cancelled",S335=0),0,Z335/S335)</f>
        <v/>
      </c>
      <c r="AB335" s="56">
        <f>IFERROR(IF(Q335=0,0,S335/Q335),0)</f>
        <v/>
      </c>
      <c r="AC335" s="56" t="inlineStr">
        <is>
          <t>Delivered</t>
        </is>
      </c>
      <c r="AD335" s="56">
        <f>IF(Z335&lt;=0,"Low Profit",IF(Z335&gt;=50,"HighProfit","Medium Profit"))</f>
        <v/>
      </c>
      <c r="AE335" s="56">
        <f>TEXT(B335,"mmmm")</f>
        <v/>
      </c>
    </row>
    <row r="336" ht="14.25" customHeight="1" s="57">
      <c r="A336" s="56" t="inlineStr">
        <is>
          <t>ORD-00445</t>
        </is>
      </c>
      <c r="B336" s="116" t="n">
        <v>45980</v>
      </c>
      <c r="C336" s="56" t="n">
        <v>2025</v>
      </c>
      <c r="D336" s="56" t="n">
        <v>11</v>
      </c>
      <c r="E336" s="56" t="inlineStr">
        <is>
          <t>Kuwait</t>
        </is>
      </c>
      <c r="F336" s="56" t="inlineStr">
        <is>
          <t>Kuwait City</t>
        </is>
      </c>
      <c r="G336" s="56" t="inlineStr">
        <is>
          <t>TikTok Ads</t>
        </is>
      </c>
      <c r="H336" s="56" t="inlineStr">
        <is>
          <t>New Creative A/B</t>
        </is>
      </c>
      <c r="I336" s="56" t="inlineStr">
        <is>
          <t>P001</t>
        </is>
      </c>
      <c r="J336" s="56" t="inlineStr">
        <is>
          <t>Wireless Earbuds</t>
        </is>
      </c>
      <c r="K336" s="56" t="inlineStr">
        <is>
          <t>Electronics</t>
        </is>
      </c>
      <c r="L336" s="56" t="inlineStr">
        <is>
          <t>Shenzhen Audio Co.</t>
        </is>
      </c>
      <c r="M336" s="56" t="n">
        <v>36.72</v>
      </c>
      <c r="N336" s="56" t="n">
        <v>8.710000000000001</v>
      </c>
      <c r="O336" s="56" t="n">
        <v>4.51</v>
      </c>
      <c r="P336" s="56" t="n">
        <v>0.03</v>
      </c>
      <c r="Q336" s="56" t="n">
        <v>9.99</v>
      </c>
      <c r="R336" s="56" t="n">
        <v>2</v>
      </c>
      <c r="S336" s="56">
        <f>IF(AC336="Cancelled",0,M336*R336)</f>
        <v/>
      </c>
      <c r="T336" s="56">
        <f>IF(AC336="Cancelled",0,N336*R336)</f>
        <v/>
      </c>
      <c r="U336" s="56">
        <f>IF(AC336="Cancelled",0,O336*R336)</f>
        <v/>
      </c>
      <c r="V336" s="56">
        <f>IF(AC336="Cancelled",0,ROUND(P336*S336,2))</f>
        <v/>
      </c>
      <c r="W336" s="56" t="inlineStr">
        <is>
          <t>No</t>
        </is>
      </c>
      <c r="X336" s="56" t="n">
        <v>0</v>
      </c>
      <c r="Y336" s="56">
        <f>IF(AC336="Cancelled",0,T336+U336+V336+Q336+X336)</f>
        <v/>
      </c>
      <c r="Z336" s="56">
        <f>IF(AC336="Cancelled",-Q336,S336-Y336)</f>
        <v/>
      </c>
      <c r="AA336" s="56">
        <f>IF(OR(AC336="Cancelled",S336=0),0,Z336/S336)</f>
        <v/>
      </c>
      <c r="AB336" s="56">
        <f>IFERROR(IF(Q336=0,0,S336/Q336),0)</f>
        <v/>
      </c>
      <c r="AC336" s="56" t="inlineStr">
        <is>
          <t>Delivered</t>
        </is>
      </c>
      <c r="AD336" s="56">
        <f>IF(Z336&lt;=0,"Low Profit",IF(Z336&gt;=50,"HighProfit","Medium Profit"))</f>
        <v/>
      </c>
      <c r="AE336" s="56">
        <f>TEXT(B336,"mmmm")</f>
        <v/>
      </c>
    </row>
    <row r="337" ht="14.25" customHeight="1" s="57">
      <c r="A337" s="56" t="inlineStr">
        <is>
          <t>ORD-00167</t>
        </is>
      </c>
      <c r="B337" s="116" t="n">
        <v>45981</v>
      </c>
      <c r="C337" s="56" t="n">
        <v>2025</v>
      </c>
      <c r="D337" s="56" t="n">
        <v>11</v>
      </c>
      <c r="E337" s="56" t="inlineStr">
        <is>
          <t>Oman</t>
        </is>
      </c>
      <c r="F337" s="56" t="inlineStr">
        <is>
          <t>Muscat</t>
        </is>
      </c>
      <c r="G337" s="56" t="inlineStr">
        <is>
          <t>TikTok Ads</t>
        </is>
      </c>
      <c r="H337" s="56" t="inlineStr">
        <is>
          <t>Retargeting</t>
        </is>
      </c>
      <c r="I337" s="56" t="inlineStr">
        <is>
          <t>P010</t>
        </is>
      </c>
      <c r="J337" s="56" t="inlineStr">
        <is>
          <t>Smart Water Bottle</t>
        </is>
      </c>
      <c r="K337" s="56" t="inlineStr">
        <is>
          <t>Lifestyle</t>
        </is>
      </c>
      <c r="L337" s="56" t="inlineStr">
        <is>
          <t>Shenzhen Smart Home</t>
        </is>
      </c>
      <c r="M337" s="56" t="n">
        <v>30.92</v>
      </c>
      <c r="N337" s="56" t="n">
        <v>10.64</v>
      </c>
      <c r="O337" s="56" t="n">
        <v>4.05</v>
      </c>
      <c r="P337" s="56" t="n">
        <v>0.03</v>
      </c>
      <c r="Q337" s="56" t="n">
        <v>18.18</v>
      </c>
      <c r="R337" s="56" t="n">
        <v>2</v>
      </c>
      <c r="S337" s="56">
        <f>IF(AC337="Cancelled",0,M337*R337)</f>
        <v/>
      </c>
      <c r="T337" s="56">
        <f>IF(AC337="Cancelled",0,N337*R337)</f>
        <v/>
      </c>
      <c r="U337" s="56">
        <f>IF(AC337="Cancelled",0,O337*R337)</f>
        <v/>
      </c>
      <c r="V337" s="56">
        <f>IF(AC337="Cancelled",0,ROUND(P337*S337,2))</f>
        <v/>
      </c>
      <c r="W337" s="56" t="inlineStr">
        <is>
          <t>No</t>
        </is>
      </c>
      <c r="X337" s="56" t="n">
        <v>0</v>
      </c>
      <c r="Y337" s="56">
        <f>IF(AC337="Cancelled",0,T337+U337+V337+Q337+X337)</f>
        <v/>
      </c>
      <c r="Z337" s="56">
        <f>IF(AC337="Cancelled",-Q337,S337-Y337)</f>
        <v/>
      </c>
      <c r="AA337" s="56">
        <f>IF(OR(AC337="Cancelled",S337=0),0,Z337/S337)</f>
        <v/>
      </c>
      <c r="AB337" s="56">
        <f>IFERROR(IF(Q337=0,0,S337/Q337),0)</f>
        <v/>
      </c>
      <c r="AC337" s="56" t="inlineStr">
        <is>
          <t>Delivered</t>
        </is>
      </c>
      <c r="AD337" s="56">
        <f>IF(Z337&lt;=0,"Low Profit",IF(Z337&gt;=50,"HighProfit","Medium Profit"))</f>
        <v/>
      </c>
      <c r="AE337" s="56">
        <f>TEXT(B337,"mmmm")</f>
        <v/>
      </c>
    </row>
    <row r="338" ht="14.25" customHeight="1" s="57">
      <c r="A338" s="56" t="inlineStr">
        <is>
          <t>ORD-00030</t>
        </is>
      </c>
      <c r="B338" s="116" t="n">
        <v>45983</v>
      </c>
      <c r="C338" s="56" t="n">
        <v>2025</v>
      </c>
      <c r="D338" s="56" t="n">
        <v>11</v>
      </c>
      <c r="E338" s="56" t="inlineStr">
        <is>
          <t>UAE</t>
        </is>
      </c>
      <c r="F338" s="56" t="inlineStr">
        <is>
          <t>Sharjah</t>
        </is>
      </c>
      <c r="G338" s="56" t="inlineStr">
        <is>
          <t>Meta Ads</t>
        </is>
      </c>
      <c r="H338" s="56" t="inlineStr">
        <is>
          <t>Bundle Promo</t>
        </is>
      </c>
      <c r="I338" s="56" t="inlineStr">
        <is>
          <t>P010</t>
        </is>
      </c>
      <c r="J338" s="56" t="inlineStr">
        <is>
          <t>Smart Water Bottle</t>
        </is>
      </c>
      <c r="K338" s="56" t="inlineStr">
        <is>
          <t>Lifestyle</t>
        </is>
      </c>
      <c r="L338" s="56" t="inlineStr">
        <is>
          <t>Shenzhen Smart Home</t>
        </is>
      </c>
      <c r="M338" s="56" t="n">
        <v>32.56</v>
      </c>
      <c r="N338" s="56" t="n">
        <v>10.49</v>
      </c>
      <c r="O338" s="56" t="n">
        <v>3.68</v>
      </c>
      <c r="P338" s="56" t="n">
        <v>0.03</v>
      </c>
      <c r="Q338" s="56" t="n">
        <v>8.220000000000001</v>
      </c>
      <c r="R338" s="56" t="n">
        <v>1</v>
      </c>
      <c r="S338" s="56">
        <f>IF(AC338="Cancelled",0,M338*R338)</f>
        <v/>
      </c>
      <c r="T338" s="56">
        <f>IF(AC338="Cancelled",0,N338*R338)</f>
        <v/>
      </c>
      <c r="U338" s="56">
        <f>IF(AC338="Cancelled",0,O338*R338)</f>
        <v/>
      </c>
      <c r="V338" s="56">
        <f>IF(AC338="Cancelled",0,ROUND(P338*S338,2))</f>
        <v/>
      </c>
      <c r="W338" s="56" t="inlineStr">
        <is>
          <t>No</t>
        </is>
      </c>
      <c r="X338" s="56" t="n">
        <v>0</v>
      </c>
      <c r="Y338" s="56">
        <f>IF(AC338="Cancelled",0,T338+U338+V338+Q338+X338)</f>
        <v/>
      </c>
      <c r="Z338" s="56">
        <f>IF(AC338="Cancelled",-Q338,S338-Y338)</f>
        <v/>
      </c>
      <c r="AA338" s="56">
        <f>IF(OR(AC338="Cancelled",S338=0),0,Z338/S338)</f>
        <v/>
      </c>
      <c r="AB338" s="56">
        <f>IFERROR(IF(Q338=0,0,S338/Q338),0)</f>
        <v/>
      </c>
      <c r="AC338" s="56" t="inlineStr">
        <is>
          <t>Delivered</t>
        </is>
      </c>
      <c r="AD338" s="56">
        <f>IF(Z338&lt;=0,"Low Profit",IF(Z338&gt;=50,"HighProfit","Medium Profit"))</f>
        <v/>
      </c>
      <c r="AE338" s="56">
        <f>TEXT(B338,"mmmm")</f>
        <v/>
      </c>
    </row>
    <row r="339" ht="14.25" customHeight="1" s="57">
      <c r="A339" s="56" t="inlineStr">
        <is>
          <t>ORD-00070</t>
        </is>
      </c>
      <c r="B339" s="116" t="n">
        <v>45984</v>
      </c>
      <c r="C339" s="56" t="n">
        <v>2025</v>
      </c>
      <c r="D339" s="56" t="n">
        <v>11</v>
      </c>
      <c r="E339" s="56" t="inlineStr">
        <is>
          <t>UAE</t>
        </is>
      </c>
      <c r="F339" s="56" t="inlineStr">
        <is>
          <t>Abu Dhabi</t>
        </is>
      </c>
      <c r="G339" s="56" t="inlineStr">
        <is>
          <t>Email</t>
        </is>
      </c>
      <c r="H339" s="56" t="inlineStr">
        <is>
          <t>Launch Test</t>
        </is>
      </c>
      <c r="I339" s="56" t="inlineStr">
        <is>
          <t>P003</t>
        </is>
      </c>
      <c r="J339" s="56" t="inlineStr">
        <is>
          <t>LED Strip Lights</t>
        </is>
      </c>
      <c r="K339" s="56" t="inlineStr">
        <is>
          <t>Home Decor</t>
        </is>
      </c>
      <c r="L339" s="56" t="inlineStr">
        <is>
          <t>Yiwu Lighting Factory</t>
        </is>
      </c>
      <c r="M339" s="56" t="n">
        <v>24.97</v>
      </c>
      <c r="N339" s="56" t="n">
        <v>5.79</v>
      </c>
      <c r="O339" s="56" t="n">
        <v>3.5</v>
      </c>
      <c r="P339" s="56" t="n">
        <v>0.03</v>
      </c>
      <c r="Q339" s="56" t="n">
        <v>20.49</v>
      </c>
      <c r="R339" s="56" t="n">
        <v>3</v>
      </c>
      <c r="S339" s="56">
        <f>IF(AC339="Cancelled",0,M339*R339)</f>
        <v/>
      </c>
      <c r="T339" s="56">
        <f>IF(AC339="Cancelled",0,N339*R339)</f>
        <v/>
      </c>
      <c r="U339" s="56">
        <f>IF(AC339="Cancelled",0,O339*R339)</f>
        <v/>
      </c>
      <c r="V339" s="56">
        <f>IF(AC339="Cancelled",0,ROUND(P339*S339,2))</f>
        <v/>
      </c>
      <c r="W339" s="56" t="inlineStr">
        <is>
          <t>No</t>
        </is>
      </c>
      <c r="X339" s="56" t="n">
        <v>0</v>
      </c>
      <c r="Y339" s="56">
        <f>IF(AC339="Cancelled",0,T339+U339+V339+Q339+X339)</f>
        <v/>
      </c>
      <c r="Z339" s="56">
        <f>IF(AC339="Cancelled",-Q339,S339-Y339)</f>
        <v/>
      </c>
      <c r="AA339" s="56">
        <f>IF(OR(AC339="Cancelled",S339=0),0,Z339/S339)</f>
        <v/>
      </c>
      <c r="AB339" s="56">
        <f>IFERROR(IF(Q339=0,0,S339/Q339),0)</f>
        <v/>
      </c>
      <c r="AC339" s="56" t="inlineStr">
        <is>
          <t>Delivered</t>
        </is>
      </c>
      <c r="AD339" s="56">
        <f>IF(Z339&lt;=0,"Low Profit",IF(Z339&gt;=50,"HighProfit","Medium Profit"))</f>
        <v/>
      </c>
      <c r="AE339" s="56">
        <f>TEXT(B339,"mmmm")</f>
        <v/>
      </c>
    </row>
    <row r="340" ht="14.25" customHeight="1" s="57">
      <c r="A340" s="56" t="inlineStr">
        <is>
          <t>ORD-00103</t>
        </is>
      </c>
      <c r="B340" s="116" t="n">
        <v>45984</v>
      </c>
      <c r="C340" s="56" t="n">
        <v>2025</v>
      </c>
      <c r="D340" s="56" t="n">
        <v>11</v>
      </c>
      <c r="E340" s="56" t="inlineStr">
        <is>
          <t>Kuwait</t>
        </is>
      </c>
      <c r="F340" s="56" t="inlineStr">
        <is>
          <t>Kuwait City</t>
        </is>
      </c>
      <c r="G340" s="56" t="inlineStr">
        <is>
          <t>Organic Search</t>
        </is>
      </c>
      <c r="H340" s="56" t="inlineStr">
        <is>
          <t>New Creative A/B</t>
        </is>
      </c>
      <c r="I340" s="56" t="inlineStr">
        <is>
          <t>P009</t>
        </is>
      </c>
      <c r="J340" s="56" t="inlineStr">
        <is>
          <t>Car Vacuum Cleaner</t>
        </is>
      </c>
      <c r="K340" s="56" t="inlineStr">
        <is>
          <t>Automotive</t>
        </is>
      </c>
      <c r="L340" s="56" t="inlineStr">
        <is>
          <t>Dongguan Auto Tools</t>
        </is>
      </c>
      <c r="M340" s="56" t="n">
        <v>47.52</v>
      </c>
      <c r="N340" s="56" t="n">
        <v>13.77</v>
      </c>
      <c r="O340" s="56" t="n">
        <v>6.11</v>
      </c>
      <c r="P340" s="56" t="n">
        <v>0.03</v>
      </c>
      <c r="Q340" s="56" t="n">
        <v>0</v>
      </c>
      <c r="R340" s="56" t="n">
        <v>2</v>
      </c>
      <c r="S340" s="56">
        <f>IF(AC340="Cancelled",0,M340*R340)</f>
        <v/>
      </c>
      <c r="T340" s="56">
        <f>IF(AC340="Cancelled",0,N340*R340)</f>
        <v/>
      </c>
      <c r="U340" s="56">
        <f>IF(AC340="Cancelled",0,O340*R340)</f>
        <v/>
      </c>
      <c r="V340" s="56">
        <f>IF(AC340="Cancelled",0,ROUND(P340*S340,2))</f>
        <v/>
      </c>
      <c r="W340" s="56" t="inlineStr">
        <is>
          <t>No</t>
        </is>
      </c>
      <c r="X340" s="56" t="n">
        <v>0</v>
      </c>
      <c r="Y340" s="56">
        <f>IF(AC340="Cancelled",0,T340+U340+V340+Q340+X340)</f>
        <v/>
      </c>
      <c r="Z340" s="56">
        <f>IF(AC340="Cancelled",-Q340,S340-Y340)</f>
        <v/>
      </c>
      <c r="AA340" s="56">
        <f>IF(OR(AC340="Cancelled",S340=0),0,Z340/S340)</f>
        <v/>
      </c>
      <c r="AB340" s="56">
        <f>IFERROR(IF(Q340=0,0,S340/Q340),0)</f>
        <v/>
      </c>
      <c r="AC340" s="56" t="inlineStr">
        <is>
          <t>Delivered</t>
        </is>
      </c>
      <c r="AD340" s="56">
        <f>IF(Z340&lt;=0,"Low Profit",IF(Z340&gt;=50,"HighProfit","Medium Profit"))</f>
        <v/>
      </c>
      <c r="AE340" s="56">
        <f>TEXT(B340,"mmmm")</f>
        <v/>
      </c>
    </row>
    <row r="341" ht="14.25" customHeight="1" s="57">
      <c r="A341" s="56" t="inlineStr">
        <is>
          <t>ORD-00297</t>
        </is>
      </c>
      <c r="B341" s="116" t="n">
        <v>45984</v>
      </c>
      <c r="C341" s="56" t="n">
        <v>2025</v>
      </c>
      <c r="D341" s="56" t="n">
        <v>11</v>
      </c>
      <c r="E341" s="56" t="inlineStr">
        <is>
          <t>Kuwait</t>
        </is>
      </c>
      <c r="F341" s="56" t="inlineStr">
        <is>
          <t>Kuwait City</t>
        </is>
      </c>
      <c r="G341" s="56" t="inlineStr">
        <is>
          <t>Email</t>
        </is>
      </c>
      <c r="H341" s="56" t="inlineStr">
        <is>
          <t>Retargeting</t>
        </is>
      </c>
      <c r="I341" s="56" t="inlineStr">
        <is>
          <t>P007</t>
        </is>
      </c>
      <c r="J341" s="56" t="inlineStr">
        <is>
          <t>Pet Grooming Glove</t>
        </is>
      </c>
      <c r="K341" s="56" t="inlineStr">
        <is>
          <t>Pets</t>
        </is>
      </c>
      <c r="L341" s="56" t="inlineStr">
        <is>
          <t>Yiwu Pet Products</t>
        </is>
      </c>
      <c r="M341" s="56" t="n">
        <v>19.59</v>
      </c>
      <c r="N341" s="56" t="n">
        <v>3.74</v>
      </c>
      <c r="O341" s="56" t="n">
        <v>2.7</v>
      </c>
      <c r="P341" s="56" t="n">
        <v>0.03</v>
      </c>
      <c r="Q341" s="56" t="n">
        <v>9.98</v>
      </c>
      <c r="R341" s="56" t="n">
        <v>1</v>
      </c>
      <c r="S341" s="56">
        <f>IF(AC341="Cancelled",0,M341*R341)</f>
        <v/>
      </c>
      <c r="T341" s="56">
        <f>IF(AC341="Cancelled",0,N341*R341)</f>
        <v/>
      </c>
      <c r="U341" s="56">
        <f>IF(AC341="Cancelled",0,O341*R341)</f>
        <v/>
      </c>
      <c r="V341" s="56">
        <f>IF(AC341="Cancelled",0,ROUND(P341*S341,2))</f>
        <v/>
      </c>
      <c r="W341" s="56" t="inlineStr">
        <is>
          <t>No</t>
        </is>
      </c>
      <c r="X341" s="56" t="n">
        <v>0</v>
      </c>
      <c r="Y341" s="56">
        <f>IF(AC341="Cancelled",0,T341+U341+V341+Q341+X341)</f>
        <v/>
      </c>
      <c r="Z341" s="56">
        <f>IF(AC341="Cancelled",-Q341,S341-Y341)</f>
        <v/>
      </c>
      <c r="AA341" s="56">
        <f>IF(OR(AC341="Cancelled",S341=0),0,Z341/S341)</f>
        <v/>
      </c>
      <c r="AB341" s="56">
        <f>IFERROR(IF(Q341=0,0,S341/Q341),0)</f>
        <v/>
      </c>
      <c r="AC341" s="56" t="inlineStr">
        <is>
          <t>Delivered</t>
        </is>
      </c>
      <c r="AD341" s="56">
        <f>IF(Z341&lt;=0,"Low Profit",IF(Z341&gt;=50,"HighProfit","Medium Profit"))</f>
        <v/>
      </c>
      <c r="AE341" s="56">
        <f>TEXT(B341,"mmmm")</f>
        <v/>
      </c>
    </row>
    <row r="342" ht="14.25" customHeight="1" s="57">
      <c r="A342" s="56" t="inlineStr">
        <is>
          <t>ORD-00371</t>
        </is>
      </c>
      <c r="B342" s="116" t="n">
        <v>45984</v>
      </c>
      <c r="C342" s="56" t="n">
        <v>2025</v>
      </c>
      <c r="D342" s="56" t="n">
        <v>11</v>
      </c>
      <c r="E342" s="56" t="inlineStr">
        <is>
          <t>UAE</t>
        </is>
      </c>
      <c r="F342" s="56" t="inlineStr">
        <is>
          <t>Dubai</t>
        </is>
      </c>
      <c r="G342" s="56" t="inlineStr">
        <is>
          <t>Meta Ads</t>
        </is>
      </c>
      <c r="H342" s="56" t="inlineStr">
        <is>
          <t>New Creative A/B</t>
        </is>
      </c>
      <c r="I342" s="56" t="inlineStr">
        <is>
          <t>P010</t>
        </is>
      </c>
      <c r="J342" s="56" t="inlineStr">
        <is>
          <t>Smart Water Bottle</t>
        </is>
      </c>
      <c r="K342" s="56" t="inlineStr">
        <is>
          <t>Lifestyle</t>
        </is>
      </c>
      <c r="L342" s="56" t="inlineStr">
        <is>
          <t>Shenzhen Smart Home</t>
        </is>
      </c>
      <c r="M342" s="56" t="n">
        <v>31.04</v>
      </c>
      <c r="N342" s="56" t="n">
        <v>9.92</v>
      </c>
      <c r="O342" s="56" t="n">
        <v>4.27</v>
      </c>
      <c r="P342" s="56" t="n">
        <v>0.03</v>
      </c>
      <c r="Q342" s="56" t="n">
        <v>10.27</v>
      </c>
      <c r="R342" s="56" t="n">
        <v>1</v>
      </c>
      <c r="S342" s="56">
        <f>IF(AC342="Cancelled",0,M342*R342)</f>
        <v/>
      </c>
      <c r="T342" s="56">
        <f>IF(AC342="Cancelled",0,N342*R342)</f>
        <v/>
      </c>
      <c r="U342" s="56">
        <f>IF(AC342="Cancelled",0,O342*R342)</f>
        <v/>
      </c>
      <c r="V342" s="56">
        <f>IF(AC342="Cancelled",0,ROUND(P342*S342,2))</f>
        <v/>
      </c>
      <c r="W342" s="56" t="inlineStr">
        <is>
          <t>No</t>
        </is>
      </c>
      <c r="X342" s="56" t="n">
        <v>0</v>
      </c>
      <c r="Y342" s="56">
        <f>IF(AC342="Cancelled",0,T342+U342+V342+Q342+X342)</f>
        <v/>
      </c>
      <c r="Z342" s="56">
        <f>IF(AC342="Cancelled",-Q342,S342-Y342)</f>
        <v/>
      </c>
      <c r="AA342" s="56">
        <f>IF(OR(AC342="Cancelled",S342=0),0,Z342/S342)</f>
        <v/>
      </c>
      <c r="AB342" s="56">
        <f>IFERROR(IF(Q342=0,0,S342/Q342),0)</f>
        <v/>
      </c>
      <c r="AC342" s="56" t="inlineStr">
        <is>
          <t>Delivered</t>
        </is>
      </c>
      <c r="AD342" s="56">
        <f>IF(Z342&lt;=0,"Low Profit",IF(Z342&gt;=50,"HighProfit","Medium Profit"))</f>
        <v/>
      </c>
      <c r="AE342" s="56">
        <f>TEXT(B342,"mmmm")</f>
        <v/>
      </c>
    </row>
    <row r="343" ht="14.25" customHeight="1" s="57">
      <c r="A343" s="56" t="inlineStr">
        <is>
          <t>ORD-00322</t>
        </is>
      </c>
      <c r="B343" s="116" t="n">
        <v>45985</v>
      </c>
      <c r="C343" s="56" t="n">
        <v>2025</v>
      </c>
      <c r="D343" s="56" t="n">
        <v>11</v>
      </c>
      <c r="E343" s="56" t="inlineStr">
        <is>
          <t>UAE</t>
        </is>
      </c>
      <c r="F343" s="56" t="inlineStr">
        <is>
          <t>Dubai</t>
        </is>
      </c>
      <c r="G343" s="56" t="inlineStr">
        <is>
          <t>TikTok Ads</t>
        </is>
      </c>
      <c r="H343" s="56" t="inlineStr">
        <is>
          <t>Summer Sale</t>
        </is>
      </c>
      <c r="I343" s="56" t="inlineStr">
        <is>
          <t>P005</t>
        </is>
      </c>
      <c r="J343" s="56" t="inlineStr">
        <is>
          <t>Mini Printer</t>
        </is>
      </c>
      <c r="K343" s="56" t="inlineStr">
        <is>
          <t>Electronics</t>
        </is>
      </c>
      <c r="L343" s="56" t="inlineStr">
        <is>
          <t>Shenzhen Print Tech</t>
        </is>
      </c>
      <c r="M343" s="56" t="n">
        <v>63.99</v>
      </c>
      <c r="N343" s="56" t="n">
        <v>22.69</v>
      </c>
      <c r="O343" s="56" t="n">
        <v>7.52</v>
      </c>
      <c r="P343" s="56" t="n">
        <v>0.03</v>
      </c>
      <c r="Q343" s="56" t="n">
        <v>4.93</v>
      </c>
      <c r="R343" s="56" t="n">
        <v>2</v>
      </c>
      <c r="S343" s="56">
        <f>IF(AC343="Cancelled",0,M343*R343)</f>
        <v/>
      </c>
      <c r="T343" s="56">
        <f>IF(AC343="Cancelled",0,N343*R343)</f>
        <v/>
      </c>
      <c r="U343" s="56">
        <f>IF(AC343="Cancelled",0,O343*R343)</f>
        <v/>
      </c>
      <c r="V343" s="56">
        <f>IF(AC343="Cancelled",0,ROUND(P343*S343,2))</f>
        <v/>
      </c>
      <c r="W343" s="56" t="inlineStr">
        <is>
          <t>No</t>
        </is>
      </c>
      <c r="X343" s="56" t="n">
        <v>0</v>
      </c>
      <c r="Y343" s="56">
        <f>IF(AC343="Cancelled",0,T343+U343+V343+Q343+X343)</f>
        <v/>
      </c>
      <c r="Z343" s="56">
        <f>IF(AC343="Cancelled",-Q343,S343-Y343)</f>
        <v/>
      </c>
      <c r="AA343" s="56">
        <f>IF(OR(AC343="Cancelled",S343=0),0,Z343/S343)</f>
        <v/>
      </c>
      <c r="AB343" s="56">
        <f>IFERROR(IF(Q343=0,0,S343/Q343),0)</f>
        <v/>
      </c>
      <c r="AC343" s="56" t="inlineStr">
        <is>
          <t>Delivered</t>
        </is>
      </c>
      <c r="AD343" s="56">
        <f>IF(Z343&lt;=0,"Low Profit",IF(Z343&gt;=50,"HighProfit","Medium Profit"))</f>
        <v/>
      </c>
      <c r="AE343" s="56">
        <f>TEXT(B343,"mmmm")</f>
        <v/>
      </c>
    </row>
    <row r="344" ht="14.25" customHeight="1" s="57">
      <c r="A344" s="56" t="inlineStr">
        <is>
          <t>ORD-00355</t>
        </is>
      </c>
      <c r="B344" s="116" t="n">
        <v>45987</v>
      </c>
      <c r="C344" s="56" t="n">
        <v>2025</v>
      </c>
      <c r="D344" s="56" t="n">
        <v>11</v>
      </c>
      <c r="E344" s="56" t="inlineStr">
        <is>
          <t>Kuwait</t>
        </is>
      </c>
      <c r="F344" s="56" t="inlineStr">
        <is>
          <t>Kuwait City</t>
        </is>
      </c>
      <c r="G344" s="56" t="inlineStr">
        <is>
          <t>TikTok Ads</t>
        </is>
      </c>
      <c r="H344" s="56" t="inlineStr">
        <is>
          <t>Summer Sale</t>
        </is>
      </c>
      <c r="I344" s="56" t="inlineStr">
        <is>
          <t>P006</t>
        </is>
      </c>
      <c r="J344" s="56" t="inlineStr">
        <is>
          <t>Posture Corrector</t>
        </is>
      </c>
      <c r="K344" s="56" t="inlineStr">
        <is>
          <t>Fitness</t>
        </is>
      </c>
      <c r="L344" s="56" t="inlineStr">
        <is>
          <t>Hangzhou Health Gear</t>
        </is>
      </c>
      <c r="M344" s="56" t="n">
        <v>37.29</v>
      </c>
      <c r="N344" s="56" t="n">
        <v>8.73</v>
      </c>
      <c r="O344" s="56" t="n">
        <v>4.22</v>
      </c>
      <c r="P344" s="56" t="n">
        <v>0.03</v>
      </c>
      <c r="Q344" s="56" t="n">
        <v>15</v>
      </c>
      <c r="R344" s="56" t="n">
        <v>2</v>
      </c>
      <c r="S344" s="56">
        <f>IF(AC344="Cancelled",0,M344*R344)</f>
        <v/>
      </c>
      <c r="T344" s="56">
        <f>IF(AC344="Cancelled",0,N344*R344)</f>
        <v/>
      </c>
      <c r="U344" s="56">
        <f>IF(AC344="Cancelled",0,O344*R344)</f>
        <v/>
      </c>
      <c r="V344" s="56">
        <f>IF(AC344="Cancelled",0,ROUND(P344*S344,2))</f>
        <v/>
      </c>
      <c r="W344" s="56" t="inlineStr">
        <is>
          <t>No</t>
        </is>
      </c>
      <c r="X344" s="56" t="n">
        <v>0</v>
      </c>
      <c r="Y344" s="56">
        <f>IF(AC344="Cancelled",0,T344+U344+V344+Q344+X344)</f>
        <v/>
      </c>
      <c r="Z344" s="56">
        <f>IF(AC344="Cancelled",-Q344,S344-Y344)</f>
        <v/>
      </c>
      <c r="AA344" s="56">
        <f>IF(OR(AC344="Cancelled",S344=0),0,Z344/S344)</f>
        <v/>
      </c>
      <c r="AB344" s="56">
        <f>IFERROR(IF(Q344=0,0,S344/Q344),0)</f>
        <v/>
      </c>
      <c r="AC344" s="56" t="inlineStr">
        <is>
          <t>Delivered</t>
        </is>
      </c>
      <c r="AD344" s="56">
        <f>IF(Z344&lt;=0,"Low Profit",IF(Z344&gt;=50,"HighProfit","Medium Profit"))</f>
        <v/>
      </c>
      <c r="AE344" s="56">
        <f>TEXT(B344,"mmmm")</f>
        <v/>
      </c>
    </row>
    <row r="345" ht="14.25" customHeight="1" s="57">
      <c r="A345" s="56" t="inlineStr">
        <is>
          <t>ORD-00447</t>
        </is>
      </c>
      <c r="B345" s="116" t="n">
        <v>45987</v>
      </c>
      <c r="C345" s="56" t="n">
        <v>2025</v>
      </c>
      <c r="D345" s="56" t="n">
        <v>11</v>
      </c>
      <c r="E345" s="56" t="inlineStr">
        <is>
          <t>Saudi Arabia</t>
        </is>
      </c>
      <c r="F345" s="56" t="inlineStr">
        <is>
          <t>Riyadh</t>
        </is>
      </c>
      <c r="G345" s="56" t="inlineStr">
        <is>
          <t>Google Ads</t>
        </is>
      </c>
      <c r="H345" s="56" t="inlineStr">
        <is>
          <t>Launch Test</t>
        </is>
      </c>
      <c r="I345" s="56" t="inlineStr">
        <is>
          <t>P009</t>
        </is>
      </c>
      <c r="J345" s="56" t="inlineStr">
        <is>
          <t>Car Vacuum Cleaner</t>
        </is>
      </c>
      <c r="K345" s="56" t="inlineStr">
        <is>
          <t>Automotive</t>
        </is>
      </c>
      <c r="L345" s="56" t="inlineStr">
        <is>
          <t>Dongguan Auto Tools</t>
        </is>
      </c>
      <c r="M345" s="56" t="n">
        <v>43.42</v>
      </c>
      <c r="N345" s="56" t="n">
        <v>13.8</v>
      </c>
      <c r="O345" s="56" t="n">
        <v>6.43</v>
      </c>
      <c r="P345" s="56" t="n">
        <v>0.03</v>
      </c>
      <c r="Q345" s="56" t="n">
        <v>4.89</v>
      </c>
      <c r="R345" s="56" t="n">
        <v>1</v>
      </c>
      <c r="S345" s="56">
        <f>IF(AC345="Cancelled",0,M345*R345)</f>
        <v/>
      </c>
      <c r="T345" s="56">
        <f>IF(AC345="Cancelled",0,N345*R345)</f>
        <v/>
      </c>
      <c r="U345" s="56">
        <f>IF(AC345="Cancelled",0,O345*R345)</f>
        <v/>
      </c>
      <c r="V345" s="56">
        <f>IF(AC345="Cancelled",0,ROUND(P345*S345,2))</f>
        <v/>
      </c>
      <c r="W345" s="56" t="inlineStr">
        <is>
          <t>No</t>
        </is>
      </c>
      <c r="X345" s="56" t="n">
        <v>0</v>
      </c>
      <c r="Y345" s="56">
        <f>IF(AC345="Cancelled",0,T345+U345+V345+Q345+X345)</f>
        <v/>
      </c>
      <c r="Z345" s="56">
        <f>IF(AC345="Cancelled",-Q345,S345-Y345)</f>
        <v/>
      </c>
      <c r="AA345" s="56">
        <f>IF(OR(AC345="Cancelled",S345=0),0,Z345/S345)</f>
        <v/>
      </c>
      <c r="AB345" s="56">
        <f>IFERROR(IF(Q345=0,0,S345/Q345),0)</f>
        <v/>
      </c>
      <c r="AC345" s="56" t="inlineStr">
        <is>
          <t>Delivered</t>
        </is>
      </c>
      <c r="AD345" s="56">
        <f>IF(Z345&lt;=0,"Low Profit",IF(Z345&gt;=50,"HighProfit","Medium Profit"))</f>
        <v/>
      </c>
      <c r="AE345" s="56">
        <f>TEXT(B345,"mmmm")</f>
        <v/>
      </c>
    </row>
    <row r="346" ht="14.25" customHeight="1" s="57">
      <c r="A346" s="56" t="inlineStr">
        <is>
          <t>ORD-00339</t>
        </is>
      </c>
      <c r="B346" s="116" t="n">
        <v>45989</v>
      </c>
      <c r="C346" s="56" t="n">
        <v>2025</v>
      </c>
      <c r="D346" s="56" t="n">
        <v>11</v>
      </c>
      <c r="E346" s="56" t="inlineStr">
        <is>
          <t>Oman</t>
        </is>
      </c>
      <c r="F346" s="56" t="inlineStr">
        <is>
          <t>Muscat</t>
        </is>
      </c>
      <c r="G346" s="56" t="inlineStr">
        <is>
          <t>TikTok Ads</t>
        </is>
      </c>
      <c r="H346" s="56" t="inlineStr">
        <is>
          <t>Bundle Promo</t>
        </is>
      </c>
      <c r="I346" s="56" t="inlineStr">
        <is>
          <t>P010</t>
        </is>
      </c>
      <c r="J346" s="56" t="inlineStr">
        <is>
          <t>Smart Water Bottle</t>
        </is>
      </c>
      <c r="K346" s="56" t="inlineStr">
        <is>
          <t>Lifestyle</t>
        </is>
      </c>
      <c r="L346" s="56" t="inlineStr">
        <is>
          <t>Shenzhen Smart Home</t>
        </is>
      </c>
      <c r="M346" s="56" t="n">
        <v>34.43</v>
      </c>
      <c r="N346" s="56" t="n">
        <v>9.640000000000001</v>
      </c>
      <c r="O346" s="56" t="n">
        <v>4.38</v>
      </c>
      <c r="P346" s="56" t="n">
        <v>0.03</v>
      </c>
      <c r="Q346" s="56" t="n">
        <v>1.48</v>
      </c>
      <c r="R346" s="56" t="n">
        <v>1</v>
      </c>
      <c r="S346" s="56">
        <f>IF(AC346="Cancelled",0,M346*R346)</f>
        <v/>
      </c>
      <c r="T346" s="56">
        <f>IF(AC346="Cancelled",0,N346*R346)</f>
        <v/>
      </c>
      <c r="U346" s="56">
        <f>IF(AC346="Cancelled",0,O346*R346)</f>
        <v/>
      </c>
      <c r="V346" s="56">
        <f>IF(AC346="Cancelled",0,ROUND(P346*S346,2))</f>
        <v/>
      </c>
      <c r="W346" s="56" t="inlineStr">
        <is>
          <t>No</t>
        </is>
      </c>
      <c r="X346" s="56" t="n">
        <v>0</v>
      </c>
      <c r="Y346" s="56">
        <f>IF(AC346="Cancelled",0,T346+U346+V346+Q346+X346)</f>
        <v/>
      </c>
      <c r="Z346" s="56">
        <f>IF(AC346="Cancelled",-Q346,S346-Y346)</f>
        <v/>
      </c>
      <c r="AA346" s="56">
        <f>IF(OR(AC346="Cancelled",S346=0),0,Z346/S346)</f>
        <v/>
      </c>
      <c r="AB346" s="56">
        <f>IFERROR(IF(Q346=0,0,S346/Q346),0)</f>
        <v/>
      </c>
      <c r="AC346" s="56" t="inlineStr">
        <is>
          <t>Cancelled</t>
        </is>
      </c>
      <c r="AD346" s="56">
        <f>IF(Z346&lt;=0,"Low Profit",IF(Z346&gt;=50,"HighProfit","Medium Profit"))</f>
        <v/>
      </c>
      <c r="AE346" s="56">
        <f>TEXT(B346,"mmmm")</f>
        <v/>
      </c>
    </row>
    <row r="347" ht="14.25" customHeight="1" s="57">
      <c r="A347" s="56" t="inlineStr">
        <is>
          <t>ORD-00287</t>
        </is>
      </c>
      <c r="B347" s="116" t="n">
        <v>45992</v>
      </c>
      <c r="C347" s="56" t="n">
        <v>2025</v>
      </c>
      <c r="D347" s="56" t="n">
        <v>12</v>
      </c>
      <c r="E347" s="56" t="inlineStr">
        <is>
          <t>Saudi Arabia</t>
        </is>
      </c>
      <c r="F347" s="56" t="inlineStr">
        <is>
          <t>Riyadh</t>
        </is>
      </c>
      <c r="G347" s="56" t="inlineStr">
        <is>
          <t>Organic Search</t>
        </is>
      </c>
      <c r="H347" s="56" t="inlineStr">
        <is>
          <t>Retargeting</t>
        </is>
      </c>
      <c r="I347" s="56" t="inlineStr">
        <is>
          <t>P002</t>
        </is>
      </c>
      <c r="J347" s="56" t="inlineStr">
        <is>
          <t>Phone Case</t>
        </is>
      </c>
      <c r="K347" s="56" t="inlineStr">
        <is>
          <t>Accessories</t>
        </is>
      </c>
      <c r="L347" s="56" t="inlineStr">
        <is>
          <t>Guangzhou Cases Ltd.</t>
        </is>
      </c>
      <c r="M347" s="56" t="n">
        <v>14.16</v>
      </c>
      <c r="N347" s="56" t="n">
        <v>1.91</v>
      </c>
      <c r="O347" s="56" t="n">
        <v>1.83</v>
      </c>
      <c r="P347" s="56" t="n">
        <v>0.03</v>
      </c>
      <c r="Q347" s="56" t="n">
        <v>0</v>
      </c>
      <c r="R347" s="56" t="n">
        <v>2</v>
      </c>
      <c r="S347" s="56">
        <f>IF(AC347="Cancelled",0,M347*R347)</f>
        <v/>
      </c>
      <c r="T347" s="56">
        <f>IF(AC347="Cancelled",0,N347*R347)</f>
        <v/>
      </c>
      <c r="U347" s="56">
        <f>IF(AC347="Cancelled",0,O347*R347)</f>
        <v/>
      </c>
      <c r="V347" s="56">
        <f>IF(AC347="Cancelled",0,ROUND(P347*S347,2))</f>
        <v/>
      </c>
      <c r="W347" s="56" t="inlineStr">
        <is>
          <t>No</t>
        </is>
      </c>
      <c r="X347" s="56" t="n">
        <v>0</v>
      </c>
      <c r="Y347" s="56">
        <f>IF(AC347="Cancelled",0,T347+U347+V347+Q347+X347)</f>
        <v/>
      </c>
      <c r="Z347" s="56">
        <f>IF(AC347="Cancelled",-Q347,S347-Y347)</f>
        <v/>
      </c>
      <c r="AA347" s="56">
        <f>IF(OR(AC347="Cancelled",S347=0),0,Z347/S347)</f>
        <v/>
      </c>
      <c r="AB347" s="56">
        <f>IFERROR(IF(Q347=0,0,S347/Q347),0)</f>
        <v/>
      </c>
      <c r="AC347" s="56" t="inlineStr">
        <is>
          <t>Delivered</t>
        </is>
      </c>
      <c r="AD347" s="56">
        <f>IF(Z347&lt;=0,"Low Profit",IF(Z347&gt;=50,"HighProfit","Medium Profit"))</f>
        <v/>
      </c>
      <c r="AE347" s="56">
        <f>TEXT(B347,"mmmm")</f>
        <v/>
      </c>
    </row>
    <row r="348" ht="14.25" customHeight="1" s="57">
      <c r="A348" s="56" t="inlineStr">
        <is>
          <t>ORD-00316</t>
        </is>
      </c>
      <c r="B348" s="116" t="n">
        <v>45993</v>
      </c>
      <c r="C348" s="56" t="n">
        <v>2025</v>
      </c>
      <c r="D348" s="56" t="n">
        <v>12</v>
      </c>
      <c r="E348" s="56" t="inlineStr">
        <is>
          <t>Oman</t>
        </is>
      </c>
      <c r="F348" s="56" t="inlineStr">
        <is>
          <t>Muscat</t>
        </is>
      </c>
      <c r="G348" s="56" t="inlineStr">
        <is>
          <t>Meta Ads</t>
        </is>
      </c>
      <c r="H348" s="56" t="inlineStr">
        <is>
          <t>Retargeting</t>
        </is>
      </c>
      <c r="I348" s="56" t="inlineStr">
        <is>
          <t>P002</t>
        </is>
      </c>
      <c r="J348" s="56" t="inlineStr">
        <is>
          <t>Phone Case</t>
        </is>
      </c>
      <c r="K348" s="56" t="inlineStr">
        <is>
          <t>Accessories</t>
        </is>
      </c>
      <c r="L348" s="56" t="inlineStr">
        <is>
          <t>Guangzhou Cases Ltd.</t>
        </is>
      </c>
      <c r="M348" s="56" t="n">
        <v>14.29</v>
      </c>
      <c r="N348" s="56" t="n">
        <v>1.95</v>
      </c>
      <c r="O348" s="56" t="n">
        <v>2.27</v>
      </c>
      <c r="P348" s="56" t="n">
        <v>0.03</v>
      </c>
      <c r="Q348" s="56" t="n">
        <v>7.31</v>
      </c>
      <c r="R348" s="56" t="n">
        <v>2</v>
      </c>
      <c r="S348" s="56">
        <f>IF(AC348="Cancelled",0,M348*R348)</f>
        <v/>
      </c>
      <c r="T348" s="56">
        <f>IF(AC348="Cancelled",0,N348*R348)</f>
        <v/>
      </c>
      <c r="U348" s="56">
        <f>IF(AC348="Cancelled",0,O348*R348)</f>
        <v/>
      </c>
      <c r="V348" s="56">
        <f>IF(AC348="Cancelled",0,ROUND(P348*S348,2))</f>
        <v/>
      </c>
      <c r="W348" s="56" t="inlineStr">
        <is>
          <t>No</t>
        </is>
      </c>
      <c r="X348" s="56" t="n">
        <v>0</v>
      </c>
      <c r="Y348" s="56">
        <f>IF(AC348="Cancelled",0,T348+U348+V348+Q348+X348)</f>
        <v/>
      </c>
      <c r="Z348" s="56">
        <f>IF(AC348="Cancelled",-Q348,S348-Y348)</f>
        <v/>
      </c>
      <c r="AA348" s="56">
        <f>IF(OR(AC348="Cancelled",S348=0),0,Z348/S348)</f>
        <v/>
      </c>
      <c r="AB348" s="56">
        <f>IFERROR(IF(Q348=0,0,S348/Q348),0)</f>
        <v/>
      </c>
      <c r="AC348" s="56" t="inlineStr">
        <is>
          <t>Delivered</t>
        </is>
      </c>
      <c r="AD348" s="56">
        <f>IF(Z348&lt;=0,"Low Profit",IF(Z348&gt;=50,"HighProfit","Medium Profit"))</f>
        <v/>
      </c>
      <c r="AE348" s="56">
        <f>TEXT(B348,"mmmm")</f>
        <v/>
      </c>
    </row>
    <row r="349" ht="14.25" customHeight="1" s="57">
      <c r="A349" s="56" t="inlineStr">
        <is>
          <t>ORD-00452</t>
        </is>
      </c>
      <c r="B349" s="116" t="n">
        <v>45993</v>
      </c>
      <c r="C349" s="56" t="n">
        <v>2025</v>
      </c>
      <c r="D349" s="56" t="n">
        <v>12</v>
      </c>
      <c r="E349" s="56" t="inlineStr">
        <is>
          <t>UAE</t>
        </is>
      </c>
      <c r="F349" s="56" t="inlineStr">
        <is>
          <t>Sharjah</t>
        </is>
      </c>
      <c r="G349" s="56" t="inlineStr">
        <is>
          <t>Influencer</t>
        </is>
      </c>
      <c r="H349" s="56" t="inlineStr">
        <is>
          <t>Launch Test</t>
        </is>
      </c>
      <c r="I349" s="56" t="inlineStr">
        <is>
          <t>P008</t>
        </is>
      </c>
      <c r="J349" s="56" t="inlineStr">
        <is>
          <t>Portable Blender</t>
        </is>
      </c>
      <c r="K349" s="56" t="inlineStr">
        <is>
          <t>Kitchen</t>
        </is>
      </c>
      <c r="L349" s="56" t="inlineStr">
        <is>
          <t>Foshan Appliances</t>
        </is>
      </c>
      <c r="M349" s="56" t="n">
        <v>51.71</v>
      </c>
      <c r="N349" s="56" t="n">
        <v>17.07</v>
      </c>
      <c r="O349" s="56" t="n">
        <v>6.1</v>
      </c>
      <c r="P349" s="56" t="n">
        <v>0.03</v>
      </c>
      <c r="Q349" s="56" t="n">
        <v>5.52</v>
      </c>
      <c r="R349" s="56" t="n">
        <v>2</v>
      </c>
      <c r="S349" s="56">
        <f>IF(AC349="Cancelled",0,M349*R349)</f>
        <v/>
      </c>
      <c r="T349" s="56">
        <f>IF(AC349="Cancelled",0,N349*R349)</f>
        <v/>
      </c>
      <c r="U349" s="56">
        <f>IF(AC349="Cancelled",0,O349*R349)</f>
        <v/>
      </c>
      <c r="V349" s="56">
        <f>IF(AC349="Cancelled",0,ROUND(P349*S349,2))</f>
        <v/>
      </c>
      <c r="W349" s="56" t="inlineStr">
        <is>
          <t>No</t>
        </is>
      </c>
      <c r="X349" s="56" t="n">
        <v>0</v>
      </c>
      <c r="Y349" s="56">
        <f>IF(AC349="Cancelled",0,T349+U349+V349+Q349+X349)</f>
        <v/>
      </c>
      <c r="Z349" s="56">
        <f>IF(AC349="Cancelled",-Q349,S349-Y349)</f>
        <v/>
      </c>
      <c r="AA349" s="56">
        <f>IF(OR(AC349="Cancelled",S349=0),0,Z349/S349)</f>
        <v/>
      </c>
      <c r="AB349" s="56">
        <f>IFERROR(IF(Q349=0,0,S349/Q349),0)</f>
        <v/>
      </c>
      <c r="AC349" s="56" t="inlineStr">
        <is>
          <t>Delivered</t>
        </is>
      </c>
      <c r="AD349" s="56">
        <f>IF(Z349&lt;=0,"Low Profit",IF(Z349&gt;=50,"HighProfit","Medium Profit"))</f>
        <v/>
      </c>
      <c r="AE349" s="56">
        <f>TEXT(B349,"mmmm")</f>
        <v/>
      </c>
    </row>
    <row r="350" ht="14.25" customHeight="1" s="57">
      <c r="A350" s="56" t="inlineStr">
        <is>
          <t>ORD-00457</t>
        </is>
      </c>
      <c r="B350" s="116" t="n">
        <v>45993</v>
      </c>
      <c r="C350" s="56" t="n">
        <v>2025</v>
      </c>
      <c r="D350" s="56" t="n">
        <v>12</v>
      </c>
      <c r="E350" s="56" t="inlineStr">
        <is>
          <t>Kuwait</t>
        </is>
      </c>
      <c r="F350" s="56" t="inlineStr">
        <is>
          <t>Kuwait City</t>
        </is>
      </c>
      <c r="G350" s="56" t="inlineStr">
        <is>
          <t>Email</t>
        </is>
      </c>
      <c r="H350" s="56" t="inlineStr">
        <is>
          <t>New Creative A/B</t>
        </is>
      </c>
      <c r="I350" s="56" t="inlineStr">
        <is>
          <t>P008</t>
        </is>
      </c>
      <c r="J350" s="56" t="inlineStr">
        <is>
          <t>Portable Blender</t>
        </is>
      </c>
      <c r="K350" s="56" t="inlineStr">
        <is>
          <t>Kitchen</t>
        </is>
      </c>
      <c r="L350" s="56" t="inlineStr">
        <is>
          <t>Foshan Appliances</t>
        </is>
      </c>
      <c r="M350" s="56" t="n">
        <v>46.83</v>
      </c>
      <c r="N350" s="56" t="n">
        <v>15.27</v>
      </c>
      <c r="O350" s="56" t="n">
        <v>5.87</v>
      </c>
      <c r="P350" s="56" t="n">
        <v>0.03</v>
      </c>
      <c r="Q350" s="56" t="n">
        <v>11.98</v>
      </c>
      <c r="R350" s="56" t="n">
        <v>3</v>
      </c>
      <c r="S350" s="56">
        <f>IF(AC350="Cancelled",0,M350*R350)</f>
        <v/>
      </c>
      <c r="T350" s="56">
        <f>IF(AC350="Cancelled",0,N350*R350)</f>
        <v/>
      </c>
      <c r="U350" s="56">
        <f>IF(AC350="Cancelled",0,O350*R350)</f>
        <v/>
      </c>
      <c r="V350" s="56">
        <f>IF(AC350="Cancelled",0,ROUND(P350*S350,2))</f>
        <v/>
      </c>
      <c r="W350" s="56" t="inlineStr">
        <is>
          <t>No</t>
        </is>
      </c>
      <c r="X350" s="56" t="n">
        <v>0</v>
      </c>
      <c r="Y350" s="56">
        <f>IF(AC350="Cancelled",0,T350+U350+V350+Q350+X350)</f>
        <v/>
      </c>
      <c r="Z350" s="56">
        <f>IF(AC350="Cancelled",-Q350,S350-Y350)</f>
        <v/>
      </c>
      <c r="AA350" s="56">
        <f>IF(OR(AC350="Cancelled",S350=0),0,Z350/S350)</f>
        <v/>
      </c>
      <c r="AB350" s="56">
        <f>IFERROR(IF(Q350=0,0,S350/Q350),0)</f>
        <v/>
      </c>
      <c r="AC350" s="56" t="inlineStr">
        <is>
          <t>Delivered</t>
        </is>
      </c>
      <c r="AD350" s="56">
        <f>IF(Z350&lt;=0,"Low Profit",IF(Z350&gt;=50,"HighProfit","Medium Profit"))</f>
        <v/>
      </c>
      <c r="AE350" s="56">
        <f>TEXT(B350,"mmmm")</f>
        <v/>
      </c>
    </row>
    <row r="351" ht="14.25" customHeight="1" s="57">
      <c r="A351" s="56" t="inlineStr">
        <is>
          <t>ORD-00327</t>
        </is>
      </c>
      <c r="B351" s="116" t="n">
        <v>45995</v>
      </c>
      <c r="C351" s="56" t="n">
        <v>2025</v>
      </c>
      <c r="D351" s="56" t="n">
        <v>12</v>
      </c>
      <c r="E351" s="56" t="inlineStr">
        <is>
          <t>Saudi Arabia</t>
        </is>
      </c>
      <c r="F351" s="56" t="inlineStr">
        <is>
          <t>Riyadh</t>
        </is>
      </c>
      <c r="G351" s="56" t="inlineStr">
        <is>
          <t>Meta Ads</t>
        </is>
      </c>
      <c r="H351" s="56" t="inlineStr">
        <is>
          <t>New Creative A/B</t>
        </is>
      </c>
      <c r="I351" s="56" t="inlineStr">
        <is>
          <t>P010</t>
        </is>
      </c>
      <c r="J351" s="56" t="inlineStr">
        <is>
          <t>Smart Water Bottle</t>
        </is>
      </c>
      <c r="K351" s="56" t="inlineStr">
        <is>
          <t>Lifestyle</t>
        </is>
      </c>
      <c r="L351" s="56" t="inlineStr">
        <is>
          <t>Shenzhen Smart Home</t>
        </is>
      </c>
      <c r="M351" s="56" t="n">
        <v>30.88</v>
      </c>
      <c r="N351" s="56" t="n">
        <v>9.779999999999999</v>
      </c>
      <c r="O351" s="56" t="n">
        <v>3.72</v>
      </c>
      <c r="P351" s="56" t="n">
        <v>0.03</v>
      </c>
      <c r="Q351" s="56" t="n">
        <v>10.36</v>
      </c>
      <c r="R351" s="56" t="n">
        <v>1</v>
      </c>
      <c r="S351" s="56">
        <f>IF(AC351="Cancelled",0,M351*R351)</f>
        <v/>
      </c>
      <c r="T351" s="56">
        <f>IF(AC351="Cancelled",0,N351*R351)</f>
        <v/>
      </c>
      <c r="U351" s="56">
        <f>IF(AC351="Cancelled",0,O351*R351)</f>
        <v/>
      </c>
      <c r="V351" s="56">
        <f>IF(AC351="Cancelled",0,ROUND(P351*S351,2))</f>
        <v/>
      </c>
      <c r="W351" s="56" t="inlineStr">
        <is>
          <t>No</t>
        </is>
      </c>
      <c r="X351" s="56" t="n">
        <v>0</v>
      </c>
      <c r="Y351" s="56">
        <f>IF(AC351="Cancelled",0,T351+U351+V351+Q351+X351)</f>
        <v/>
      </c>
      <c r="Z351" s="56">
        <f>IF(AC351="Cancelled",-Q351,S351-Y351)</f>
        <v/>
      </c>
      <c r="AA351" s="56">
        <f>IF(OR(AC351="Cancelled",S351=0),0,Z351/S351)</f>
        <v/>
      </c>
      <c r="AB351" s="56">
        <f>IFERROR(IF(Q351=0,0,S351/Q351),0)</f>
        <v/>
      </c>
      <c r="AC351" s="56" t="inlineStr">
        <is>
          <t>Delivered</t>
        </is>
      </c>
      <c r="AD351" s="56">
        <f>IF(Z351&lt;=0,"Low Profit",IF(Z351&gt;=50,"HighProfit","Medium Profit"))</f>
        <v/>
      </c>
      <c r="AE351" s="56">
        <f>TEXT(B351,"mmmm")</f>
        <v/>
      </c>
    </row>
    <row r="352" ht="14.25" customHeight="1" s="57">
      <c r="A352" s="56" t="inlineStr">
        <is>
          <t>ORD-00348</t>
        </is>
      </c>
      <c r="B352" s="116" t="n">
        <v>45995</v>
      </c>
      <c r="C352" s="56" t="n">
        <v>2025</v>
      </c>
      <c r="D352" s="56" t="n">
        <v>12</v>
      </c>
      <c r="E352" s="56" t="inlineStr">
        <is>
          <t>UAE</t>
        </is>
      </c>
      <c r="F352" s="56" t="inlineStr">
        <is>
          <t>Sharjah</t>
        </is>
      </c>
      <c r="G352" s="56" t="inlineStr">
        <is>
          <t>Meta Ads</t>
        </is>
      </c>
      <c r="H352" s="56" t="inlineStr">
        <is>
          <t>Bundle Promo</t>
        </is>
      </c>
      <c r="I352" s="56" t="inlineStr">
        <is>
          <t>P009</t>
        </is>
      </c>
      <c r="J352" s="56" t="inlineStr">
        <is>
          <t>Car Vacuum Cleaner</t>
        </is>
      </c>
      <c r="K352" s="56" t="inlineStr">
        <is>
          <t>Automotive</t>
        </is>
      </c>
      <c r="L352" s="56" t="inlineStr">
        <is>
          <t>Dongguan Auto Tools</t>
        </is>
      </c>
      <c r="M352" s="56" t="n">
        <v>46.16</v>
      </c>
      <c r="N352" s="56" t="n">
        <v>13.94</v>
      </c>
      <c r="O352" s="56" t="n">
        <v>6.97</v>
      </c>
      <c r="P352" s="56" t="n">
        <v>0.03</v>
      </c>
      <c r="Q352" s="56" t="n">
        <v>3.14</v>
      </c>
      <c r="R352" s="56" t="n">
        <v>1</v>
      </c>
      <c r="S352" s="56">
        <f>IF(AC352="Cancelled",0,M352*R352)</f>
        <v/>
      </c>
      <c r="T352" s="56">
        <f>IF(AC352="Cancelled",0,N352*R352)</f>
        <v/>
      </c>
      <c r="U352" s="56">
        <f>IF(AC352="Cancelled",0,O352*R352)</f>
        <v/>
      </c>
      <c r="V352" s="56">
        <f>IF(AC352="Cancelled",0,ROUND(P352*S352,2))</f>
        <v/>
      </c>
      <c r="W352" s="56" t="inlineStr">
        <is>
          <t>No</t>
        </is>
      </c>
      <c r="X352" s="56" t="n">
        <v>0</v>
      </c>
      <c r="Y352" s="56">
        <f>IF(AC352="Cancelled",0,T352+U352+V352+Q352+X352)</f>
        <v/>
      </c>
      <c r="Z352" s="56">
        <f>IF(AC352="Cancelled",-Q352,S352-Y352)</f>
        <v/>
      </c>
      <c r="AA352" s="56">
        <f>IF(OR(AC352="Cancelled",S352=0),0,Z352/S352)</f>
        <v/>
      </c>
      <c r="AB352" s="56">
        <f>IFERROR(IF(Q352=0,0,S352/Q352),0)</f>
        <v/>
      </c>
      <c r="AC352" s="56" t="inlineStr">
        <is>
          <t>Delivered</t>
        </is>
      </c>
      <c r="AD352" s="56">
        <f>IF(Z352&lt;=0,"Low Profit",IF(Z352&gt;=50,"HighProfit","Medium Profit"))</f>
        <v/>
      </c>
      <c r="AE352" s="56">
        <f>TEXT(B352,"mmmm")</f>
        <v/>
      </c>
    </row>
    <row r="353" ht="14.25" customHeight="1" s="57">
      <c r="A353" s="56" t="inlineStr">
        <is>
          <t>ORD-00099</t>
        </is>
      </c>
      <c r="B353" s="116" t="n">
        <v>45996</v>
      </c>
      <c r="C353" s="56" t="n">
        <v>2025</v>
      </c>
      <c r="D353" s="56" t="n">
        <v>12</v>
      </c>
      <c r="E353" s="56" t="inlineStr">
        <is>
          <t>UAE</t>
        </is>
      </c>
      <c r="F353" s="56" t="inlineStr">
        <is>
          <t>Abu Dhabi</t>
        </is>
      </c>
      <c r="G353" s="56" t="inlineStr">
        <is>
          <t>TikTok Ads</t>
        </is>
      </c>
      <c r="H353" s="56" t="inlineStr">
        <is>
          <t>Launch Test</t>
        </is>
      </c>
      <c r="I353" s="56" t="inlineStr">
        <is>
          <t>P001</t>
        </is>
      </c>
      <c r="J353" s="56" t="inlineStr">
        <is>
          <t>Wireless Earbuds</t>
        </is>
      </c>
      <c r="K353" s="56" t="inlineStr">
        <is>
          <t>Electronics</t>
        </is>
      </c>
      <c r="L353" s="56" t="inlineStr">
        <is>
          <t>Shenzhen Audio Co.</t>
        </is>
      </c>
      <c r="M353" s="56" t="n">
        <v>36.59</v>
      </c>
      <c r="N353" s="56" t="n">
        <v>8.82</v>
      </c>
      <c r="O353" s="56" t="n">
        <v>4.42</v>
      </c>
      <c r="P353" s="56" t="n">
        <v>0.03</v>
      </c>
      <c r="Q353" s="56" t="n">
        <v>10.45</v>
      </c>
      <c r="R353" s="56" t="n">
        <v>3</v>
      </c>
      <c r="S353" s="56">
        <f>IF(AC353="Cancelled",0,M353*R353)</f>
        <v/>
      </c>
      <c r="T353" s="56">
        <f>IF(AC353="Cancelled",0,N353*R353)</f>
        <v/>
      </c>
      <c r="U353" s="56">
        <f>IF(AC353="Cancelled",0,O353*R353)</f>
        <v/>
      </c>
      <c r="V353" s="56">
        <f>IF(AC353="Cancelled",0,ROUND(P353*S353,2))</f>
        <v/>
      </c>
      <c r="W353" s="56" t="inlineStr">
        <is>
          <t>No</t>
        </is>
      </c>
      <c r="X353" s="56" t="n">
        <v>0</v>
      </c>
      <c r="Y353" s="56">
        <f>IF(AC353="Cancelled",0,T353+U353+V353+Q353+X353)</f>
        <v/>
      </c>
      <c r="Z353" s="56">
        <f>IF(AC353="Cancelled",-Q353,S353-Y353)</f>
        <v/>
      </c>
      <c r="AA353" s="56">
        <f>IF(OR(AC353="Cancelled",S353=0),0,Z353/S353)</f>
        <v/>
      </c>
      <c r="AB353" s="56">
        <f>IFERROR(IF(Q353=0,0,S353/Q353),0)</f>
        <v/>
      </c>
      <c r="AC353" s="56" t="inlineStr">
        <is>
          <t>Delivered</t>
        </is>
      </c>
      <c r="AD353" s="56">
        <f>IF(Z353&lt;=0,"Low Profit",IF(Z353&gt;=50,"HighProfit","Medium Profit"))</f>
        <v/>
      </c>
      <c r="AE353" s="56">
        <f>TEXT(B353,"mmmm")</f>
        <v/>
      </c>
    </row>
    <row r="354" ht="14.25" customHeight="1" s="57">
      <c r="A354" s="56" t="inlineStr">
        <is>
          <t>ORD-00264</t>
        </is>
      </c>
      <c r="B354" s="116" t="n">
        <v>45996</v>
      </c>
      <c r="C354" s="56" t="n">
        <v>2025</v>
      </c>
      <c r="D354" s="56" t="n">
        <v>12</v>
      </c>
      <c r="E354" s="56" t="inlineStr">
        <is>
          <t>UAE</t>
        </is>
      </c>
      <c r="F354" s="56" t="inlineStr">
        <is>
          <t>Abu Dhabi</t>
        </is>
      </c>
      <c r="G354" s="56" t="inlineStr">
        <is>
          <t>Organic Search</t>
        </is>
      </c>
      <c r="H354" s="56" t="inlineStr">
        <is>
          <t>Launch Test</t>
        </is>
      </c>
      <c r="I354" s="56" t="inlineStr">
        <is>
          <t>P010</t>
        </is>
      </c>
      <c r="J354" s="56" t="inlineStr">
        <is>
          <t>Smart Water Bottle</t>
        </is>
      </c>
      <c r="K354" s="56" t="inlineStr">
        <is>
          <t>Lifestyle</t>
        </is>
      </c>
      <c r="L354" s="56" t="inlineStr">
        <is>
          <t>Shenzhen Smart Home</t>
        </is>
      </c>
      <c r="M354" s="56" t="n">
        <v>34.22</v>
      </c>
      <c r="N354" s="56" t="n">
        <v>9.57</v>
      </c>
      <c r="O354" s="56" t="n">
        <v>3.77</v>
      </c>
      <c r="P354" s="56" t="n">
        <v>0.03</v>
      </c>
      <c r="Q354" s="56" t="n">
        <v>0</v>
      </c>
      <c r="R354" s="56" t="n">
        <v>2</v>
      </c>
      <c r="S354" s="56">
        <f>IF(AC354="Cancelled",0,M354*R354)</f>
        <v/>
      </c>
      <c r="T354" s="56">
        <f>IF(AC354="Cancelled",0,N354*R354)</f>
        <v/>
      </c>
      <c r="U354" s="56">
        <f>IF(AC354="Cancelled",0,O354*R354)</f>
        <v/>
      </c>
      <c r="V354" s="56">
        <f>IF(AC354="Cancelled",0,ROUND(P354*S354,2))</f>
        <v/>
      </c>
      <c r="W354" s="56" t="inlineStr">
        <is>
          <t>No</t>
        </is>
      </c>
      <c r="X354" s="56" t="n">
        <v>0</v>
      </c>
      <c r="Y354" s="56">
        <f>IF(AC354="Cancelled",0,T354+U354+V354+Q354+X354)</f>
        <v/>
      </c>
      <c r="Z354" s="56">
        <f>IF(AC354="Cancelled",-Q354,S354-Y354)</f>
        <v/>
      </c>
      <c r="AA354" s="56">
        <f>IF(OR(AC354="Cancelled",S354=0),0,Z354/S354)</f>
        <v/>
      </c>
      <c r="AB354" s="56">
        <f>IFERROR(IF(Q354=0,0,S354/Q354),0)</f>
        <v/>
      </c>
      <c r="AC354" s="56" t="inlineStr">
        <is>
          <t>Delivered</t>
        </is>
      </c>
      <c r="AD354" s="56">
        <f>IF(Z354&lt;=0,"Low Profit",IF(Z354&gt;=50,"HighProfit","Medium Profit"))</f>
        <v/>
      </c>
      <c r="AE354" s="56">
        <f>TEXT(B354,"mmmm")</f>
        <v/>
      </c>
    </row>
    <row r="355" ht="14.25" customHeight="1" s="57">
      <c r="A355" s="56" t="inlineStr">
        <is>
          <t>ORD-00182</t>
        </is>
      </c>
      <c r="B355" s="116" t="n">
        <v>46001</v>
      </c>
      <c r="C355" s="56" t="n">
        <v>2025</v>
      </c>
      <c r="D355" s="56" t="n">
        <v>12</v>
      </c>
      <c r="E355" s="56" t="inlineStr">
        <is>
          <t>UAE</t>
        </is>
      </c>
      <c r="F355" s="56" t="inlineStr">
        <is>
          <t>Sharjah</t>
        </is>
      </c>
      <c r="G355" s="56" t="inlineStr">
        <is>
          <t>TikTok Ads</t>
        </is>
      </c>
      <c r="H355" s="56" t="inlineStr">
        <is>
          <t>Bundle Promo</t>
        </is>
      </c>
      <c r="I355" s="56" t="inlineStr">
        <is>
          <t>P004</t>
        </is>
      </c>
      <c r="J355" s="56" t="inlineStr">
        <is>
          <t>Beauty Tool</t>
        </is>
      </c>
      <c r="K355" s="56" t="inlineStr">
        <is>
          <t>Beauty</t>
        </is>
      </c>
      <c r="L355" s="56" t="inlineStr">
        <is>
          <t>Ningbo Beauty Supply</t>
        </is>
      </c>
      <c r="M355" s="56" t="n">
        <v>33.19</v>
      </c>
      <c r="N355" s="56" t="n">
        <v>7.18</v>
      </c>
      <c r="O355" s="56" t="n">
        <v>4.57</v>
      </c>
      <c r="P355" s="56" t="n">
        <v>0.03</v>
      </c>
      <c r="Q355" s="56" t="n">
        <v>8.720000000000001</v>
      </c>
      <c r="R355" s="56" t="n">
        <v>1</v>
      </c>
      <c r="S355" s="56">
        <f>IF(AC355="Cancelled",0,M355*R355)</f>
        <v/>
      </c>
      <c r="T355" s="56">
        <f>IF(AC355="Cancelled",0,N355*R355)</f>
        <v/>
      </c>
      <c r="U355" s="56">
        <f>IF(AC355="Cancelled",0,O355*R355)</f>
        <v/>
      </c>
      <c r="V355" s="56">
        <f>IF(AC355="Cancelled",0,ROUND(P355*S355,2))</f>
        <v/>
      </c>
      <c r="W355" s="56" t="inlineStr">
        <is>
          <t>No</t>
        </is>
      </c>
      <c r="X355" s="56" t="n">
        <v>0</v>
      </c>
      <c r="Y355" s="56">
        <f>IF(AC355="Cancelled",0,T355+U355+V355+Q355+X355)</f>
        <v/>
      </c>
      <c r="Z355" s="56">
        <f>IF(AC355="Cancelled",-Q355,S355-Y355)</f>
        <v/>
      </c>
      <c r="AA355" s="56">
        <f>IF(OR(AC355="Cancelled",S355=0),0,Z355/S355)</f>
        <v/>
      </c>
      <c r="AB355" s="56">
        <f>IFERROR(IF(Q355=0,0,S355/Q355),0)</f>
        <v/>
      </c>
      <c r="AC355" s="56" t="inlineStr">
        <is>
          <t>Delivered</t>
        </is>
      </c>
      <c r="AD355" s="56">
        <f>IF(Z355&lt;=0,"Low Profit",IF(Z355&gt;=50,"HighProfit","Medium Profit"))</f>
        <v/>
      </c>
      <c r="AE355" s="56">
        <f>TEXT(B355,"mmmm")</f>
        <v/>
      </c>
    </row>
    <row r="356" ht="14.25" customHeight="1" s="57">
      <c r="A356" s="56" t="inlineStr">
        <is>
          <t>ORD-00059</t>
        </is>
      </c>
      <c r="B356" s="116" t="n">
        <v>46005</v>
      </c>
      <c r="C356" s="56" t="n">
        <v>2025</v>
      </c>
      <c r="D356" s="56" t="n">
        <v>12</v>
      </c>
      <c r="E356" s="56" t="inlineStr">
        <is>
          <t>Qatar</t>
        </is>
      </c>
      <c r="F356" s="56" t="inlineStr">
        <is>
          <t>Doha</t>
        </is>
      </c>
      <c r="G356" s="56" t="inlineStr">
        <is>
          <t>TikTok Ads</t>
        </is>
      </c>
      <c r="H356" s="56" t="inlineStr">
        <is>
          <t>Retargeting</t>
        </is>
      </c>
      <c r="I356" s="56" t="inlineStr">
        <is>
          <t>P008</t>
        </is>
      </c>
      <c r="J356" s="56" t="inlineStr">
        <is>
          <t>Portable Blender</t>
        </is>
      </c>
      <c r="K356" s="56" t="inlineStr">
        <is>
          <t>Kitchen</t>
        </is>
      </c>
      <c r="L356" s="56" t="inlineStr">
        <is>
          <t>Foshan Appliances</t>
        </is>
      </c>
      <c r="M356" s="56" t="n">
        <v>48.91</v>
      </c>
      <c r="N356" s="56" t="n">
        <v>15.24</v>
      </c>
      <c r="O356" s="56" t="n">
        <v>5.78</v>
      </c>
      <c r="P356" s="56" t="n">
        <v>0.03</v>
      </c>
      <c r="Q356" s="56" t="n">
        <v>4.68</v>
      </c>
      <c r="R356" s="56" t="n">
        <v>2</v>
      </c>
      <c r="S356" s="56">
        <f>IF(AC356="Cancelled",0,M356*R356)</f>
        <v/>
      </c>
      <c r="T356" s="56">
        <f>IF(AC356="Cancelled",0,N356*R356)</f>
        <v/>
      </c>
      <c r="U356" s="56">
        <f>IF(AC356="Cancelled",0,O356*R356)</f>
        <v/>
      </c>
      <c r="V356" s="56">
        <f>IF(AC356="Cancelled",0,ROUND(P356*S356,2))</f>
        <v/>
      </c>
      <c r="W356" s="56" t="inlineStr">
        <is>
          <t>No</t>
        </is>
      </c>
      <c r="X356" s="56" t="n">
        <v>0</v>
      </c>
      <c r="Y356" s="56">
        <f>IF(AC356="Cancelled",0,T356+U356+V356+Q356+X356)</f>
        <v/>
      </c>
      <c r="Z356" s="56">
        <f>IF(AC356="Cancelled",-Q356,S356-Y356)</f>
        <v/>
      </c>
      <c r="AA356" s="56">
        <f>IF(OR(AC356="Cancelled",S356=0),0,Z356/S356)</f>
        <v/>
      </c>
      <c r="AB356" s="56">
        <f>IFERROR(IF(Q356=0,0,S356/Q356),0)</f>
        <v/>
      </c>
      <c r="AC356" s="56" t="inlineStr">
        <is>
          <t>Delivered</t>
        </is>
      </c>
      <c r="AD356" s="56">
        <f>IF(Z356&lt;=0,"Low Profit",IF(Z356&gt;=50,"HighProfit","Medium Profit"))</f>
        <v/>
      </c>
      <c r="AE356" s="56">
        <f>TEXT(B356,"mmmm")</f>
        <v/>
      </c>
    </row>
    <row r="357" ht="14.25" customHeight="1" s="57">
      <c r="A357" s="56" t="inlineStr">
        <is>
          <t>ORD-00104</t>
        </is>
      </c>
      <c r="B357" s="116" t="n">
        <v>46006</v>
      </c>
      <c r="C357" s="56" t="n">
        <v>2025</v>
      </c>
      <c r="D357" s="56" t="n">
        <v>12</v>
      </c>
      <c r="E357" s="56" t="inlineStr">
        <is>
          <t>Saudi Arabia</t>
        </is>
      </c>
      <c r="F357" s="56" t="inlineStr">
        <is>
          <t>Riyadh</t>
        </is>
      </c>
      <c r="G357" s="56" t="inlineStr">
        <is>
          <t>TikTok Ads</t>
        </is>
      </c>
      <c r="H357" s="56" t="inlineStr">
        <is>
          <t>Launch Test</t>
        </is>
      </c>
      <c r="I357" s="56" t="inlineStr">
        <is>
          <t>P002</t>
        </is>
      </c>
      <c r="J357" s="56" t="inlineStr">
        <is>
          <t>Phone Case</t>
        </is>
      </c>
      <c r="K357" s="56" t="inlineStr">
        <is>
          <t>Accessories</t>
        </is>
      </c>
      <c r="L357" s="56" t="inlineStr">
        <is>
          <t>Guangzhou Cases Ltd.</t>
        </is>
      </c>
      <c r="M357" s="56" t="n">
        <v>16.16</v>
      </c>
      <c r="N357" s="56" t="n">
        <v>1.92</v>
      </c>
      <c r="O357" s="56" t="n">
        <v>2.01</v>
      </c>
      <c r="P357" s="56" t="n">
        <v>0.03</v>
      </c>
      <c r="Q357" s="56" t="n">
        <v>7.23</v>
      </c>
      <c r="R357" s="56" t="n">
        <v>1</v>
      </c>
      <c r="S357" s="56">
        <f>IF(AC357="Cancelled",0,M357*R357)</f>
        <v/>
      </c>
      <c r="T357" s="56">
        <f>IF(AC357="Cancelled",0,N357*R357)</f>
        <v/>
      </c>
      <c r="U357" s="56">
        <f>IF(AC357="Cancelled",0,O357*R357)</f>
        <v/>
      </c>
      <c r="V357" s="56">
        <f>IF(AC357="Cancelled",0,ROUND(P357*S357,2))</f>
        <v/>
      </c>
      <c r="W357" s="56" t="inlineStr">
        <is>
          <t>No</t>
        </is>
      </c>
      <c r="X357" s="56" t="n">
        <v>0</v>
      </c>
      <c r="Y357" s="56">
        <f>IF(AC357="Cancelled",0,T357+U357+V357+Q357+X357)</f>
        <v/>
      </c>
      <c r="Z357" s="56">
        <f>IF(AC357="Cancelled",-Q357,S357-Y357)</f>
        <v/>
      </c>
      <c r="AA357" s="56">
        <f>IF(OR(AC357="Cancelled",S357=0),0,Z357/S357)</f>
        <v/>
      </c>
      <c r="AB357" s="56">
        <f>IFERROR(IF(Q357=0,0,S357/Q357),0)</f>
        <v/>
      </c>
      <c r="AC357" s="56" t="inlineStr">
        <is>
          <t>Delivered</t>
        </is>
      </c>
      <c r="AD357" s="56">
        <f>IF(Z357&lt;=0,"Low Profit",IF(Z357&gt;=50,"HighProfit","Medium Profit"))</f>
        <v/>
      </c>
      <c r="AE357" s="56">
        <f>TEXT(B357,"mmmm")</f>
        <v/>
      </c>
    </row>
    <row r="358" ht="14.25" customHeight="1" s="57">
      <c r="A358" s="56" t="inlineStr">
        <is>
          <t>ORD-00455</t>
        </is>
      </c>
      <c r="B358" s="116" t="n">
        <v>46007</v>
      </c>
      <c r="C358" s="56" t="n">
        <v>2025</v>
      </c>
      <c r="D358" s="56" t="n">
        <v>12</v>
      </c>
      <c r="E358" s="56" t="inlineStr">
        <is>
          <t>UAE</t>
        </is>
      </c>
      <c r="F358" s="56" t="inlineStr">
        <is>
          <t>Sharjah</t>
        </is>
      </c>
      <c r="G358" s="56" t="inlineStr">
        <is>
          <t>Meta Ads</t>
        </is>
      </c>
      <c r="H358" s="56" t="inlineStr">
        <is>
          <t>New Creative A/B</t>
        </is>
      </c>
      <c r="I358" s="56" t="inlineStr">
        <is>
          <t>P005</t>
        </is>
      </c>
      <c r="J358" s="56" t="inlineStr">
        <is>
          <t>Mini Printer</t>
        </is>
      </c>
      <c r="K358" s="56" t="inlineStr">
        <is>
          <t>Electronics</t>
        </is>
      </c>
      <c r="L358" s="56" t="inlineStr">
        <is>
          <t>Shenzhen Print Tech</t>
        </is>
      </c>
      <c r="M358" s="56" t="n">
        <v>61.04</v>
      </c>
      <c r="N358" s="56" t="n">
        <v>22.85</v>
      </c>
      <c r="O358" s="56" t="n">
        <v>6.98</v>
      </c>
      <c r="P358" s="56" t="n">
        <v>0.03</v>
      </c>
      <c r="Q358" s="56" t="n">
        <v>8.9</v>
      </c>
      <c r="R358" s="56" t="n">
        <v>3</v>
      </c>
      <c r="S358" s="56">
        <f>IF(AC358="Cancelled",0,M358*R358)</f>
        <v/>
      </c>
      <c r="T358" s="56">
        <f>IF(AC358="Cancelled",0,N358*R358)</f>
        <v/>
      </c>
      <c r="U358" s="56">
        <f>IF(AC358="Cancelled",0,O358*R358)</f>
        <v/>
      </c>
      <c r="V358" s="56">
        <f>IF(AC358="Cancelled",0,ROUND(P358*S358,2))</f>
        <v/>
      </c>
      <c r="W358" s="56" t="inlineStr">
        <is>
          <t>No</t>
        </is>
      </c>
      <c r="X358" s="56" t="n">
        <v>0</v>
      </c>
      <c r="Y358" s="56">
        <f>IF(AC358="Cancelled",0,T358+U358+V358+Q358+X358)</f>
        <v/>
      </c>
      <c r="Z358" s="56">
        <f>IF(AC358="Cancelled",-Q358,S358-Y358)</f>
        <v/>
      </c>
      <c r="AA358" s="56">
        <f>IF(OR(AC358="Cancelled",S358=0),0,Z358/S358)</f>
        <v/>
      </c>
      <c r="AB358" s="56">
        <f>IFERROR(IF(Q358=0,0,S358/Q358),0)</f>
        <v/>
      </c>
      <c r="AC358" s="56" t="inlineStr">
        <is>
          <t>Delivered</t>
        </is>
      </c>
      <c r="AD358" s="56">
        <f>IF(Z358&lt;=0,"Low Profit",IF(Z358&gt;=50,"HighProfit","Medium Profit"))</f>
        <v/>
      </c>
      <c r="AE358" s="56">
        <f>TEXT(B358,"mmmm")</f>
        <v/>
      </c>
    </row>
    <row r="359" ht="14.25" customHeight="1" s="57">
      <c r="A359" s="56" t="inlineStr">
        <is>
          <t>ORD-00391</t>
        </is>
      </c>
      <c r="B359" s="116" t="n">
        <v>46008</v>
      </c>
      <c r="C359" s="56" t="n">
        <v>2025</v>
      </c>
      <c r="D359" s="56" t="n">
        <v>12</v>
      </c>
      <c r="E359" s="56" t="inlineStr">
        <is>
          <t>UAE</t>
        </is>
      </c>
      <c r="F359" s="56" t="inlineStr">
        <is>
          <t>Dubai</t>
        </is>
      </c>
      <c r="G359" s="56" t="inlineStr">
        <is>
          <t>TikTok Ads</t>
        </is>
      </c>
      <c r="H359" s="56" t="inlineStr">
        <is>
          <t>New Creative A/B</t>
        </is>
      </c>
      <c r="I359" s="56" t="inlineStr">
        <is>
          <t>P007</t>
        </is>
      </c>
      <c r="J359" s="56" t="inlineStr">
        <is>
          <t>Pet Grooming Glove</t>
        </is>
      </c>
      <c r="K359" s="56" t="inlineStr">
        <is>
          <t>Pets</t>
        </is>
      </c>
      <c r="L359" s="56" t="inlineStr">
        <is>
          <t>Yiwu Pet Products</t>
        </is>
      </c>
      <c r="M359" s="56" t="n">
        <v>19.12</v>
      </c>
      <c r="N359" s="56" t="n">
        <v>3.41</v>
      </c>
      <c r="O359" s="56" t="n">
        <v>2.28</v>
      </c>
      <c r="P359" s="56" t="n">
        <v>0.03</v>
      </c>
      <c r="Q359" s="56" t="n">
        <v>9.56</v>
      </c>
      <c r="R359" s="56" t="n">
        <v>2</v>
      </c>
      <c r="S359" s="56">
        <f>IF(AC359="Cancelled",0,M359*R359)</f>
        <v/>
      </c>
      <c r="T359" s="56">
        <f>IF(AC359="Cancelled",0,N359*R359)</f>
        <v/>
      </c>
      <c r="U359" s="56">
        <f>IF(AC359="Cancelled",0,O359*R359)</f>
        <v/>
      </c>
      <c r="V359" s="56">
        <f>IF(AC359="Cancelled",0,ROUND(P359*S359,2))</f>
        <v/>
      </c>
      <c r="W359" s="56" t="inlineStr">
        <is>
          <t>No</t>
        </is>
      </c>
      <c r="X359" s="56" t="n">
        <v>0</v>
      </c>
      <c r="Y359" s="56">
        <f>IF(AC359="Cancelled",0,T359+U359+V359+Q359+X359)</f>
        <v/>
      </c>
      <c r="Z359" s="56">
        <f>IF(AC359="Cancelled",-Q359,S359-Y359)</f>
        <v/>
      </c>
      <c r="AA359" s="56">
        <f>IF(OR(AC359="Cancelled",S359=0),0,Z359/S359)</f>
        <v/>
      </c>
      <c r="AB359" s="56">
        <f>IFERROR(IF(Q359=0,0,S359/Q359),0)</f>
        <v/>
      </c>
      <c r="AC359" s="56" t="inlineStr">
        <is>
          <t>Delivered</t>
        </is>
      </c>
      <c r="AD359" s="56">
        <f>IF(Z359&lt;=0,"Low Profit",IF(Z359&gt;=50,"HighProfit","Medium Profit"))</f>
        <v/>
      </c>
      <c r="AE359" s="56">
        <f>TEXT(B359,"mmmm")</f>
        <v/>
      </c>
    </row>
    <row r="360" ht="14.25" customHeight="1" s="57">
      <c r="A360" s="56" t="inlineStr">
        <is>
          <t>ORD-00021</t>
        </is>
      </c>
      <c r="B360" s="116" t="n">
        <v>46011</v>
      </c>
      <c r="C360" s="56" t="n">
        <v>2025</v>
      </c>
      <c r="D360" s="56" t="n">
        <v>12</v>
      </c>
      <c r="E360" s="56" t="inlineStr">
        <is>
          <t>Qatar</t>
        </is>
      </c>
      <c r="F360" s="56" t="inlineStr">
        <is>
          <t>Doha</t>
        </is>
      </c>
      <c r="G360" s="56" t="inlineStr">
        <is>
          <t>Organic Search</t>
        </is>
      </c>
      <c r="H360" s="56" t="inlineStr">
        <is>
          <t>New Creative A/B</t>
        </is>
      </c>
      <c r="I360" s="56" t="inlineStr">
        <is>
          <t>P009</t>
        </is>
      </c>
      <c r="J360" s="56" t="inlineStr">
        <is>
          <t>Car Vacuum Cleaner</t>
        </is>
      </c>
      <c r="K360" s="56" t="inlineStr">
        <is>
          <t>Automotive</t>
        </is>
      </c>
      <c r="L360" s="56" t="inlineStr">
        <is>
          <t>Dongguan Auto Tools</t>
        </is>
      </c>
      <c r="M360" s="56" t="n">
        <v>48.35</v>
      </c>
      <c r="N360" s="56" t="n">
        <v>15.06</v>
      </c>
      <c r="O360" s="56" t="n">
        <v>7.46</v>
      </c>
      <c r="P360" s="56" t="n">
        <v>0.03</v>
      </c>
      <c r="Q360" s="56" t="n">
        <v>0</v>
      </c>
      <c r="R360" s="56" t="n">
        <v>3</v>
      </c>
      <c r="S360" s="56">
        <f>IF(AC360="Cancelled",0,M360*R360)</f>
        <v/>
      </c>
      <c r="T360" s="56">
        <f>IF(AC360="Cancelled",0,N360*R360)</f>
        <v/>
      </c>
      <c r="U360" s="56">
        <f>IF(AC360="Cancelled",0,O360*R360)</f>
        <v/>
      </c>
      <c r="V360" s="56">
        <f>IF(AC360="Cancelled",0,ROUND(P360*S360,2))</f>
        <v/>
      </c>
      <c r="W360" s="56" t="inlineStr">
        <is>
          <t>No</t>
        </is>
      </c>
      <c r="X360" s="56" t="n">
        <v>0</v>
      </c>
      <c r="Y360" s="56">
        <f>IF(AC360="Cancelled",0,T360+U360+V360+Q360+X360)</f>
        <v/>
      </c>
      <c r="Z360" s="56">
        <f>IF(AC360="Cancelled",-Q360,S360-Y360)</f>
        <v/>
      </c>
      <c r="AA360" s="56">
        <f>IF(OR(AC360="Cancelled",S360=0),0,Z360/S360)</f>
        <v/>
      </c>
      <c r="AB360" s="56">
        <f>IFERROR(IF(Q360=0,0,S360/Q360),0)</f>
        <v/>
      </c>
      <c r="AC360" s="56" t="inlineStr">
        <is>
          <t>Delivered</t>
        </is>
      </c>
      <c r="AD360" s="56">
        <f>IF(Z360&lt;=0,"Low Profit",IF(Z360&gt;=50,"HighProfit","Medium Profit"))</f>
        <v/>
      </c>
      <c r="AE360" s="56">
        <f>TEXT(B360,"mmmm")</f>
        <v/>
      </c>
    </row>
    <row r="361" ht="14.25" customHeight="1" s="57">
      <c r="A361" s="56" t="inlineStr">
        <is>
          <t>ORD-00220</t>
        </is>
      </c>
      <c r="B361" s="116" t="n">
        <v>46011</v>
      </c>
      <c r="C361" s="56" t="n">
        <v>2025</v>
      </c>
      <c r="D361" s="56" t="n">
        <v>12</v>
      </c>
      <c r="E361" s="56" t="inlineStr">
        <is>
          <t>Qatar</t>
        </is>
      </c>
      <c r="F361" s="56" t="inlineStr">
        <is>
          <t>Doha</t>
        </is>
      </c>
      <c r="G361" s="56" t="inlineStr">
        <is>
          <t>Meta Ads</t>
        </is>
      </c>
      <c r="H361" s="56" t="inlineStr">
        <is>
          <t>Retargeting</t>
        </is>
      </c>
      <c r="I361" s="56" t="inlineStr">
        <is>
          <t>P009</t>
        </is>
      </c>
      <c r="J361" s="56" t="inlineStr">
        <is>
          <t>Car Vacuum Cleaner</t>
        </is>
      </c>
      <c r="K361" s="56" t="inlineStr">
        <is>
          <t>Automotive</t>
        </is>
      </c>
      <c r="L361" s="56" t="inlineStr">
        <is>
          <t>Dongguan Auto Tools</t>
        </is>
      </c>
      <c r="M361" s="56" t="n">
        <v>42.68</v>
      </c>
      <c r="N361" s="56" t="n">
        <v>13.9</v>
      </c>
      <c r="O361" s="56" t="n">
        <v>6.11</v>
      </c>
      <c r="P361" s="56" t="n">
        <v>0.03</v>
      </c>
      <c r="Q361" s="56" t="n">
        <v>18.77</v>
      </c>
      <c r="R361" s="56" t="n">
        <v>2</v>
      </c>
      <c r="S361" s="56">
        <f>IF(AC361="Cancelled",0,M361*R361)</f>
        <v/>
      </c>
      <c r="T361" s="56">
        <f>IF(AC361="Cancelled",0,N361*R361)</f>
        <v/>
      </c>
      <c r="U361" s="56">
        <f>IF(AC361="Cancelled",0,O361*R361)</f>
        <v/>
      </c>
      <c r="V361" s="56">
        <f>IF(AC361="Cancelled",0,ROUND(P361*S361,2))</f>
        <v/>
      </c>
      <c r="W361" s="56" t="inlineStr">
        <is>
          <t>No</t>
        </is>
      </c>
      <c r="X361" s="56" t="n">
        <v>0</v>
      </c>
      <c r="Y361" s="56">
        <f>IF(AC361="Cancelled",0,T361+U361+V361+Q361+X361)</f>
        <v/>
      </c>
      <c r="Z361" s="56">
        <f>IF(AC361="Cancelled",-Q361,S361-Y361)</f>
        <v/>
      </c>
      <c r="AA361" s="56">
        <f>IF(OR(AC361="Cancelled",S361=0),0,Z361/S361)</f>
        <v/>
      </c>
      <c r="AB361" s="56">
        <f>IFERROR(IF(Q361=0,0,S361/Q361),0)</f>
        <v/>
      </c>
      <c r="AC361" s="56" t="inlineStr">
        <is>
          <t>Delivered</t>
        </is>
      </c>
      <c r="AD361" s="56">
        <f>IF(Z361&lt;=0,"Low Profit",IF(Z361&gt;=50,"HighProfit","Medium Profit"))</f>
        <v/>
      </c>
      <c r="AE361" s="56">
        <f>TEXT(B361,"mmmm")</f>
        <v/>
      </c>
    </row>
    <row r="362" ht="14.25" customHeight="1" s="57">
      <c r="A362" s="56" t="inlineStr">
        <is>
          <t>ORD-00338</t>
        </is>
      </c>
      <c r="B362" s="116" t="n">
        <v>46013</v>
      </c>
      <c r="C362" s="56" t="n">
        <v>2025</v>
      </c>
      <c r="D362" s="56" t="n">
        <v>12</v>
      </c>
      <c r="E362" s="56" t="inlineStr">
        <is>
          <t>Oman</t>
        </is>
      </c>
      <c r="F362" s="56" t="inlineStr">
        <is>
          <t>Muscat</t>
        </is>
      </c>
      <c r="G362" s="56" t="inlineStr">
        <is>
          <t>Organic Search</t>
        </is>
      </c>
      <c r="H362" s="56" t="inlineStr">
        <is>
          <t>Bundle Promo</t>
        </is>
      </c>
      <c r="I362" s="56" t="inlineStr">
        <is>
          <t>P010</t>
        </is>
      </c>
      <c r="J362" s="56" t="inlineStr">
        <is>
          <t>Smart Water Bottle</t>
        </is>
      </c>
      <c r="K362" s="56" t="inlineStr">
        <is>
          <t>Lifestyle</t>
        </is>
      </c>
      <c r="L362" s="56" t="inlineStr">
        <is>
          <t>Shenzhen Smart Home</t>
        </is>
      </c>
      <c r="M362" s="56" t="n">
        <v>33.95</v>
      </c>
      <c r="N362" s="56" t="n">
        <v>10.23</v>
      </c>
      <c r="O362" s="56" t="n">
        <v>4.47</v>
      </c>
      <c r="P362" s="56" t="n">
        <v>0.03</v>
      </c>
      <c r="Q362" s="56" t="n">
        <v>0</v>
      </c>
      <c r="R362" s="56" t="n">
        <v>1</v>
      </c>
      <c r="S362" s="56">
        <f>IF(AC362="Cancelled",0,M362*R362)</f>
        <v/>
      </c>
      <c r="T362" s="56">
        <f>IF(AC362="Cancelled",0,N362*R362)</f>
        <v/>
      </c>
      <c r="U362" s="56">
        <f>IF(AC362="Cancelled",0,O362*R362)</f>
        <v/>
      </c>
      <c r="V362" s="56">
        <f>IF(AC362="Cancelled",0,ROUND(P362*S362,2))</f>
        <v/>
      </c>
      <c r="W362" s="56" t="inlineStr">
        <is>
          <t>No</t>
        </is>
      </c>
      <c r="X362" s="56" t="n">
        <v>0</v>
      </c>
      <c r="Y362" s="56">
        <f>IF(AC362="Cancelled",0,T362+U362+V362+Q362+X362)</f>
        <v/>
      </c>
      <c r="Z362" s="56">
        <f>IF(AC362="Cancelled",-Q362,S362-Y362)</f>
        <v/>
      </c>
      <c r="AA362" s="56">
        <f>IF(OR(AC362="Cancelled",S362=0),0,Z362/S362)</f>
        <v/>
      </c>
      <c r="AB362" s="56">
        <f>IFERROR(IF(Q362=0,0,S362/Q362),0)</f>
        <v/>
      </c>
      <c r="AC362" s="56" t="inlineStr">
        <is>
          <t>Delivered</t>
        </is>
      </c>
      <c r="AD362" s="56">
        <f>IF(Z362&lt;=0,"Low Profit",IF(Z362&gt;=50,"HighProfit","Medium Profit"))</f>
        <v/>
      </c>
      <c r="AE362" s="56">
        <f>TEXT(B362,"mmmm")</f>
        <v/>
      </c>
    </row>
    <row r="363" ht="14.25" customHeight="1" s="57">
      <c r="A363" s="56" t="inlineStr">
        <is>
          <t>ORD-00456</t>
        </is>
      </c>
      <c r="B363" s="116" t="n">
        <v>46013</v>
      </c>
      <c r="C363" s="56" t="n">
        <v>2025</v>
      </c>
      <c r="D363" s="56" t="n">
        <v>12</v>
      </c>
      <c r="E363" s="56" t="inlineStr">
        <is>
          <t>Kuwait</t>
        </is>
      </c>
      <c r="F363" s="56" t="inlineStr">
        <is>
          <t>Kuwait City</t>
        </is>
      </c>
      <c r="G363" s="56" t="inlineStr">
        <is>
          <t>Google Ads</t>
        </is>
      </c>
      <c r="H363" s="56" t="inlineStr">
        <is>
          <t>Bundle Promo</t>
        </is>
      </c>
      <c r="I363" s="56" t="inlineStr">
        <is>
          <t>P003</t>
        </is>
      </c>
      <c r="J363" s="56" t="inlineStr">
        <is>
          <t>LED Strip Lights</t>
        </is>
      </c>
      <c r="K363" s="56" t="inlineStr">
        <is>
          <t>Home Decor</t>
        </is>
      </c>
      <c r="L363" s="56" t="inlineStr">
        <is>
          <t>Yiwu Lighting Factory</t>
        </is>
      </c>
      <c r="M363" s="56" t="n">
        <v>27.65</v>
      </c>
      <c r="N363" s="56" t="n">
        <v>6.42</v>
      </c>
      <c r="O363" s="56" t="n">
        <v>3.74</v>
      </c>
      <c r="P363" s="56" t="n">
        <v>0.03</v>
      </c>
      <c r="Q363" s="56" t="n">
        <v>4.27</v>
      </c>
      <c r="R363" s="56" t="n">
        <v>1</v>
      </c>
      <c r="S363" s="56">
        <f>IF(AC363="Cancelled",0,M363*R363)</f>
        <v/>
      </c>
      <c r="T363" s="56">
        <f>IF(AC363="Cancelled",0,N363*R363)</f>
        <v/>
      </c>
      <c r="U363" s="56">
        <f>IF(AC363="Cancelled",0,O363*R363)</f>
        <v/>
      </c>
      <c r="V363" s="56">
        <f>IF(AC363="Cancelled",0,ROUND(P363*S363,2))</f>
        <v/>
      </c>
      <c r="W363" s="56" t="inlineStr">
        <is>
          <t>No</t>
        </is>
      </c>
      <c r="X363" s="56" t="n">
        <v>0</v>
      </c>
      <c r="Y363" s="56">
        <f>IF(AC363="Cancelled",0,T363+U363+V363+Q363+X363)</f>
        <v/>
      </c>
      <c r="Z363" s="56">
        <f>IF(AC363="Cancelled",-Q363,S363-Y363)</f>
        <v/>
      </c>
      <c r="AA363" s="56">
        <f>IF(OR(AC363="Cancelled",S363=0),0,Z363/S363)</f>
        <v/>
      </c>
      <c r="AB363" s="56">
        <f>IFERROR(IF(Q363=0,0,S363/Q363),0)</f>
        <v/>
      </c>
      <c r="AC363" s="56" t="inlineStr">
        <is>
          <t>Delivered</t>
        </is>
      </c>
      <c r="AD363" s="56">
        <f>IF(Z363&lt;=0,"Low Profit",IF(Z363&gt;=50,"HighProfit","Medium Profit"))</f>
        <v/>
      </c>
      <c r="AE363" s="56">
        <f>TEXT(B363,"mmmm")</f>
        <v/>
      </c>
    </row>
    <row r="364" ht="14.25" customHeight="1" s="57">
      <c r="A364" s="56" t="inlineStr">
        <is>
          <t>ORD-00097</t>
        </is>
      </c>
      <c r="B364" s="116" t="n">
        <v>46014</v>
      </c>
      <c r="C364" s="56" t="n">
        <v>2025</v>
      </c>
      <c r="D364" s="56" t="n">
        <v>12</v>
      </c>
      <c r="E364" s="56" t="inlineStr">
        <is>
          <t>UAE</t>
        </is>
      </c>
      <c r="F364" s="56" t="inlineStr">
        <is>
          <t>Sharjah</t>
        </is>
      </c>
      <c r="G364" s="56" t="inlineStr">
        <is>
          <t>TikTok Ads</t>
        </is>
      </c>
      <c r="H364" s="56" t="inlineStr">
        <is>
          <t>Launch Test</t>
        </is>
      </c>
      <c r="I364" s="56" t="inlineStr">
        <is>
          <t>P002</t>
        </is>
      </c>
      <c r="J364" s="56" t="inlineStr">
        <is>
          <t>Phone Case</t>
        </is>
      </c>
      <c r="K364" s="56" t="inlineStr">
        <is>
          <t>Accessories</t>
        </is>
      </c>
      <c r="L364" s="56" t="inlineStr">
        <is>
          <t>Guangzhou Cases Ltd.</t>
        </is>
      </c>
      <c r="M364" s="56" t="n">
        <v>15.71</v>
      </c>
      <c r="N364" s="56" t="n">
        <v>1.98</v>
      </c>
      <c r="O364" s="56" t="n">
        <v>2.09</v>
      </c>
      <c r="P364" s="56" t="n">
        <v>0.03</v>
      </c>
      <c r="Q364" s="56" t="n">
        <v>10.3</v>
      </c>
      <c r="R364" s="56" t="n">
        <v>2</v>
      </c>
      <c r="S364" s="56">
        <f>IF(AC364="Cancelled",0,M364*R364)</f>
        <v/>
      </c>
      <c r="T364" s="56">
        <f>IF(AC364="Cancelled",0,N364*R364)</f>
        <v/>
      </c>
      <c r="U364" s="56">
        <f>IF(AC364="Cancelled",0,O364*R364)</f>
        <v/>
      </c>
      <c r="V364" s="56">
        <f>IF(AC364="Cancelled",0,ROUND(P364*S364,2))</f>
        <v/>
      </c>
      <c r="W364" s="56" t="inlineStr">
        <is>
          <t>No</t>
        </is>
      </c>
      <c r="X364" s="56" t="n">
        <v>0</v>
      </c>
      <c r="Y364" s="56">
        <f>IF(AC364="Cancelled",0,T364+U364+V364+Q364+X364)</f>
        <v/>
      </c>
      <c r="Z364" s="56">
        <f>IF(AC364="Cancelled",-Q364,S364-Y364)</f>
        <v/>
      </c>
      <c r="AA364" s="56">
        <f>IF(OR(AC364="Cancelled",S364=0),0,Z364/S364)</f>
        <v/>
      </c>
      <c r="AB364" s="56">
        <f>IFERROR(IF(Q364=0,0,S364/Q364),0)</f>
        <v/>
      </c>
      <c r="AC364" s="56" t="inlineStr">
        <is>
          <t>Delivered</t>
        </is>
      </c>
      <c r="AD364" s="56">
        <f>IF(Z364&lt;=0,"Low Profit",IF(Z364&gt;=50,"HighProfit","Medium Profit"))</f>
        <v/>
      </c>
      <c r="AE364" s="56">
        <f>TEXT(B364,"mmmm")</f>
        <v/>
      </c>
    </row>
    <row r="365" ht="14.25" customHeight="1" s="57">
      <c r="A365" s="56" t="inlineStr">
        <is>
          <t>ORD-00065</t>
        </is>
      </c>
      <c r="B365" s="116" t="n">
        <v>46016</v>
      </c>
      <c r="C365" s="56" t="n">
        <v>2025</v>
      </c>
      <c r="D365" s="56" t="n">
        <v>12</v>
      </c>
      <c r="E365" s="56" t="inlineStr">
        <is>
          <t>Kuwait</t>
        </is>
      </c>
      <c r="F365" s="56" t="inlineStr">
        <is>
          <t>Kuwait City</t>
        </is>
      </c>
      <c r="G365" s="56" t="inlineStr">
        <is>
          <t>TikTok Ads</t>
        </is>
      </c>
      <c r="H365" s="56" t="inlineStr">
        <is>
          <t>Retargeting</t>
        </is>
      </c>
      <c r="I365" s="56" t="inlineStr">
        <is>
          <t>P004</t>
        </is>
      </c>
      <c r="J365" s="56" t="inlineStr">
        <is>
          <t>Beauty Tool</t>
        </is>
      </c>
      <c r="K365" s="56" t="inlineStr">
        <is>
          <t>Beauty</t>
        </is>
      </c>
      <c r="L365" s="56" t="inlineStr">
        <is>
          <t>Ningbo Beauty Supply</t>
        </is>
      </c>
      <c r="M365" s="56" t="n">
        <v>32.61</v>
      </c>
      <c r="N365" s="56" t="n">
        <v>6.98</v>
      </c>
      <c r="O365" s="56" t="n">
        <v>4.99</v>
      </c>
      <c r="P365" s="56" t="n">
        <v>0.03</v>
      </c>
      <c r="Q365" s="56" t="n">
        <v>4.48</v>
      </c>
      <c r="R365" s="56" t="n">
        <v>2</v>
      </c>
      <c r="S365" s="56">
        <f>IF(AC365="Cancelled",0,M365*R365)</f>
        <v/>
      </c>
      <c r="T365" s="56">
        <f>IF(AC365="Cancelled",0,N365*R365)</f>
        <v/>
      </c>
      <c r="U365" s="56">
        <f>IF(AC365="Cancelled",0,O365*R365)</f>
        <v/>
      </c>
      <c r="V365" s="56">
        <f>IF(AC365="Cancelled",0,ROUND(P365*S365,2))</f>
        <v/>
      </c>
      <c r="W365" s="56" t="inlineStr">
        <is>
          <t>No</t>
        </is>
      </c>
      <c r="X365" s="56" t="n">
        <v>0</v>
      </c>
      <c r="Y365" s="56">
        <f>IF(AC365="Cancelled",0,T365+U365+V365+Q365+X365)</f>
        <v/>
      </c>
      <c r="Z365" s="56">
        <f>IF(AC365="Cancelled",-Q365,S365-Y365)</f>
        <v/>
      </c>
      <c r="AA365" s="56">
        <f>IF(OR(AC365="Cancelled",S365=0),0,Z365/S365)</f>
        <v/>
      </c>
      <c r="AB365" s="56">
        <f>IFERROR(IF(Q365=0,0,S365/Q365),0)</f>
        <v/>
      </c>
      <c r="AC365" s="56" t="inlineStr">
        <is>
          <t>Delivered</t>
        </is>
      </c>
      <c r="AD365" s="56">
        <f>IF(Z365&lt;=0,"Low Profit",IF(Z365&gt;=50,"HighProfit","Medium Profit"))</f>
        <v/>
      </c>
      <c r="AE365" s="56">
        <f>TEXT(B365,"mmmm")</f>
        <v/>
      </c>
    </row>
    <row r="366" ht="14.25" customHeight="1" s="57">
      <c r="A366" s="56" t="inlineStr">
        <is>
          <t>ORD-00217</t>
        </is>
      </c>
      <c r="B366" s="116" t="n">
        <v>46017</v>
      </c>
      <c r="C366" s="56" t="n">
        <v>2025</v>
      </c>
      <c r="D366" s="56" t="n">
        <v>12</v>
      </c>
      <c r="E366" s="56" t="inlineStr">
        <is>
          <t>Qatar</t>
        </is>
      </c>
      <c r="F366" s="56" t="inlineStr">
        <is>
          <t>Doha</t>
        </is>
      </c>
      <c r="G366" s="56" t="inlineStr">
        <is>
          <t>Meta Ads</t>
        </is>
      </c>
      <c r="H366" s="56" t="inlineStr">
        <is>
          <t>Summer Sale</t>
        </is>
      </c>
      <c r="I366" s="56" t="inlineStr">
        <is>
          <t>P002</t>
        </is>
      </c>
      <c r="J366" s="56" t="inlineStr">
        <is>
          <t>Phone Case</t>
        </is>
      </c>
      <c r="K366" s="56" t="inlineStr">
        <is>
          <t>Accessories</t>
        </is>
      </c>
      <c r="L366" s="56" t="inlineStr">
        <is>
          <t>Guangzhou Cases Ltd.</t>
        </is>
      </c>
      <c r="M366" s="56" t="n">
        <v>14.32</v>
      </c>
      <c r="N366" s="56" t="n">
        <v>1.94</v>
      </c>
      <c r="O366" s="56" t="n">
        <v>1.97</v>
      </c>
      <c r="P366" s="56" t="n">
        <v>0.03</v>
      </c>
      <c r="Q366" s="56" t="n">
        <v>10.06</v>
      </c>
      <c r="R366" s="56" t="n">
        <v>2</v>
      </c>
      <c r="S366" s="56">
        <f>IF(AC366="Cancelled",0,M366*R366)</f>
        <v/>
      </c>
      <c r="T366" s="56">
        <f>IF(AC366="Cancelled",0,N366*R366)</f>
        <v/>
      </c>
      <c r="U366" s="56">
        <f>IF(AC366="Cancelled",0,O366*R366)</f>
        <v/>
      </c>
      <c r="V366" s="56">
        <f>IF(AC366="Cancelled",0,ROUND(P366*S366,2))</f>
        <v/>
      </c>
      <c r="W366" s="56" t="inlineStr">
        <is>
          <t>No</t>
        </is>
      </c>
      <c r="X366" s="56" t="n">
        <v>0</v>
      </c>
      <c r="Y366" s="56">
        <f>IF(AC366="Cancelled",0,T366+U366+V366+Q366+X366)</f>
        <v/>
      </c>
      <c r="Z366" s="56">
        <f>IF(AC366="Cancelled",-Q366,S366-Y366)</f>
        <v/>
      </c>
      <c r="AA366" s="56">
        <f>IF(OR(AC366="Cancelled",S366=0),0,Z366/S366)</f>
        <v/>
      </c>
      <c r="AB366" s="56">
        <f>IFERROR(IF(Q366=0,0,S366/Q366),0)</f>
        <v/>
      </c>
      <c r="AC366" s="56" t="inlineStr">
        <is>
          <t>Delivered</t>
        </is>
      </c>
      <c r="AD366" s="56">
        <f>IF(Z366&lt;=0,"Low Profit",IF(Z366&gt;=50,"HighProfit","Medium Profit"))</f>
        <v/>
      </c>
      <c r="AE366" s="56">
        <f>TEXT(B366,"mmmm")</f>
        <v/>
      </c>
    </row>
    <row r="367" ht="14.25" customHeight="1" s="57">
      <c r="A367" s="56" t="inlineStr">
        <is>
          <t>ORD-00419</t>
        </is>
      </c>
      <c r="B367" s="116" t="n">
        <v>46017</v>
      </c>
      <c r="C367" s="56" t="n">
        <v>2025</v>
      </c>
      <c r="D367" s="56" t="n">
        <v>12</v>
      </c>
      <c r="E367" s="56" t="inlineStr">
        <is>
          <t>UAE</t>
        </is>
      </c>
      <c r="F367" s="56" t="inlineStr">
        <is>
          <t>Sharjah</t>
        </is>
      </c>
      <c r="G367" s="56" t="inlineStr">
        <is>
          <t>Meta Ads</t>
        </is>
      </c>
      <c r="H367" s="56" t="inlineStr">
        <is>
          <t>Summer Sale</t>
        </is>
      </c>
      <c r="I367" s="56" t="inlineStr">
        <is>
          <t>P003</t>
        </is>
      </c>
      <c r="J367" s="56" t="inlineStr">
        <is>
          <t>LED Strip Lights</t>
        </is>
      </c>
      <c r="K367" s="56" t="inlineStr">
        <is>
          <t>Home Decor</t>
        </is>
      </c>
      <c r="L367" s="56" t="inlineStr">
        <is>
          <t>Yiwu Lighting Factory</t>
        </is>
      </c>
      <c r="M367" s="56" t="n">
        <v>24.19</v>
      </c>
      <c r="N367" s="56" t="n">
        <v>6.39</v>
      </c>
      <c r="O367" s="56" t="n">
        <v>4</v>
      </c>
      <c r="P367" s="56" t="n">
        <v>0.03</v>
      </c>
      <c r="Q367" s="56" t="n">
        <v>17.36</v>
      </c>
      <c r="R367" s="56" t="n">
        <v>2</v>
      </c>
      <c r="S367" s="56">
        <f>IF(AC367="Cancelled",0,M367*R367)</f>
        <v/>
      </c>
      <c r="T367" s="56">
        <f>IF(AC367="Cancelled",0,N367*R367)</f>
        <v/>
      </c>
      <c r="U367" s="56">
        <f>IF(AC367="Cancelled",0,O367*R367)</f>
        <v/>
      </c>
      <c r="V367" s="56">
        <f>IF(AC367="Cancelled",0,ROUND(P367*S367,2))</f>
        <v/>
      </c>
      <c r="W367" s="56" t="inlineStr">
        <is>
          <t>Yes</t>
        </is>
      </c>
      <c r="X367" s="56" t="n">
        <v>25.25</v>
      </c>
      <c r="Y367" s="56">
        <f>IF(AC367="Cancelled",0,T367+U367+V367+Q367+X367)</f>
        <v/>
      </c>
      <c r="Z367" s="56">
        <f>IF(AC367="Cancelled",-Q367,S367-Y367)</f>
        <v/>
      </c>
      <c r="AA367" s="56">
        <f>IF(OR(AC367="Cancelled",S367=0),0,Z367/S367)</f>
        <v/>
      </c>
      <c r="AB367" s="56">
        <f>IFERROR(IF(Q367=0,0,S367/Q367),0)</f>
        <v/>
      </c>
      <c r="AC367" s="56" t="inlineStr">
        <is>
          <t>Refunded</t>
        </is>
      </c>
      <c r="AD367" s="56">
        <f>IF(Z367&lt;=0,"Low Profit",IF(Z367&gt;=50,"HighProfit","Medium Profit"))</f>
        <v/>
      </c>
      <c r="AE367" s="56">
        <f>TEXT(B367,"mmmm")</f>
        <v/>
      </c>
    </row>
    <row r="368" ht="14.25" customHeight="1" s="57">
      <c r="A368" s="56" t="inlineStr">
        <is>
          <t>ORD-00472</t>
        </is>
      </c>
      <c r="B368" s="116" t="n">
        <v>46017</v>
      </c>
      <c r="C368" s="56" t="n">
        <v>2025</v>
      </c>
      <c r="D368" s="56" t="n">
        <v>12</v>
      </c>
      <c r="E368" s="56" t="inlineStr">
        <is>
          <t>Oman</t>
        </is>
      </c>
      <c r="F368" s="56" t="inlineStr">
        <is>
          <t>Muscat</t>
        </is>
      </c>
      <c r="G368" s="56" t="inlineStr">
        <is>
          <t>Meta Ads</t>
        </is>
      </c>
      <c r="H368" s="56" t="inlineStr">
        <is>
          <t>Retargeting</t>
        </is>
      </c>
      <c r="I368" s="56" t="inlineStr">
        <is>
          <t>P005</t>
        </is>
      </c>
      <c r="J368" s="56" t="inlineStr">
        <is>
          <t>Mini Printer</t>
        </is>
      </c>
      <c r="K368" s="56" t="inlineStr">
        <is>
          <t>Electronics</t>
        </is>
      </c>
      <c r="L368" s="56" t="inlineStr">
        <is>
          <t>Shenzhen Print Tech</t>
        </is>
      </c>
      <c r="M368" s="56" t="n">
        <v>65.36</v>
      </c>
      <c r="N368" s="56" t="n">
        <v>21.03</v>
      </c>
      <c r="O368" s="56" t="n">
        <v>7.1</v>
      </c>
      <c r="P368" s="56" t="n">
        <v>0.03</v>
      </c>
      <c r="Q368" s="56" t="n">
        <v>16.17</v>
      </c>
      <c r="R368" s="56" t="n">
        <v>2</v>
      </c>
      <c r="S368" s="56">
        <f>IF(AC368="Cancelled",0,M368*R368)</f>
        <v/>
      </c>
      <c r="T368" s="56">
        <f>IF(AC368="Cancelled",0,N368*R368)</f>
        <v/>
      </c>
      <c r="U368" s="56">
        <f>IF(AC368="Cancelled",0,O368*R368)</f>
        <v/>
      </c>
      <c r="V368" s="56">
        <f>IF(AC368="Cancelled",0,ROUND(P368*S368,2))</f>
        <v/>
      </c>
      <c r="W368" s="56" t="inlineStr">
        <is>
          <t>No</t>
        </is>
      </c>
      <c r="X368" s="56" t="n">
        <v>0</v>
      </c>
      <c r="Y368" s="56">
        <f>IF(AC368="Cancelled",0,T368+U368+V368+Q368+X368)</f>
        <v/>
      </c>
      <c r="Z368" s="56">
        <f>IF(AC368="Cancelled",-Q368,S368-Y368)</f>
        <v/>
      </c>
      <c r="AA368" s="56">
        <f>IF(OR(AC368="Cancelled",S368=0),0,Z368/S368)</f>
        <v/>
      </c>
      <c r="AB368" s="56">
        <f>IFERROR(IF(Q368=0,0,S368/Q368),0)</f>
        <v/>
      </c>
      <c r="AC368" s="56" t="inlineStr">
        <is>
          <t>Delivered</t>
        </is>
      </c>
      <c r="AD368" s="56">
        <f>IF(Z368&lt;=0,"Low Profit",IF(Z368&gt;=50,"HighProfit","Medium Profit"))</f>
        <v/>
      </c>
      <c r="AE368" s="56">
        <f>TEXT(B368,"mmmm")</f>
        <v/>
      </c>
    </row>
    <row r="369" ht="14.25" customHeight="1" s="57">
      <c r="A369" s="56" t="inlineStr">
        <is>
          <t>ORD-00484</t>
        </is>
      </c>
      <c r="B369" s="116" t="n">
        <v>46017</v>
      </c>
      <c r="C369" s="56" t="n">
        <v>2025</v>
      </c>
      <c r="D369" s="56" t="n">
        <v>12</v>
      </c>
      <c r="E369" s="56" t="inlineStr">
        <is>
          <t>Saudi Arabia</t>
        </is>
      </c>
      <c r="F369" s="56" t="inlineStr">
        <is>
          <t>Jeddah</t>
        </is>
      </c>
      <c r="G369" s="56" t="inlineStr">
        <is>
          <t>Email</t>
        </is>
      </c>
      <c r="H369" s="56" t="inlineStr">
        <is>
          <t>Retargeting</t>
        </is>
      </c>
      <c r="I369" s="56" t="inlineStr">
        <is>
          <t>P005</t>
        </is>
      </c>
      <c r="J369" s="56" t="inlineStr">
        <is>
          <t>Mini Printer</t>
        </is>
      </c>
      <c r="K369" s="56" t="inlineStr">
        <is>
          <t>Electronics</t>
        </is>
      </c>
      <c r="L369" s="56" t="inlineStr">
        <is>
          <t>Shenzhen Print Tech</t>
        </is>
      </c>
      <c r="M369" s="56" t="n">
        <v>55.57</v>
      </c>
      <c r="N369" s="56" t="n">
        <v>22.16</v>
      </c>
      <c r="O369" s="56" t="n">
        <v>7.63</v>
      </c>
      <c r="P369" s="56" t="n">
        <v>0.03</v>
      </c>
      <c r="Q369" s="56" t="n">
        <v>7.65</v>
      </c>
      <c r="R369" s="56" t="n">
        <v>2</v>
      </c>
      <c r="S369" s="56">
        <f>IF(AC369="Cancelled",0,M369*R369)</f>
        <v/>
      </c>
      <c r="T369" s="56">
        <f>IF(AC369="Cancelled",0,N369*R369)</f>
        <v/>
      </c>
      <c r="U369" s="56">
        <f>IF(AC369="Cancelled",0,O369*R369)</f>
        <v/>
      </c>
      <c r="V369" s="56">
        <f>IF(AC369="Cancelled",0,ROUND(P369*S369,2))</f>
        <v/>
      </c>
      <c r="W369" s="56" t="inlineStr">
        <is>
          <t>No</t>
        </is>
      </c>
      <c r="X369" s="56" t="n">
        <v>0</v>
      </c>
      <c r="Y369" s="56">
        <f>IF(AC369="Cancelled",0,T369+U369+V369+Q369+X369)</f>
        <v/>
      </c>
      <c r="Z369" s="56">
        <f>IF(AC369="Cancelled",-Q369,S369-Y369)</f>
        <v/>
      </c>
      <c r="AA369" s="56">
        <f>IF(OR(AC369="Cancelled",S369=0),0,Z369/S369)</f>
        <v/>
      </c>
      <c r="AB369" s="56">
        <f>IFERROR(IF(Q369=0,0,S369/Q369),0)</f>
        <v/>
      </c>
      <c r="AC369" s="56" t="inlineStr">
        <is>
          <t>Delivered</t>
        </is>
      </c>
      <c r="AD369" s="56">
        <f>IF(Z369&lt;=0,"Low Profit",IF(Z369&gt;=50,"HighProfit","Medium Profit"))</f>
        <v/>
      </c>
      <c r="AE369" s="56">
        <f>TEXT(B369,"mmmm")</f>
        <v/>
      </c>
    </row>
    <row r="370" ht="14.25" customHeight="1" s="57">
      <c r="A370" s="56" t="inlineStr">
        <is>
          <t>ORD-00243</t>
        </is>
      </c>
      <c r="B370" s="116" t="n">
        <v>46019</v>
      </c>
      <c r="C370" s="56" t="n">
        <v>2025</v>
      </c>
      <c r="D370" s="56" t="n">
        <v>12</v>
      </c>
      <c r="E370" s="56" t="inlineStr">
        <is>
          <t>Oman</t>
        </is>
      </c>
      <c r="F370" s="56" t="inlineStr">
        <is>
          <t>Muscat</t>
        </is>
      </c>
      <c r="G370" s="56" t="inlineStr">
        <is>
          <t>Meta Ads</t>
        </is>
      </c>
      <c r="H370" s="56" t="inlineStr">
        <is>
          <t>Retargeting</t>
        </is>
      </c>
      <c r="I370" s="56" t="inlineStr">
        <is>
          <t>P008</t>
        </is>
      </c>
      <c r="J370" s="56" t="inlineStr">
        <is>
          <t>Portable Blender</t>
        </is>
      </c>
      <c r="K370" s="56" t="inlineStr">
        <is>
          <t>Kitchen</t>
        </is>
      </c>
      <c r="L370" s="56" t="inlineStr">
        <is>
          <t>Foshan Appliances</t>
        </is>
      </c>
      <c r="M370" s="56" t="n">
        <v>46.68</v>
      </c>
      <c r="N370" s="56" t="n">
        <v>17.26</v>
      </c>
      <c r="O370" s="56" t="n">
        <v>6.21</v>
      </c>
      <c r="P370" s="56" t="n">
        <v>0.03</v>
      </c>
      <c r="Q370" s="56" t="n">
        <v>19.11</v>
      </c>
      <c r="R370" s="56" t="n">
        <v>2</v>
      </c>
      <c r="S370" s="56">
        <f>IF(AC370="Cancelled",0,M370*R370)</f>
        <v/>
      </c>
      <c r="T370" s="56">
        <f>IF(AC370="Cancelled",0,N370*R370)</f>
        <v/>
      </c>
      <c r="U370" s="56">
        <f>IF(AC370="Cancelled",0,O370*R370)</f>
        <v/>
      </c>
      <c r="V370" s="56">
        <f>IF(AC370="Cancelled",0,ROUND(P370*S370,2))</f>
        <v/>
      </c>
      <c r="W370" s="56" t="inlineStr">
        <is>
          <t>No</t>
        </is>
      </c>
      <c r="X370" s="56" t="n">
        <v>0</v>
      </c>
      <c r="Y370" s="56">
        <f>IF(AC370="Cancelled",0,T370+U370+V370+Q370+X370)</f>
        <v/>
      </c>
      <c r="Z370" s="56">
        <f>IF(AC370="Cancelled",-Q370,S370-Y370)</f>
        <v/>
      </c>
      <c r="AA370" s="56">
        <f>IF(OR(AC370="Cancelled",S370=0),0,Z370/S370)</f>
        <v/>
      </c>
      <c r="AB370" s="56">
        <f>IFERROR(IF(Q370=0,0,S370/Q370),0)</f>
        <v/>
      </c>
      <c r="AC370" s="56" t="inlineStr">
        <is>
          <t>Delivered</t>
        </is>
      </c>
      <c r="AD370" s="56">
        <f>IF(Z370&lt;=0,"Low Profit",IF(Z370&gt;=50,"HighProfit","Medium Profit"))</f>
        <v/>
      </c>
      <c r="AE370" s="56">
        <f>TEXT(B370,"mmmm")</f>
        <v/>
      </c>
    </row>
    <row r="371" ht="14.25" customHeight="1" s="57">
      <c r="A371" s="56" t="inlineStr">
        <is>
          <t>ORD-00468</t>
        </is>
      </c>
      <c r="B371" s="116" t="n">
        <v>46021</v>
      </c>
      <c r="C371" s="56" t="n">
        <v>2025</v>
      </c>
      <c r="D371" s="56" t="n">
        <v>12</v>
      </c>
      <c r="E371" s="56" t="inlineStr">
        <is>
          <t>Qatar</t>
        </is>
      </c>
      <c r="F371" s="56" t="inlineStr">
        <is>
          <t>Doha</t>
        </is>
      </c>
      <c r="G371" s="56" t="inlineStr">
        <is>
          <t>TikTok Ads</t>
        </is>
      </c>
      <c r="H371" s="56" t="inlineStr">
        <is>
          <t>Launch Test</t>
        </is>
      </c>
      <c r="I371" s="56" t="inlineStr">
        <is>
          <t>P009</t>
        </is>
      </c>
      <c r="J371" s="56" t="inlineStr">
        <is>
          <t>Car Vacuum Cleaner</t>
        </is>
      </c>
      <c r="K371" s="56" t="inlineStr">
        <is>
          <t>Automotive</t>
        </is>
      </c>
      <c r="L371" s="56" t="inlineStr">
        <is>
          <t>Dongguan Auto Tools</t>
        </is>
      </c>
      <c r="M371" s="56" t="n">
        <v>42.67</v>
      </c>
      <c r="N371" s="56" t="n">
        <v>13.96</v>
      </c>
      <c r="O371" s="56" t="n">
        <v>6.05</v>
      </c>
      <c r="P371" s="56" t="n">
        <v>0.03</v>
      </c>
      <c r="Q371" s="56" t="n">
        <v>3.95</v>
      </c>
      <c r="R371" s="56" t="n">
        <v>1</v>
      </c>
      <c r="S371" s="56">
        <f>IF(AC371="Cancelled",0,M371*R371)</f>
        <v/>
      </c>
      <c r="T371" s="56">
        <f>IF(AC371="Cancelled",0,N371*R371)</f>
        <v/>
      </c>
      <c r="U371" s="56">
        <f>IF(AC371="Cancelled",0,O371*R371)</f>
        <v/>
      </c>
      <c r="V371" s="56">
        <f>IF(AC371="Cancelled",0,ROUND(P371*S371,2))</f>
        <v/>
      </c>
      <c r="W371" s="56" t="inlineStr">
        <is>
          <t>No</t>
        </is>
      </c>
      <c r="X371" s="56" t="n">
        <v>0</v>
      </c>
      <c r="Y371" s="56">
        <f>IF(AC371="Cancelled",0,T371+U371+V371+Q371+X371)</f>
        <v/>
      </c>
      <c r="Z371" s="56">
        <f>IF(AC371="Cancelled",-Q371,S371-Y371)</f>
        <v/>
      </c>
      <c r="AA371" s="56">
        <f>IF(OR(AC371="Cancelled",S371=0),0,Z371/S371)</f>
        <v/>
      </c>
      <c r="AB371" s="56">
        <f>IFERROR(IF(Q371=0,0,S371/Q371),0)</f>
        <v/>
      </c>
      <c r="AC371" s="56" t="inlineStr">
        <is>
          <t>Delivered</t>
        </is>
      </c>
      <c r="AD371" s="56">
        <f>IF(Z371&lt;=0,"Low Profit",IF(Z371&gt;=50,"HighProfit","Medium Profit"))</f>
        <v/>
      </c>
      <c r="AE371" s="56">
        <f>TEXT(B371,"mmmm")</f>
        <v/>
      </c>
    </row>
    <row r="372" ht="14.25" customHeight="1" s="57">
      <c r="A372" s="56" t="inlineStr">
        <is>
          <t>ORD-00126</t>
        </is>
      </c>
      <c r="B372" s="116" t="n">
        <v>46022</v>
      </c>
      <c r="C372" s="56" t="n">
        <v>2025</v>
      </c>
      <c r="D372" s="56" t="n">
        <v>12</v>
      </c>
      <c r="E372" s="56" t="inlineStr">
        <is>
          <t>UAE</t>
        </is>
      </c>
      <c r="F372" s="56" t="inlineStr">
        <is>
          <t>Dubai</t>
        </is>
      </c>
      <c r="G372" s="56" t="inlineStr">
        <is>
          <t>Google Ads</t>
        </is>
      </c>
      <c r="H372" s="56" t="inlineStr">
        <is>
          <t>Retargeting</t>
        </is>
      </c>
      <c r="I372" s="56" t="inlineStr">
        <is>
          <t>P006</t>
        </is>
      </c>
      <c r="J372" s="56" t="inlineStr">
        <is>
          <t>Posture Corrector</t>
        </is>
      </c>
      <c r="K372" s="56" t="inlineStr">
        <is>
          <t>Fitness</t>
        </is>
      </c>
      <c r="L372" s="56" t="inlineStr">
        <is>
          <t>Hangzhou Health Gear</t>
        </is>
      </c>
      <c r="M372" s="56" t="n">
        <v>37.81</v>
      </c>
      <c r="N372" s="56" t="n">
        <v>9.49</v>
      </c>
      <c r="O372" s="56" t="n">
        <v>3.87</v>
      </c>
      <c r="P372" s="56" t="n">
        <v>0.03</v>
      </c>
      <c r="Q372" s="56" t="n">
        <v>13.56</v>
      </c>
      <c r="R372" s="56" t="n">
        <v>2</v>
      </c>
      <c r="S372" s="56">
        <f>IF(AC372="Cancelled",0,M372*R372)</f>
        <v/>
      </c>
      <c r="T372" s="56">
        <f>IF(AC372="Cancelled",0,N372*R372)</f>
        <v/>
      </c>
      <c r="U372" s="56">
        <f>IF(AC372="Cancelled",0,O372*R372)</f>
        <v/>
      </c>
      <c r="V372" s="56">
        <f>IF(AC372="Cancelled",0,ROUND(P372*S372,2))</f>
        <v/>
      </c>
      <c r="W372" s="56" t="inlineStr">
        <is>
          <t>No</t>
        </is>
      </c>
      <c r="X372" s="56" t="n">
        <v>0</v>
      </c>
      <c r="Y372" s="56">
        <f>IF(AC372="Cancelled",0,T372+U372+V372+Q372+X372)</f>
        <v/>
      </c>
      <c r="Z372" s="56">
        <f>IF(AC372="Cancelled",-Q372,S372-Y372)</f>
        <v/>
      </c>
      <c r="AA372" s="56">
        <f>IF(OR(AC372="Cancelled",S372=0),0,Z372/S372)</f>
        <v/>
      </c>
      <c r="AB372" s="56">
        <f>IFERROR(IF(Q372=0,0,S372/Q372),0)</f>
        <v/>
      </c>
      <c r="AC372" s="56" t="inlineStr">
        <is>
          <t>Delivered</t>
        </is>
      </c>
      <c r="AD372" s="56">
        <f>IF(Z372&lt;=0,"Low Profit",IF(Z372&gt;=50,"HighProfit","Medium Profit"))</f>
        <v/>
      </c>
      <c r="AE372" s="56">
        <f>TEXT(B372,"mmmm")</f>
        <v/>
      </c>
    </row>
    <row r="373" ht="14.25" customHeight="1" s="57">
      <c r="A373" s="56" t="inlineStr">
        <is>
          <t>ORD-00176</t>
        </is>
      </c>
      <c r="B373" s="116" t="n">
        <v>46022</v>
      </c>
      <c r="C373" s="56" t="n">
        <v>2025</v>
      </c>
      <c r="D373" s="56" t="n">
        <v>12</v>
      </c>
      <c r="E373" s="56" t="inlineStr">
        <is>
          <t>Saudi Arabia</t>
        </is>
      </c>
      <c r="F373" s="56" t="inlineStr">
        <is>
          <t>Riyadh</t>
        </is>
      </c>
      <c r="G373" s="56" t="inlineStr">
        <is>
          <t>Meta Ads</t>
        </is>
      </c>
      <c r="H373" s="56" t="inlineStr">
        <is>
          <t>Launch Test</t>
        </is>
      </c>
      <c r="I373" s="56" t="inlineStr">
        <is>
          <t>P001</t>
        </is>
      </c>
      <c r="J373" s="56" t="inlineStr">
        <is>
          <t>Wireless Earbuds</t>
        </is>
      </c>
      <c r="K373" s="56" t="inlineStr">
        <is>
          <t>Electronics</t>
        </is>
      </c>
      <c r="L373" s="56" t="inlineStr">
        <is>
          <t>Shenzhen Audio Co.</t>
        </is>
      </c>
      <c r="M373" s="56" t="n">
        <v>43.69</v>
      </c>
      <c r="N373" s="56" t="n">
        <v>9.050000000000001</v>
      </c>
      <c r="O373" s="56" t="n">
        <v>4.04</v>
      </c>
      <c r="P373" s="56" t="n">
        <v>0.03</v>
      </c>
      <c r="Q373" s="56" t="n">
        <v>6.67</v>
      </c>
      <c r="R373" s="56" t="n">
        <v>1</v>
      </c>
      <c r="S373" s="56">
        <f>IF(AC373="Cancelled",0,M373*R373)</f>
        <v/>
      </c>
      <c r="T373" s="56">
        <f>IF(AC373="Cancelled",0,N373*R373)</f>
        <v/>
      </c>
      <c r="U373" s="56">
        <f>IF(AC373="Cancelled",0,O373*R373)</f>
        <v/>
      </c>
      <c r="V373" s="56">
        <f>IF(AC373="Cancelled",0,ROUND(P373*S373,2))</f>
        <v/>
      </c>
      <c r="W373" s="56" t="inlineStr">
        <is>
          <t>No</t>
        </is>
      </c>
      <c r="X373" s="56" t="n">
        <v>0</v>
      </c>
      <c r="Y373" s="56">
        <f>IF(AC373="Cancelled",0,T373+U373+V373+Q373+X373)</f>
        <v/>
      </c>
      <c r="Z373" s="56">
        <f>IF(AC373="Cancelled",-Q373,S373-Y373)</f>
        <v/>
      </c>
      <c r="AA373" s="56">
        <f>IF(OR(AC373="Cancelled",S373=0),0,Z373/S373)</f>
        <v/>
      </c>
      <c r="AB373" s="56">
        <f>IFERROR(IF(Q373=0,0,S373/Q373),0)</f>
        <v/>
      </c>
      <c r="AC373" s="56" t="inlineStr">
        <is>
          <t>Delivered</t>
        </is>
      </c>
      <c r="AD373" s="56">
        <f>IF(Z373&lt;=0,"Low Profit",IF(Z373&gt;=50,"HighProfit","Medium Profit"))</f>
        <v/>
      </c>
      <c r="AE373" s="56">
        <f>TEXT(B373,"mmmm")</f>
        <v/>
      </c>
    </row>
    <row r="374" ht="14.25" customHeight="1" s="57">
      <c r="A374" s="56" t="inlineStr">
        <is>
          <t>ORD-00372</t>
        </is>
      </c>
      <c r="B374" s="116" t="n">
        <v>46023</v>
      </c>
      <c r="C374" s="56" t="n">
        <v>2026</v>
      </c>
      <c r="D374" s="56" t="n">
        <v>1</v>
      </c>
      <c r="E374" s="56" t="inlineStr">
        <is>
          <t>UAE</t>
        </is>
      </c>
      <c r="F374" s="56" t="inlineStr">
        <is>
          <t>Dubai</t>
        </is>
      </c>
      <c r="G374" s="56" t="inlineStr">
        <is>
          <t>Google Ads</t>
        </is>
      </c>
      <c r="H374" s="56" t="inlineStr">
        <is>
          <t>New Creative A/B</t>
        </is>
      </c>
      <c r="I374" s="56" t="inlineStr">
        <is>
          <t>P005</t>
        </is>
      </c>
      <c r="J374" s="56" t="inlineStr">
        <is>
          <t>Mini Printer</t>
        </is>
      </c>
      <c r="K374" s="56" t="inlineStr">
        <is>
          <t>Electronics</t>
        </is>
      </c>
      <c r="L374" s="56" t="inlineStr">
        <is>
          <t>Shenzhen Print Tech</t>
        </is>
      </c>
      <c r="M374" s="56" t="n">
        <v>57.55</v>
      </c>
      <c r="N374" s="56" t="n">
        <v>20.93</v>
      </c>
      <c r="O374" s="56" t="n">
        <v>6.74</v>
      </c>
      <c r="P374" s="56" t="n">
        <v>0.03</v>
      </c>
      <c r="Q374" s="56" t="n">
        <v>12.35</v>
      </c>
      <c r="R374" s="56" t="n">
        <v>3</v>
      </c>
      <c r="S374" s="56">
        <f>IF(AC374="Cancelled",0,M374*R374)</f>
        <v/>
      </c>
      <c r="T374" s="56">
        <f>IF(AC374="Cancelled",0,N374*R374)</f>
        <v/>
      </c>
      <c r="U374" s="56">
        <f>IF(AC374="Cancelled",0,O374*R374)</f>
        <v/>
      </c>
      <c r="V374" s="56">
        <f>IF(AC374="Cancelled",0,ROUND(P374*S374,2))</f>
        <v/>
      </c>
      <c r="W374" s="56" t="inlineStr">
        <is>
          <t>No</t>
        </is>
      </c>
      <c r="X374" s="56" t="n">
        <v>0</v>
      </c>
      <c r="Y374" s="56">
        <f>IF(AC374="Cancelled",0,T374+U374+V374+Q374+X374)</f>
        <v/>
      </c>
      <c r="Z374" s="56">
        <f>IF(AC374="Cancelled",-Q374,S374-Y374)</f>
        <v/>
      </c>
      <c r="AA374" s="56">
        <f>IF(OR(AC374="Cancelled",S374=0),0,Z374/S374)</f>
        <v/>
      </c>
      <c r="AB374" s="56">
        <f>IFERROR(IF(Q374=0,0,S374/Q374),0)</f>
        <v/>
      </c>
      <c r="AC374" s="56" t="inlineStr">
        <is>
          <t>Delivered</t>
        </is>
      </c>
      <c r="AD374" s="56">
        <f>IF(Z374&lt;=0,"Low Profit",IF(Z374&gt;=50,"HighProfit","Medium Profit"))</f>
        <v/>
      </c>
      <c r="AE374" s="56">
        <f>TEXT(B374,"mmmm")</f>
        <v/>
      </c>
    </row>
    <row r="375" ht="14.25" customHeight="1" s="57">
      <c r="A375" s="56" t="inlineStr">
        <is>
          <t>ORD-00298</t>
        </is>
      </c>
      <c r="B375" s="116" t="n">
        <v>46024</v>
      </c>
      <c r="C375" s="56" t="n">
        <v>2026</v>
      </c>
      <c r="D375" s="56" t="n">
        <v>1</v>
      </c>
      <c r="E375" s="56" t="inlineStr">
        <is>
          <t>UAE</t>
        </is>
      </c>
      <c r="F375" s="56" t="inlineStr">
        <is>
          <t>Abu Dhabi</t>
        </is>
      </c>
      <c r="G375" s="56" t="inlineStr">
        <is>
          <t>Google Ads</t>
        </is>
      </c>
      <c r="H375" s="56" t="inlineStr">
        <is>
          <t>New Creative A/B</t>
        </is>
      </c>
      <c r="I375" s="56" t="inlineStr">
        <is>
          <t>P007</t>
        </is>
      </c>
      <c r="J375" s="56" t="inlineStr">
        <is>
          <t>Pet Grooming Glove</t>
        </is>
      </c>
      <c r="K375" s="56" t="inlineStr">
        <is>
          <t>Pets</t>
        </is>
      </c>
      <c r="L375" s="56" t="inlineStr">
        <is>
          <t>Yiwu Pet Products</t>
        </is>
      </c>
      <c r="M375" s="56" t="n">
        <v>20.66</v>
      </c>
      <c r="N375" s="56" t="n">
        <v>3.42</v>
      </c>
      <c r="O375" s="56" t="n">
        <v>2.63</v>
      </c>
      <c r="P375" s="56" t="n">
        <v>0.03</v>
      </c>
      <c r="Q375" s="56" t="n">
        <v>10.65</v>
      </c>
      <c r="R375" s="56" t="n">
        <v>2</v>
      </c>
      <c r="S375" s="56">
        <f>IF(AC375="Cancelled",0,M375*R375)</f>
        <v/>
      </c>
      <c r="T375" s="56">
        <f>IF(AC375="Cancelled",0,N375*R375)</f>
        <v/>
      </c>
      <c r="U375" s="56">
        <f>IF(AC375="Cancelled",0,O375*R375)</f>
        <v/>
      </c>
      <c r="V375" s="56">
        <f>IF(AC375="Cancelled",0,ROUND(P375*S375,2))</f>
        <v/>
      </c>
      <c r="W375" s="56" t="inlineStr">
        <is>
          <t>No</t>
        </is>
      </c>
      <c r="X375" s="56" t="n">
        <v>0</v>
      </c>
      <c r="Y375" s="56">
        <f>IF(AC375="Cancelled",0,T375+U375+V375+Q375+X375)</f>
        <v/>
      </c>
      <c r="Z375" s="56">
        <f>IF(AC375="Cancelled",-Q375,S375-Y375)</f>
        <v/>
      </c>
      <c r="AA375" s="56">
        <f>IF(OR(AC375="Cancelled",S375=0),0,Z375/S375)</f>
        <v/>
      </c>
      <c r="AB375" s="56">
        <f>IFERROR(IF(Q375=0,0,S375/Q375),0)</f>
        <v/>
      </c>
      <c r="AC375" s="56" t="inlineStr">
        <is>
          <t>Delivered</t>
        </is>
      </c>
      <c r="AD375" s="56">
        <f>IF(Z375&lt;=0,"Low Profit",IF(Z375&gt;=50,"HighProfit","Medium Profit"))</f>
        <v/>
      </c>
      <c r="AE375" s="56">
        <f>TEXT(B375,"mmmm")</f>
        <v/>
      </c>
    </row>
    <row r="376" ht="14.25" customHeight="1" s="57">
      <c r="A376" s="56" t="inlineStr">
        <is>
          <t>ORD-00128</t>
        </is>
      </c>
      <c r="B376" s="116" t="n">
        <v>46025</v>
      </c>
      <c r="C376" s="56" t="n">
        <v>2026</v>
      </c>
      <c r="D376" s="56" t="n">
        <v>1</v>
      </c>
      <c r="E376" s="56" t="inlineStr">
        <is>
          <t>UAE</t>
        </is>
      </c>
      <c r="F376" s="56" t="inlineStr">
        <is>
          <t>Dubai</t>
        </is>
      </c>
      <c r="G376" s="56" t="inlineStr">
        <is>
          <t>Organic Search</t>
        </is>
      </c>
      <c r="H376" s="56" t="inlineStr">
        <is>
          <t>New Creative A/B</t>
        </is>
      </c>
      <c r="I376" s="56" t="inlineStr">
        <is>
          <t>P002</t>
        </is>
      </c>
      <c r="J376" s="56" t="inlineStr">
        <is>
          <t>Phone Case</t>
        </is>
      </c>
      <c r="K376" s="56" t="inlineStr">
        <is>
          <t>Accessories</t>
        </is>
      </c>
      <c r="L376" s="56" t="inlineStr">
        <is>
          <t>Guangzhou Cases Ltd.</t>
        </is>
      </c>
      <c r="M376" s="56" t="n">
        <v>15.9</v>
      </c>
      <c r="N376" s="56" t="n">
        <v>1.97</v>
      </c>
      <c r="O376" s="56" t="n">
        <v>1.98</v>
      </c>
      <c r="P376" s="56" t="n">
        <v>0.03</v>
      </c>
      <c r="Q376" s="56" t="n">
        <v>0</v>
      </c>
      <c r="R376" s="56" t="n">
        <v>3</v>
      </c>
      <c r="S376" s="56">
        <f>IF(AC376="Cancelled",0,M376*R376)</f>
        <v/>
      </c>
      <c r="T376" s="56">
        <f>IF(AC376="Cancelled",0,N376*R376)</f>
        <v/>
      </c>
      <c r="U376" s="56">
        <f>IF(AC376="Cancelled",0,O376*R376)</f>
        <v/>
      </c>
      <c r="V376" s="56">
        <f>IF(AC376="Cancelled",0,ROUND(P376*S376,2))</f>
        <v/>
      </c>
      <c r="W376" s="56" t="inlineStr">
        <is>
          <t>No</t>
        </is>
      </c>
      <c r="X376" s="56" t="n">
        <v>0</v>
      </c>
      <c r="Y376" s="56">
        <f>IF(AC376="Cancelled",0,T376+U376+V376+Q376+X376)</f>
        <v/>
      </c>
      <c r="Z376" s="56">
        <f>IF(AC376="Cancelled",-Q376,S376-Y376)</f>
        <v/>
      </c>
      <c r="AA376" s="56">
        <f>IF(OR(AC376="Cancelled",S376=0),0,Z376/S376)</f>
        <v/>
      </c>
      <c r="AB376" s="56">
        <f>IFERROR(IF(Q376=0,0,S376/Q376),0)</f>
        <v/>
      </c>
      <c r="AC376" s="56" t="inlineStr">
        <is>
          <t>Delivered</t>
        </is>
      </c>
      <c r="AD376" s="56">
        <f>IF(Z376&lt;=0,"Low Profit",IF(Z376&gt;=50,"HighProfit","Medium Profit"))</f>
        <v/>
      </c>
      <c r="AE376" s="56">
        <f>TEXT(B376,"mmmm")</f>
        <v/>
      </c>
    </row>
    <row r="377" ht="14.25" customHeight="1" s="57">
      <c r="A377" s="56" t="inlineStr">
        <is>
          <t>ORD-00184</t>
        </is>
      </c>
      <c r="B377" s="116" t="n">
        <v>46025</v>
      </c>
      <c r="C377" s="56" t="n">
        <v>2026</v>
      </c>
      <c r="D377" s="56" t="n">
        <v>1</v>
      </c>
      <c r="E377" s="56" t="inlineStr">
        <is>
          <t>UAE</t>
        </is>
      </c>
      <c r="F377" s="56" t="inlineStr">
        <is>
          <t>Abu Dhabi</t>
        </is>
      </c>
      <c r="G377" s="56" t="inlineStr">
        <is>
          <t>Influencer</t>
        </is>
      </c>
      <c r="H377" s="56" t="inlineStr">
        <is>
          <t>Bundle Promo</t>
        </is>
      </c>
      <c r="I377" s="56" t="inlineStr">
        <is>
          <t>P009</t>
        </is>
      </c>
      <c r="J377" s="56" t="inlineStr">
        <is>
          <t>Car Vacuum Cleaner</t>
        </is>
      </c>
      <c r="K377" s="56" t="inlineStr">
        <is>
          <t>Automotive</t>
        </is>
      </c>
      <c r="L377" s="56" t="inlineStr">
        <is>
          <t>Dongguan Auto Tools</t>
        </is>
      </c>
      <c r="M377" s="56" t="n">
        <v>48.73</v>
      </c>
      <c r="N377" s="56" t="n">
        <v>13.96</v>
      </c>
      <c r="O377" s="56" t="n">
        <v>6.11</v>
      </c>
      <c r="P377" s="56" t="n">
        <v>0.03</v>
      </c>
      <c r="Q377" s="56" t="n">
        <v>3.24</v>
      </c>
      <c r="R377" s="56" t="n">
        <v>1</v>
      </c>
      <c r="S377" s="56">
        <f>IF(AC377="Cancelled",0,M377*R377)</f>
        <v/>
      </c>
      <c r="T377" s="56">
        <f>IF(AC377="Cancelled",0,N377*R377)</f>
        <v/>
      </c>
      <c r="U377" s="56">
        <f>IF(AC377="Cancelled",0,O377*R377)</f>
        <v/>
      </c>
      <c r="V377" s="56">
        <f>IF(AC377="Cancelled",0,ROUND(P377*S377,2))</f>
        <v/>
      </c>
      <c r="W377" s="56" t="inlineStr">
        <is>
          <t>No</t>
        </is>
      </c>
      <c r="X377" s="56" t="n">
        <v>0</v>
      </c>
      <c r="Y377" s="56">
        <f>IF(AC377="Cancelled",0,T377+U377+V377+Q377+X377)</f>
        <v/>
      </c>
      <c r="Z377" s="56">
        <f>IF(AC377="Cancelled",-Q377,S377-Y377)</f>
        <v/>
      </c>
      <c r="AA377" s="56">
        <f>IF(OR(AC377="Cancelled",S377=0),0,Z377/S377)</f>
        <v/>
      </c>
      <c r="AB377" s="56">
        <f>IFERROR(IF(Q377=0,0,S377/Q377),0)</f>
        <v/>
      </c>
      <c r="AC377" s="56" t="inlineStr">
        <is>
          <t>Delivered</t>
        </is>
      </c>
      <c r="AD377" s="56">
        <f>IF(Z377&lt;=0,"Low Profit",IF(Z377&gt;=50,"HighProfit","Medium Profit"))</f>
        <v/>
      </c>
      <c r="AE377" s="56">
        <f>TEXT(B377,"mmmm")</f>
        <v/>
      </c>
    </row>
    <row r="378" ht="14.25" customHeight="1" s="57">
      <c r="A378" s="56" t="inlineStr">
        <is>
          <t>ORD-00207</t>
        </is>
      </c>
      <c r="B378" s="116" t="n">
        <v>46025</v>
      </c>
      <c r="C378" s="56" t="n">
        <v>2026</v>
      </c>
      <c r="D378" s="56" t="n">
        <v>1</v>
      </c>
      <c r="E378" s="56" t="inlineStr">
        <is>
          <t>Oman</t>
        </is>
      </c>
      <c r="F378" s="56" t="inlineStr">
        <is>
          <t>Muscat</t>
        </is>
      </c>
      <c r="G378" s="56" t="inlineStr">
        <is>
          <t>Meta Ads</t>
        </is>
      </c>
      <c r="H378" s="56" t="inlineStr">
        <is>
          <t>Summer Sale</t>
        </is>
      </c>
      <c r="I378" s="56" t="inlineStr">
        <is>
          <t>P005</t>
        </is>
      </c>
      <c r="J378" s="56" t="inlineStr">
        <is>
          <t>Mini Printer</t>
        </is>
      </c>
      <c r="K378" s="56" t="inlineStr">
        <is>
          <t>Electronics</t>
        </is>
      </c>
      <c r="L378" s="56" t="inlineStr">
        <is>
          <t>Shenzhen Print Tech</t>
        </is>
      </c>
      <c r="M378" s="56" t="n">
        <v>58.78</v>
      </c>
      <c r="N378" s="56" t="n">
        <v>22.54</v>
      </c>
      <c r="O378" s="56" t="n">
        <v>7.08</v>
      </c>
      <c r="P378" s="56" t="n">
        <v>0.03</v>
      </c>
      <c r="Q378" s="56" t="n">
        <v>11.28</v>
      </c>
      <c r="R378" s="56" t="n">
        <v>2</v>
      </c>
      <c r="S378" s="56">
        <f>IF(AC378="Cancelled",0,M378*R378)</f>
        <v/>
      </c>
      <c r="T378" s="56">
        <f>IF(AC378="Cancelled",0,N378*R378)</f>
        <v/>
      </c>
      <c r="U378" s="56">
        <f>IF(AC378="Cancelled",0,O378*R378)</f>
        <v/>
      </c>
      <c r="V378" s="56">
        <f>IF(AC378="Cancelled",0,ROUND(P378*S378,2))</f>
        <v/>
      </c>
      <c r="W378" s="56" t="inlineStr">
        <is>
          <t>No</t>
        </is>
      </c>
      <c r="X378" s="56" t="n">
        <v>0</v>
      </c>
      <c r="Y378" s="56">
        <f>IF(AC378="Cancelled",0,T378+U378+V378+Q378+X378)</f>
        <v/>
      </c>
      <c r="Z378" s="56">
        <f>IF(AC378="Cancelled",-Q378,S378-Y378)</f>
        <v/>
      </c>
      <c r="AA378" s="56">
        <f>IF(OR(AC378="Cancelled",S378=0),0,Z378/S378)</f>
        <v/>
      </c>
      <c r="AB378" s="56">
        <f>IFERROR(IF(Q378=0,0,S378/Q378),0)</f>
        <v/>
      </c>
      <c r="AC378" s="56" t="inlineStr">
        <is>
          <t>Delivered</t>
        </is>
      </c>
      <c r="AD378" s="56">
        <f>IF(Z378&lt;=0,"Low Profit",IF(Z378&gt;=50,"HighProfit","Medium Profit"))</f>
        <v/>
      </c>
      <c r="AE378" s="56">
        <f>TEXT(B378,"mmmm")</f>
        <v/>
      </c>
    </row>
    <row r="379" ht="14.25" customHeight="1" s="57">
      <c r="A379" s="56" t="inlineStr">
        <is>
          <t>ORD-00406</t>
        </is>
      </c>
      <c r="B379" s="116" t="n">
        <v>46025</v>
      </c>
      <c r="C379" s="56" t="n">
        <v>2026</v>
      </c>
      <c r="D379" s="56" t="n">
        <v>1</v>
      </c>
      <c r="E379" s="56" t="inlineStr">
        <is>
          <t>Saudi Arabia</t>
        </is>
      </c>
      <c r="F379" s="56" t="inlineStr">
        <is>
          <t>Jeddah</t>
        </is>
      </c>
      <c r="G379" s="56" t="inlineStr">
        <is>
          <t>Organic Search</t>
        </is>
      </c>
      <c r="H379" s="56" t="inlineStr">
        <is>
          <t>Bundle Promo</t>
        </is>
      </c>
      <c r="I379" s="56" t="inlineStr">
        <is>
          <t>P010</t>
        </is>
      </c>
      <c r="J379" s="56" t="inlineStr">
        <is>
          <t>Smart Water Bottle</t>
        </is>
      </c>
      <c r="K379" s="56" t="inlineStr">
        <is>
          <t>Lifestyle</t>
        </is>
      </c>
      <c r="L379" s="56" t="inlineStr">
        <is>
          <t>Shenzhen Smart Home</t>
        </is>
      </c>
      <c r="M379" s="56" t="n">
        <v>33.28</v>
      </c>
      <c r="N379" s="56" t="n">
        <v>9.529999999999999</v>
      </c>
      <c r="O379" s="56" t="n">
        <v>3.81</v>
      </c>
      <c r="P379" s="56" t="n">
        <v>0.03</v>
      </c>
      <c r="Q379" s="56" t="n">
        <v>0</v>
      </c>
      <c r="R379" s="56" t="n">
        <v>2</v>
      </c>
      <c r="S379" s="56">
        <f>IF(AC379="Cancelled",0,M379*R379)</f>
        <v/>
      </c>
      <c r="T379" s="56">
        <f>IF(AC379="Cancelled",0,N379*R379)</f>
        <v/>
      </c>
      <c r="U379" s="56">
        <f>IF(AC379="Cancelled",0,O379*R379)</f>
        <v/>
      </c>
      <c r="V379" s="56">
        <f>IF(AC379="Cancelled",0,ROUND(P379*S379,2))</f>
        <v/>
      </c>
      <c r="W379" s="56" t="inlineStr">
        <is>
          <t>No</t>
        </is>
      </c>
      <c r="X379" s="56" t="n">
        <v>0</v>
      </c>
      <c r="Y379" s="56">
        <f>IF(AC379="Cancelled",0,T379+U379+V379+Q379+X379)</f>
        <v/>
      </c>
      <c r="Z379" s="56">
        <f>IF(AC379="Cancelled",-Q379,S379-Y379)</f>
        <v/>
      </c>
      <c r="AA379" s="56">
        <f>IF(OR(AC379="Cancelled",S379=0),0,Z379/S379)</f>
        <v/>
      </c>
      <c r="AB379" s="56">
        <f>IFERROR(IF(Q379=0,0,S379/Q379),0)</f>
        <v/>
      </c>
      <c r="AC379" s="56" t="inlineStr">
        <is>
          <t>Delivered</t>
        </is>
      </c>
      <c r="AD379" s="56">
        <f>IF(Z379&lt;=0,"Low Profit",IF(Z379&gt;=50,"HighProfit","Medium Profit"))</f>
        <v/>
      </c>
      <c r="AE379" s="56">
        <f>TEXT(B379,"mmmm")</f>
        <v/>
      </c>
    </row>
    <row r="380" ht="14.25" customHeight="1" s="57">
      <c r="A380" s="56" t="inlineStr">
        <is>
          <t>ORD-00049</t>
        </is>
      </c>
      <c r="B380" s="116" t="n">
        <v>46026</v>
      </c>
      <c r="C380" s="56" t="n">
        <v>2026</v>
      </c>
      <c r="D380" s="56" t="n">
        <v>1</v>
      </c>
      <c r="E380" s="56" t="inlineStr">
        <is>
          <t>Saudi Arabia</t>
        </is>
      </c>
      <c r="F380" s="56" t="inlineStr">
        <is>
          <t>Riyadh</t>
        </is>
      </c>
      <c r="G380" s="56" t="inlineStr">
        <is>
          <t>Organic Search</t>
        </is>
      </c>
      <c r="H380" s="56" t="inlineStr">
        <is>
          <t>Retargeting</t>
        </is>
      </c>
      <c r="I380" s="56" t="inlineStr">
        <is>
          <t>P003</t>
        </is>
      </c>
      <c r="J380" s="56" t="inlineStr">
        <is>
          <t>LED Strip Lights</t>
        </is>
      </c>
      <c r="K380" s="56" t="inlineStr">
        <is>
          <t>Home Decor</t>
        </is>
      </c>
      <c r="L380" s="56" t="inlineStr">
        <is>
          <t>Yiwu Lighting Factory</t>
        </is>
      </c>
      <c r="M380" s="56" t="n">
        <v>26.26</v>
      </c>
      <c r="N380" s="56" t="n">
        <v>6.34</v>
      </c>
      <c r="O380" s="56" t="n">
        <v>3.49</v>
      </c>
      <c r="P380" s="56" t="n">
        <v>0.03</v>
      </c>
      <c r="Q380" s="56" t="n">
        <v>0</v>
      </c>
      <c r="R380" s="56" t="n">
        <v>2</v>
      </c>
      <c r="S380" s="56">
        <f>IF(AC380="Cancelled",0,M380*R380)</f>
        <v/>
      </c>
      <c r="T380" s="56">
        <f>IF(AC380="Cancelled",0,N380*R380)</f>
        <v/>
      </c>
      <c r="U380" s="56">
        <f>IF(AC380="Cancelled",0,O380*R380)</f>
        <v/>
      </c>
      <c r="V380" s="56">
        <f>IF(AC380="Cancelled",0,ROUND(P380*S380,2))</f>
        <v/>
      </c>
      <c r="W380" s="56" t="inlineStr">
        <is>
          <t>No</t>
        </is>
      </c>
      <c r="X380" s="56" t="n">
        <v>0</v>
      </c>
      <c r="Y380" s="56">
        <f>IF(AC380="Cancelled",0,T380+U380+V380+Q380+X380)</f>
        <v/>
      </c>
      <c r="Z380" s="56">
        <f>IF(AC380="Cancelled",-Q380,S380-Y380)</f>
        <v/>
      </c>
      <c r="AA380" s="56">
        <f>IF(OR(AC380="Cancelled",S380=0),0,Z380/S380)</f>
        <v/>
      </c>
      <c r="AB380" s="56">
        <f>IFERROR(IF(Q380=0,0,S380/Q380),0)</f>
        <v/>
      </c>
      <c r="AC380" s="56" t="inlineStr">
        <is>
          <t>Delivered</t>
        </is>
      </c>
      <c r="AD380" s="56">
        <f>IF(Z380&lt;=0,"Low Profit",IF(Z380&gt;=50,"HighProfit","Medium Profit"))</f>
        <v/>
      </c>
      <c r="AE380" s="56">
        <f>TEXT(B380,"mmmm")</f>
        <v/>
      </c>
    </row>
    <row r="381" ht="14.25" customHeight="1" s="57">
      <c r="A381" s="56" t="inlineStr">
        <is>
          <t>ORD-00174</t>
        </is>
      </c>
      <c r="B381" s="116" t="n">
        <v>46026</v>
      </c>
      <c r="C381" s="56" t="n">
        <v>2026</v>
      </c>
      <c r="D381" s="56" t="n">
        <v>1</v>
      </c>
      <c r="E381" s="56" t="inlineStr">
        <is>
          <t>Oman</t>
        </is>
      </c>
      <c r="F381" s="56" t="inlineStr">
        <is>
          <t>Muscat</t>
        </is>
      </c>
      <c r="G381" s="56" t="inlineStr">
        <is>
          <t>Meta Ads</t>
        </is>
      </c>
      <c r="H381" s="56" t="inlineStr">
        <is>
          <t>Bundle Promo</t>
        </is>
      </c>
      <c r="I381" s="56" t="inlineStr">
        <is>
          <t>P010</t>
        </is>
      </c>
      <c r="J381" s="56" t="inlineStr">
        <is>
          <t>Smart Water Bottle</t>
        </is>
      </c>
      <c r="K381" s="56" t="inlineStr">
        <is>
          <t>Lifestyle</t>
        </is>
      </c>
      <c r="L381" s="56" t="inlineStr">
        <is>
          <t>Shenzhen Smart Home</t>
        </is>
      </c>
      <c r="M381" s="56" t="n">
        <v>31.74</v>
      </c>
      <c r="N381" s="56" t="n">
        <v>10.6</v>
      </c>
      <c r="O381" s="56" t="n">
        <v>4.45</v>
      </c>
      <c r="P381" s="56" t="n">
        <v>0.03</v>
      </c>
      <c r="Q381" s="56" t="n">
        <v>8.84</v>
      </c>
      <c r="R381" s="56" t="n">
        <v>1</v>
      </c>
      <c r="S381" s="56">
        <f>IF(AC381="Cancelled",0,M381*R381)</f>
        <v/>
      </c>
      <c r="T381" s="56">
        <f>IF(AC381="Cancelled",0,N381*R381)</f>
        <v/>
      </c>
      <c r="U381" s="56">
        <f>IF(AC381="Cancelled",0,O381*R381)</f>
        <v/>
      </c>
      <c r="V381" s="56">
        <f>IF(AC381="Cancelled",0,ROUND(P381*S381,2))</f>
        <v/>
      </c>
      <c r="W381" s="56" t="inlineStr">
        <is>
          <t>No</t>
        </is>
      </c>
      <c r="X381" s="56" t="n">
        <v>0</v>
      </c>
      <c r="Y381" s="56">
        <f>IF(AC381="Cancelled",0,T381+U381+V381+Q381+X381)</f>
        <v/>
      </c>
      <c r="Z381" s="56">
        <f>IF(AC381="Cancelled",-Q381,S381-Y381)</f>
        <v/>
      </c>
      <c r="AA381" s="56">
        <f>IF(OR(AC381="Cancelled",S381=0),0,Z381/S381)</f>
        <v/>
      </c>
      <c r="AB381" s="56">
        <f>IFERROR(IF(Q381=0,0,S381/Q381),0)</f>
        <v/>
      </c>
      <c r="AC381" s="56" t="inlineStr">
        <is>
          <t>Delivered</t>
        </is>
      </c>
      <c r="AD381" s="56">
        <f>IF(Z381&lt;=0,"Low Profit",IF(Z381&gt;=50,"HighProfit","Medium Profit"))</f>
        <v/>
      </c>
      <c r="AE381" s="56">
        <f>TEXT(B381,"mmmm")</f>
        <v/>
      </c>
    </row>
    <row r="382" ht="14.25" customHeight="1" s="57">
      <c r="A382" s="56" t="inlineStr">
        <is>
          <t>ORD-00247</t>
        </is>
      </c>
      <c r="B382" s="116" t="n">
        <v>46027</v>
      </c>
      <c r="C382" s="56" t="n">
        <v>2026</v>
      </c>
      <c r="D382" s="56" t="n">
        <v>1</v>
      </c>
      <c r="E382" s="56" t="inlineStr">
        <is>
          <t>Kuwait</t>
        </is>
      </c>
      <c r="F382" s="56" t="inlineStr">
        <is>
          <t>Kuwait City</t>
        </is>
      </c>
      <c r="G382" s="56" t="inlineStr">
        <is>
          <t>TikTok Ads</t>
        </is>
      </c>
      <c r="H382" s="56" t="inlineStr">
        <is>
          <t>Launch Test</t>
        </is>
      </c>
      <c r="I382" s="56" t="inlineStr">
        <is>
          <t>P001</t>
        </is>
      </c>
      <c r="J382" s="56" t="inlineStr">
        <is>
          <t>Wireless Earbuds</t>
        </is>
      </c>
      <c r="K382" s="56" t="inlineStr">
        <is>
          <t>Electronics</t>
        </is>
      </c>
      <c r="L382" s="56" t="inlineStr">
        <is>
          <t>Shenzhen Audio Co.</t>
        </is>
      </c>
      <c r="M382" s="56" t="n">
        <v>36.4</v>
      </c>
      <c r="N382" s="56" t="n">
        <v>9.15</v>
      </c>
      <c r="O382" s="56" t="n">
        <v>4.45</v>
      </c>
      <c r="P382" s="56" t="n">
        <v>0.03</v>
      </c>
      <c r="Q382" s="56" t="n">
        <v>8.119999999999999</v>
      </c>
      <c r="R382" s="56" t="n">
        <v>1</v>
      </c>
      <c r="S382" s="56">
        <f>IF(AC382="Cancelled",0,M382*R382)</f>
        <v/>
      </c>
      <c r="T382" s="56">
        <f>IF(AC382="Cancelled",0,N382*R382)</f>
        <v/>
      </c>
      <c r="U382" s="56">
        <f>IF(AC382="Cancelled",0,O382*R382)</f>
        <v/>
      </c>
      <c r="V382" s="56">
        <f>IF(AC382="Cancelled",0,ROUND(P382*S382,2))</f>
        <v/>
      </c>
      <c r="W382" s="56" t="inlineStr">
        <is>
          <t>No</t>
        </is>
      </c>
      <c r="X382" s="56" t="n">
        <v>0</v>
      </c>
      <c r="Y382" s="56">
        <f>IF(AC382="Cancelled",0,T382+U382+V382+Q382+X382)</f>
        <v/>
      </c>
      <c r="Z382" s="56">
        <f>IF(AC382="Cancelled",-Q382,S382-Y382)</f>
        <v/>
      </c>
      <c r="AA382" s="56">
        <f>IF(OR(AC382="Cancelled",S382=0),0,Z382/S382)</f>
        <v/>
      </c>
      <c r="AB382" s="56">
        <f>IFERROR(IF(Q382=0,0,S382/Q382),0)</f>
        <v/>
      </c>
      <c r="AC382" s="56" t="inlineStr">
        <is>
          <t>Delivered</t>
        </is>
      </c>
      <c r="AD382" s="56">
        <f>IF(Z382&lt;=0,"Low Profit",IF(Z382&gt;=50,"HighProfit","Medium Profit"))</f>
        <v/>
      </c>
      <c r="AE382" s="56">
        <f>TEXT(B382,"mmmm")</f>
        <v/>
      </c>
    </row>
    <row r="383" ht="14.25" customHeight="1" s="57">
      <c r="A383" s="56" t="inlineStr">
        <is>
          <t>ORD-00405</t>
        </is>
      </c>
      <c r="B383" s="116" t="n">
        <v>46027</v>
      </c>
      <c r="C383" s="56" t="n">
        <v>2026</v>
      </c>
      <c r="D383" s="56" t="n">
        <v>1</v>
      </c>
      <c r="E383" s="56" t="inlineStr">
        <is>
          <t>UAE</t>
        </is>
      </c>
      <c r="F383" s="56" t="inlineStr">
        <is>
          <t>Dubai</t>
        </is>
      </c>
      <c r="G383" s="56" t="inlineStr">
        <is>
          <t>Influencer</t>
        </is>
      </c>
      <c r="H383" s="56" t="inlineStr">
        <is>
          <t>Retargeting</t>
        </is>
      </c>
      <c r="I383" s="56" t="inlineStr">
        <is>
          <t>P005</t>
        </is>
      </c>
      <c r="J383" s="56" t="inlineStr">
        <is>
          <t>Mini Printer</t>
        </is>
      </c>
      <c r="K383" s="56" t="inlineStr">
        <is>
          <t>Electronics</t>
        </is>
      </c>
      <c r="L383" s="56" t="inlineStr">
        <is>
          <t>Shenzhen Print Tech</t>
        </is>
      </c>
      <c r="M383" s="56" t="n">
        <v>66.87</v>
      </c>
      <c r="N383" s="56" t="n">
        <v>23.66</v>
      </c>
      <c r="O383" s="56" t="n">
        <v>6.52</v>
      </c>
      <c r="P383" s="56" t="n">
        <v>0.03</v>
      </c>
      <c r="Q383" s="56" t="n">
        <v>9.970000000000001</v>
      </c>
      <c r="R383" s="56" t="n">
        <v>1</v>
      </c>
      <c r="S383" s="56">
        <f>IF(AC383="Cancelled",0,M383*R383)</f>
        <v/>
      </c>
      <c r="T383" s="56">
        <f>IF(AC383="Cancelled",0,N383*R383)</f>
        <v/>
      </c>
      <c r="U383" s="56">
        <f>IF(AC383="Cancelled",0,O383*R383)</f>
        <v/>
      </c>
      <c r="V383" s="56">
        <f>IF(AC383="Cancelled",0,ROUND(P383*S383,2))</f>
        <v/>
      </c>
      <c r="W383" s="56" t="inlineStr">
        <is>
          <t>Yes</t>
        </is>
      </c>
      <c r="X383" s="56" t="n">
        <v>46.83</v>
      </c>
      <c r="Y383" s="56">
        <f>IF(AC383="Cancelled",0,T383+U383+V383+Q383+X383)</f>
        <v/>
      </c>
      <c r="Z383" s="56">
        <f>IF(AC383="Cancelled",-Q383,S383-Y383)</f>
        <v/>
      </c>
      <c r="AA383" s="56">
        <f>IF(OR(AC383="Cancelled",S383=0),0,Z383/S383)</f>
        <v/>
      </c>
      <c r="AB383" s="56">
        <f>IFERROR(IF(Q383=0,0,S383/Q383),0)</f>
        <v/>
      </c>
      <c r="AC383" s="56" t="inlineStr">
        <is>
          <t>Refunded</t>
        </is>
      </c>
      <c r="AD383" s="56">
        <f>IF(Z383&lt;=0,"Low Profit",IF(Z383&gt;=50,"HighProfit","Medium Profit"))</f>
        <v/>
      </c>
      <c r="AE383" s="56">
        <f>TEXT(B383,"mmmm")</f>
        <v/>
      </c>
    </row>
    <row r="384" ht="14.25" customHeight="1" s="57">
      <c r="A384" s="56" t="inlineStr">
        <is>
          <t>ORD-00069</t>
        </is>
      </c>
      <c r="B384" s="116" t="n">
        <v>46028</v>
      </c>
      <c r="C384" s="56" t="n">
        <v>2026</v>
      </c>
      <c r="D384" s="56" t="n">
        <v>1</v>
      </c>
      <c r="E384" s="56" t="inlineStr">
        <is>
          <t>Saudi Arabia</t>
        </is>
      </c>
      <c r="F384" s="56" t="inlineStr">
        <is>
          <t>Riyadh</t>
        </is>
      </c>
      <c r="G384" s="56" t="inlineStr">
        <is>
          <t>TikTok Ads</t>
        </is>
      </c>
      <c r="H384" s="56" t="inlineStr">
        <is>
          <t>New Creative A/B</t>
        </is>
      </c>
      <c r="I384" s="56" t="inlineStr">
        <is>
          <t>P002</t>
        </is>
      </c>
      <c r="J384" s="56" t="inlineStr">
        <is>
          <t>Phone Case</t>
        </is>
      </c>
      <c r="K384" s="56" t="inlineStr">
        <is>
          <t>Accessories</t>
        </is>
      </c>
      <c r="L384" s="56" t="inlineStr">
        <is>
          <t>Guangzhou Cases Ltd.</t>
        </is>
      </c>
      <c r="M384" s="56" t="n">
        <v>15.99</v>
      </c>
      <c r="N384" s="56" t="n">
        <v>2.04</v>
      </c>
      <c r="O384" s="56" t="n">
        <v>2.21</v>
      </c>
      <c r="P384" s="56" t="n">
        <v>0.03</v>
      </c>
      <c r="Q384" s="56" t="n">
        <v>4.33</v>
      </c>
      <c r="R384" s="56" t="n">
        <v>1</v>
      </c>
      <c r="S384" s="56">
        <f>IF(AC384="Cancelled",0,M384*R384)</f>
        <v/>
      </c>
      <c r="T384" s="56">
        <f>IF(AC384="Cancelled",0,N384*R384)</f>
        <v/>
      </c>
      <c r="U384" s="56">
        <f>IF(AC384="Cancelled",0,O384*R384)</f>
        <v/>
      </c>
      <c r="V384" s="56">
        <f>IF(AC384="Cancelled",0,ROUND(P384*S384,2))</f>
        <v/>
      </c>
      <c r="W384" s="56" t="inlineStr">
        <is>
          <t>No</t>
        </is>
      </c>
      <c r="X384" s="56" t="n">
        <v>0</v>
      </c>
      <c r="Y384" s="56">
        <f>IF(AC384="Cancelled",0,T384+U384+V384+Q384+X384)</f>
        <v/>
      </c>
      <c r="Z384" s="56">
        <f>IF(AC384="Cancelled",-Q384,S384-Y384)</f>
        <v/>
      </c>
      <c r="AA384" s="56">
        <f>IF(OR(AC384="Cancelled",S384=0),0,Z384/S384)</f>
        <v/>
      </c>
      <c r="AB384" s="56">
        <f>IFERROR(IF(Q384=0,0,S384/Q384),0)</f>
        <v/>
      </c>
      <c r="AC384" s="56" t="inlineStr">
        <is>
          <t>Delivered</t>
        </is>
      </c>
      <c r="AD384" s="56">
        <f>IF(Z384&lt;=0,"Low Profit",IF(Z384&gt;=50,"HighProfit","Medium Profit"))</f>
        <v/>
      </c>
      <c r="AE384" s="56">
        <f>TEXT(B384,"mmmm")</f>
        <v/>
      </c>
    </row>
    <row r="385" ht="14.25" customHeight="1" s="57">
      <c r="A385" s="56" t="inlineStr">
        <is>
          <t>ORD-00096</t>
        </is>
      </c>
      <c r="B385" s="116" t="n">
        <v>46028</v>
      </c>
      <c r="C385" s="56" t="n">
        <v>2026</v>
      </c>
      <c r="D385" s="56" t="n">
        <v>1</v>
      </c>
      <c r="E385" s="56" t="inlineStr">
        <is>
          <t>UAE</t>
        </is>
      </c>
      <c r="F385" s="56" t="inlineStr">
        <is>
          <t>Sharjah</t>
        </is>
      </c>
      <c r="G385" s="56" t="inlineStr">
        <is>
          <t>Meta Ads</t>
        </is>
      </c>
      <c r="H385" s="56" t="inlineStr">
        <is>
          <t>Bundle Promo</t>
        </is>
      </c>
      <c r="I385" s="56" t="inlineStr">
        <is>
          <t>P001</t>
        </is>
      </c>
      <c r="J385" s="56" t="inlineStr">
        <is>
          <t>Wireless Earbuds</t>
        </is>
      </c>
      <c r="K385" s="56" t="inlineStr">
        <is>
          <t>Electronics</t>
        </is>
      </c>
      <c r="L385" s="56" t="inlineStr">
        <is>
          <t>Shenzhen Audio Co.</t>
        </is>
      </c>
      <c r="M385" s="56" t="n">
        <v>39.09</v>
      </c>
      <c r="N385" s="56" t="n">
        <v>8.460000000000001</v>
      </c>
      <c r="O385" s="56" t="n">
        <v>4.23</v>
      </c>
      <c r="P385" s="56" t="n">
        <v>0.03</v>
      </c>
      <c r="Q385" s="56" t="n">
        <v>17.26</v>
      </c>
      <c r="R385" s="56" t="n">
        <v>3</v>
      </c>
      <c r="S385" s="56">
        <f>IF(AC385="Cancelled",0,M385*R385)</f>
        <v/>
      </c>
      <c r="T385" s="56">
        <f>IF(AC385="Cancelled",0,N385*R385)</f>
        <v/>
      </c>
      <c r="U385" s="56">
        <f>IF(AC385="Cancelled",0,O385*R385)</f>
        <v/>
      </c>
      <c r="V385" s="56">
        <f>IF(AC385="Cancelled",0,ROUND(P385*S385,2))</f>
        <v/>
      </c>
      <c r="W385" s="56" t="inlineStr">
        <is>
          <t>Yes</t>
        </is>
      </c>
      <c r="X385" s="56" t="n">
        <v>105.35</v>
      </c>
      <c r="Y385" s="56">
        <f>IF(AC385="Cancelled",0,T385+U385+V385+Q385+X385)</f>
        <v/>
      </c>
      <c r="Z385" s="56">
        <f>IF(AC385="Cancelled",-Q385,S385-Y385)</f>
        <v/>
      </c>
      <c r="AA385" s="56">
        <f>IF(OR(AC385="Cancelled",S385=0),0,Z385/S385)</f>
        <v/>
      </c>
      <c r="AB385" s="56">
        <f>IFERROR(IF(Q385=0,0,S385/Q385),0)</f>
        <v/>
      </c>
      <c r="AC385" s="56" t="inlineStr">
        <is>
          <t>Refunded</t>
        </is>
      </c>
      <c r="AD385" s="56">
        <f>IF(Z385&lt;=0,"Low Profit",IF(Z385&gt;=50,"HighProfit","Medium Profit"))</f>
        <v/>
      </c>
      <c r="AE385" s="56">
        <f>TEXT(B385,"mmmm")</f>
        <v/>
      </c>
    </row>
    <row r="386" ht="14.25" customHeight="1" s="57">
      <c r="A386" s="56" t="inlineStr">
        <is>
          <t>ORD-00129</t>
        </is>
      </c>
      <c r="B386" s="116" t="n">
        <v>46028</v>
      </c>
      <c r="C386" s="56" t="n">
        <v>2026</v>
      </c>
      <c r="D386" s="56" t="n">
        <v>1</v>
      </c>
      <c r="E386" s="56" t="inlineStr">
        <is>
          <t>Qatar</t>
        </is>
      </c>
      <c r="F386" s="56" t="inlineStr">
        <is>
          <t>Doha</t>
        </is>
      </c>
      <c r="G386" s="56" t="inlineStr">
        <is>
          <t>TikTok Ads</t>
        </is>
      </c>
      <c r="H386" s="56" t="inlineStr">
        <is>
          <t>Bundle Promo</t>
        </is>
      </c>
      <c r="I386" s="56" t="inlineStr">
        <is>
          <t>P005</t>
        </is>
      </c>
      <c r="J386" s="56" t="inlineStr">
        <is>
          <t>Mini Printer</t>
        </is>
      </c>
      <c r="K386" s="56" t="inlineStr">
        <is>
          <t>Electronics</t>
        </is>
      </c>
      <c r="L386" s="56" t="inlineStr">
        <is>
          <t>Shenzhen Print Tech</t>
        </is>
      </c>
      <c r="M386" s="56" t="n">
        <v>65.69</v>
      </c>
      <c r="N386" s="56" t="n">
        <v>23.16</v>
      </c>
      <c r="O386" s="56" t="n">
        <v>7.57</v>
      </c>
      <c r="P386" s="56" t="n">
        <v>0.03</v>
      </c>
      <c r="Q386" s="56" t="n">
        <v>10.75</v>
      </c>
      <c r="R386" s="56" t="n">
        <v>2</v>
      </c>
      <c r="S386" s="56">
        <f>IF(AC386="Cancelled",0,M386*R386)</f>
        <v/>
      </c>
      <c r="T386" s="56">
        <f>IF(AC386="Cancelled",0,N386*R386)</f>
        <v/>
      </c>
      <c r="U386" s="56">
        <f>IF(AC386="Cancelled",0,O386*R386)</f>
        <v/>
      </c>
      <c r="V386" s="56">
        <f>IF(AC386="Cancelled",0,ROUND(P386*S386,2))</f>
        <v/>
      </c>
      <c r="W386" s="56" t="inlineStr">
        <is>
          <t>No</t>
        </is>
      </c>
      <c r="X386" s="56" t="n">
        <v>0</v>
      </c>
      <c r="Y386" s="56">
        <f>IF(AC386="Cancelled",0,T386+U386+V386+Q386+X386)</f>
        <v/>
      </c>
      <c r="Z386" s="56">
        <f>IF(AC386="Cancelled",-Q386,S386-Y386)</f>
        <v/>
      </c>
      <c r="AA386" s="56">
        <f>IF(OR(AC386="Cancelled",S386=0),0,Z386/S386)</f>
        <v/>
      </c>
      <c r="AB386" s="56">
        <f>IFERROR(IF(Q386=0,0,S386/Q386),0)</f>
        <v/>
      </c>
      <c r="AC386" s="56" t="inlineStr">
        <is>
          <t>Delivered</t>
        </is>
      </c>
      <c r="AD386" s="56">
        <f>IF(Z386&lt;=0,"Low Profit",IF(Z386&gt;=50,"HighProfit","Medium Profit"))</f>
        <v/>
      </c>
      <c r="AE386" s="56">
        <f>TEXT(B386,"mmmm")</f>
        <v/>
      </c>
    </row>
    <row r="387" ht="14.25" customHeight="1" s="57">
      <c r="A387" s="56" t="inlineStr">
        <is>
          <t>ORD-00121</t>
        </is>
      </c>
      <c r="B387" s="116" t="n">
        <v>46030</v>
      </c>
      <c r="C387" s="56" t="n">
        <v>2026</v>
      </c>
      <c r="D387" s="56" t="n">
        <v>1</v>
      </c>
      <c r="E387" s="56" t="inlineStr">
        <is>
          <t>UAE</t>
        </is>
      </c>
      <c r="F387" s="56" t="inlineStr">
        <is>
          <t>Dubai</t>
        </is>
      </c>
      <c r="G387" s="56" t="inlineStr">
        <is>
          <t>Meta Ads</t>
        </is>
      </c>
      <c r="H387" s="56" t="inlineStr">
        <is>
          <t>Bundle Promo</t>
        </is>
      </c>
      <c r="I387" s="56" t="inlineStr">
        <is>
          <t>P006</t>
        </is>
      </c>
      <c r="J387" s="56" t="inlineStr">
        <is>
          <t>Posture Corrector</t>
        </is>
      </c>
      <c r="K387" s="56" t="inlineStr">
        <is>
          <t>Fitness</t>
        </is>
      </c>
      <c r="L387" s="56" t="inlineStr">
        <is>
          <t>Hangzhou Health Gear</t>
        </is>
      </c>
      <c r="M387" s="56" t="n">
        <v>34.84</v>
      </c>
      <c r="N387" s="56" t="n">
        <v>9.220000000000001</v>
      </c>
      <c r="O387" s="56" t="n">
        <v>3.65</v>
      </c>
      <c r="P387" s="56" t="n">
        <v>0.03</v>
      </c>
      <c r="Q387" s="56" t="n">
        <v>5.16</v>
      </c>
      <c r="R387" s="56" t="n">
        <v>1</v>
      </c>
      <c r="S387" s="56">
        <f>IF(AC387="Cancelled",0,M387*R387)</f>
        <v/>
      </c>
      <c r="T387" s="56">
        <f>IF(AC387="Cancelled",0,N387*R387)</f>
        <v/>
      </c>
      <c r="U387" s="56">
        <f>IF(AC387="Cancelled",0,O387*R387)</f>
        <v/>
      </c>
      <c r="V387" s="56">
        <f>IF(AC387="Cancelled",0,ROUND(P387*S387,2))</f>
        <v/>
      </c>
      <c r="W387" s="56" t="inlineStr">
        <is>
          <t>No</t>
        </is>
      </c>
      <c r="X387" s="56" t="n">
        <v>0</v>
      </c>
      <c r="Y387" s="56">
        <f>IF(AC387="Cancelled",0,T387+U387+V387+Q387+X387)</f>
        <v/>
      </c>
      <c r="Z387" s="56">
        <f>IF(AC387="Cancelled",-Q387,S387-Y387)</f>
        <v/>
      </c>
      <c r="AA387" s="56">
        <f>IF(OR(AC387="Cancelled",S387=0),0,Z387/S387)</f>
        <v/>
      </c>
      <c r="AB387" s="56">
        <f>IFERROR(IF(Q387=0,0,S387/Q387),0)</f>
        <v/>
      </c>
      <c r="AC387" s="56" t="inlineStr">
        <is>
          <t>Delivered</t>
        </is>
      </c>
      <c r="AD387" s="56">
        <f>IF(Z387&lt;=0,"Low Profit",IF(Z387&gt;=50,"HighProfit","Medium Profit"))</f>
        <v/>
      </c>
      <c r="AE387" s="56">
        <f>TEXT(B387,"mmmm")</f>
        <v/>
      </c>
    </row>
    <row r="388" ht="14.25" customHeight="1" s="57">
      <c r="A388" s="56" t="inlineStr">
        <is>
          <t>ORD-00087</t>
        </is>
      </c>
      <c r="B388" s="116" t="n">
        <v>46031</v>
      </c>
      <c r="C388" s="56" t="n">
        <v>2026</v>
      </c>
      <c r="D388" s="56" t="n">
        <v>1</v>
      </c>
      <c r="E388" s="56" t="inlineStr">
        <is>
          <t>Qatar</t>
        </is>
      </c>
      <c r="F388" s="56" t="inlineStr">
        <is>
          <t>Doha</t>
        </is>
      </c>
      <c r="G388" s="56" t="inlineStr">
        <is>
          <t>Google Ads</t>
        </is>
      </c>
      <c r="H388" s="56" t="inlineStr">
        <is>
          <t>Summer Sale</t>
        </is>
      </c>
      <c r="I388" s="56" t="inlineStr">
        <is>
          <t>P001</t>
        </is>
      </c>
      <c r="J388" s="56" t="inlineStr">
        <is>
          <t>Wireless Earbuds</t>
        </is>
      </c>
      <c r="K388" s="56" t="inlineStr">
        <is>
          <t>Electronics</t>
        </is>
      </c>
      <c r="L388" s="56" t="inlineStr">
        <is>
          <t>Shenzhen Audio Co.</t>
        </is>
      </c>
      <c r="M388" s="56" t="n">
        <v>37.55</v>
      </c>
      <c r="N388" s="56" t="n">
        <v>9.15</v>
      </c>
      <c r="O388" s="56" t="n">
        <v>4.41</v>
      </c>
      <c r="P388" s="56" t="n">
        <v>0.03</v>
      </c>
      <c r="Q388" s="56" t="n">
        <v>15.14</v>
      </c>
      <c r="R388" s="56" t="n">
        <v>2</v>
      </c>
      <c r="S388" s="56">
        <f>IF(AC388="Cancelled",0,M388*R388)</f>
        <v/>
      </c>
      <c r="T388" s="56">
        <f>IF(AC388="Cancelled",0,N388*R388)</f>
        <v/>
      </c>
      <c r="U388" s="56">
        <f>IF(AC388="Cancelled",0,O388*R388)</f>
        <v/>
      </c>
      <c r="V388" s="56">
        <f>IF(AC388="Cancelled",0,ROUND(P388*S388,2))</f>
        <v/>
      </c>
      <c r="W388" s="56" t="inlineStr">
        <is>
          <t>No</t>
        </is>
      </c>
      <c r="X388" s="56" t="n">
        <v>0</v>
      </c>
      <c r="Y388" s="56">
        <f>IF(AC388="Cancelled",0,T388+U388+V388+Q388+X388)</f>
        <v/>
      </c>
      <c r="Z388" s="56">
        <f>IF(AC388="Cancelled",-Q388,S388-Y388)</f>
        <v/>
      </c>
      <c r="AA388" s="56">
        <f>IF(OR(AC388="Cancelled",S388=0),0,Z388/S388)</f>
        <v/>
      </c>
      <c r="AB388" s="56">
        <f>IFERROR(IF(Q388=0,0,S388/Q388),0)</f>
        <v/>
      </c>
      <c r="AC388" s="56" t="inlineStr">
        <is>
          <t>Delivered</t>
        </is>
      </c>
      <c r="AD388" s="56">
        <f>IF(Z388&lt;=0,"Low Profit",IF(Z388&gt;=50,"HighProfit","Medium Profit"))</f>
        <v/>
      </c>
      <c r="AE388" s="56">
        <f>TEXT(B388,"mmmm")</f>
        <v/>
      </c>
    </row>
    <row r="389" ht="14.25" customHeight="1" s="57">
      <c r="A389" s="56" t="inlineStr">
        <is>
          <t>ORD-00444</t>
        </is>
      </c>
      <c r="B389" s="116" t="n">
        <v>46033</v>
      </c>
      <c r="C389" s="56" t="n">
        <v>2026</v>
      </c>
      <c r="D389" s="56" t="n">
        <v>1</v>
      </c>
      <c r="E389" s="56" t="inlineStr">
        <is>
          <t>UAE</t>
        </is>
      </c>
      <c r="F389" s="56" t="inlineStr">
        <is>
          <t>Abu Dhabi</t>
        </is>
      </c>
      <c r="G389" s="56" t="inlineStr">
        <is>
          <t>TikTok Ads</t>
        </is>
      </c>
      <c r="H389" s="56" t="inlineStr">
        <is>
          <t>Launch Test</t>
        </is>
      </c>
      <c r="I389" s="56" t="inlineStr">
        <is>
          <t>P004</t>
        </is>
      </c>
      <c r="J389" s="56" t="inlineStr">
        <is>
          <t>Beauty Tool</t>
        </is>
      </c>
      <c r="K389" s="56" t="inlineStr">
        <is>
          <t>Beauty</t>
        </is>
      </c>
      <c r="L389" s="56" t="inlineStr">
        <is>
          <t>Ningbo Beauty Supply</t>
        </is>
      </c>
      <c r="M389" s="56" t="n">
        <v>32.24</v>
      </c>
      <c r="N389" s="56" t="n">
        <v>7.36</v>
      </c>
      <c r="O389" s="56" t="n">
        <v>4.95</v>
      </c>
      <c r="P389" s="56" t="n">
        <v>0.03</v>
      </c>
      <c r="Q389" s="56" t="n">
        <v>15.24</v>
      </c>
      <c r="R389" s="56" t="n">
        <v>3</v>
      </c>
      <c r="S389" s="56">
        <f>IF(AC389="Cancelled",0,M389*R389)</f>
        <v/>
      </c>
      <c r="T389" s="56">
        <f>IF(AC389="Cancelled",0,N389*R389)</f>
        <v/>
      </c>
      <c r="U389" s="56">
        <f>IF(AC389="Cancelled",0,O389*R389)</f>
        <v/>
      </c>
      <c r="V389" s="56">
        <f>IF(AC389="Cancelled",0,ROUND(P389*S389,2))</f>
        <v/>
      </c>
      <c r="W389" s="56" t="inlineStr">
        <is>
          <t>No</t>
        </is>
      </c>
      <c r="X389" s="56" t="n">
        <v>0</v>
      </c>
      <c r="Y389" s="56">
        <f>IF(AC389="Cancelled",0,T389+U389+V389+Q389+X389)</f>
        <v/>
      </c>
      <c r="Z389" s="56">
        <f>IF(AC389="Cancelled",-Q389,S389-Y389)</f>
        <v/>
      </c>
      <c r="AA389" s="56">
        <f>IF(OR(AC389="Cancelled",S389=0),0,Z389/S389)</f>
        <v/>
      </c>
      <c r="AB389" s="56">
        <f>IFERROR(IF(Q389=0,0,S389/Q389),0)</f>
        <v/>
      </c>
      <c r="AC389" s="56" t="inlineStr">
        <is>
          <t>Delivered</t>
        </is>
      </c>
      <c r="AD389" s="56">
        <f>IF(Z389&lt;=0,"Low Profit",IF(Z389&gt;=50,"HighProfit","Medium Profit"))</f>
        <v/>
      </c>
      <c r="AE389" s="56">
        <f>TEXT(B389,"mmmm")</f>
        <v/>
      </c>
    </row>
    <row r="390" ht="14.25" customHeight="1" s="57">
      <c r="A390" s="56" t="inlineStr">
        <is>
          <t>ORD-00125</t>
        </is>
      </c>
      <c r="B390" s="116" t="n">
        <v>46034</v>
      </c>
      <c r="C390" s="56" t="n">
        <v>2026</v>
      </c>
      <c r="D390" s="56" t="n">
        <v>1</v>
      </c>
      <c r="E390" s="56" t="inlineStr">
        <is>
          <t>UAE</t>
        </is>
      </c>
      <c r="F390" s="56" t="inlineStr">
        <is>
          <t>Sharjah</t>
        </is>
      </c>
      <c r="G390" s="56" t="inlineStr">
        <is>
          <t>Meta Ads</t>
        </is>
      </c>
      <c r="H390" s="56" t="inlineStr">
        <is>
          <t>New Creative A/B</t>
        </is>
      </c>
      <c r="I390" s="56" t="inlineStr">
        <is>
          <t>P005</t>
        </is>
      </c>
      <c r="J390" s="56" t="inlineStr">
        <is>
          <t>Mini Printer</t>
        </is>
      </c>
      <c r="K390" s="56" t="inlineStr">
        <is>
          <t>Electronics</t>
        </is>
      </c>
      <c r="L390" s="56" t="inlineStr">
        <is>
          <t>Shenzhen Print Tech</t>
        </is>
      </c>
      <c r="M390" s="56" t="n">
        <v>64.38</v>
      </c>
      <c r="N390" s="56" t="n">
        <v>23.32</v>
      </c>
      <c r="O390" s="56" t="n">
        <v>6.94</v>
      </c>
      <c r="P390" s="56" t="n">
        <v>0.03</v>
      </c>
      <c r="Q390" s="56" t="n">
        <v>8.890000000000001</v>
      </c>
      <c r="R390" s="56" t="n">
        <v>1</v>
      </c>
      <c r="S390" s="56">
        <f>IF(AC390="Cancelled",0,M390*R390)</f>
        <v/>
      </c>
      <c r="T390" s="56">
        <f>IF(AC390="Cancelled",0,N390*R390)</f>
        <v/>
      </c>
      <c r="U390" s="56">
        <f>IF(AC390="Cancelled",0,O390*R390)</f>
        <v/>
      </c>
      <c r="V390" s="56">
        <f>IF(AC390="Cancelled",0,ROUND(P390*S390,2))</f>
        <v/>
      </c>
      <c r="W390" s="56" t="inlineStr">
        <is>
          <t>Yes</t>
        </is>
      </c>
      <c r="X390" s="56" t="n">
        <v>45.55</v>
      </c>
      <c r="Y390" s="56">
        <f>IF(AC390="Cancelled",0,T390+U390+V390+Q390+X390)</f>
        <v/>
      </c>
      <c r="Z390" s="56">
        <f>IF(AC390="Cancelled",-Q390,S390-Y390)</f>
        <v/>
      </c>
      <c r="AA390" s="56">
        <f>IF(OR(AC390="Cancelled",S390=0),0,Z390/S390)</f>
        <v/>
      </c>
      <c r="AB390" s="56">
        <f>IFERROR(IF(Q390=0,0,S390/Q390),0)</f>
        <v/>
      </c>
      <c r="AC390" s="56" t="inlineStr">
        <is>
          <t>Refunded</t>
        </is>
      </c>
      <c r="AD390" s="56">
        <f>IF(Z390&lt;=0,"Low Profit",IF(Z390&gt;=50,"HighProfit","Medium Profit"))</f>
        <v/>
      </c>
      <c r="AE390" s="56">
        <f>TEXT(B390,"mmmm")</f>
        <v/>
      </c>
    </row>
    <row r="391" ht="14.25" customHeight="1" s="57">
      <c r="A391" s="56" t="inlineStr">
        <is>
          <t>ORD-00208</t>
        </is>
      </c>
      <c r="B391" s="116" t="n">
        <v>46034</v>
      </c>
      <c r="C391" s="56" t="n">
        <v>2026</v>
      </c>
      <c r="D391" s="56" t="n">
        <v>1</v>
      </c>
      <c r="E391" s="56" t="inlineStr">
        <is>
          <t>UAE</t>
        </is>
      </c>
      <c r="F391" s="56" t="inlineStr">
        <is>
          <t>Sharjah</t>
        </is>
      </c>
      <c r="G391" s="56" t="inlineStr">
        <is>
          <t>TikTok Ads</t>
        </is>
      </c>
      <c r="H391" s="56" t="inlineStr">
        <is>
          <t>Launch Test</t>
        </is>
      </c>
      <c r="I391" s="56" t="inlineStr">
        <is>
          <t>P007</t>
        </is>
      </c>
      <c r="J391" s="56" t="inlineStr">
        <is>
          <t>Pet Grooming Glove</t>
        </is>
      </c>
      <c r="K391" s="56" t="inlineStr">
        <is>
          <t>Pets</t>
        </is>
      </c>
      <c r="L391" s="56" t="inlineStr">
        <is>
          <t>Yiwu Pet Products</t>
        </is>
      </c>
      <c r="M391" s="56" t="n">
        <v>20.24</v>
      </c>
      <c r="N391" s="56" t="n">
        <v>3.57</v>
      </c>
      <c r="O391" s="56" t="n">
        <v>2.27</v>
      </c>
      <c r="P391" s="56" t="n">
        <v>0.03</v>
      </c>
      <c r="Q391" s="56" t="n">
        <v>10.04</v>
      </c>
      <c r="R391" s="56" t="n">
        <v>1</v>
      </c>
      <c r="S391" s="56">
        <f>IF(AC391="Cancelled",0,M391*R391)</f>
        <v/>
      </c>
      <c r="T391" s="56">
        <f>IF(AC391="Cancelled",0,N391*R391)</f>
        <v/>
      </c>
      <c r="U391" s="56">
        <f>IF(AC391="Cancelled",0,O391*R391)</f>
        <v/>
      </c>
      <c r="V391" s="56">
        <f>IF(AC391="Cancelled",0,ROUND(P391*S391,2))</f>
        <v/>
      </c>
      <c r="W391" s="56" t="inlineStr">
        <is>
          <t>No</t>
        </is>
      </c>
      <c r="X391" s="56" t="n">
        <v>0</v>
      </c>
      <c r="Y391" s="56">
        <f>IF(AC391="Cancelled",0,T391+U391+V391+Q391+X391)</f>
        <v/>
      </c>
      <c r="Z391" s="56">
        <f>IF(AC391="Cancelled",-Q391,S391-Y391)</f>
        <v/>
      </c>
      <c r="AA391" s="56">
        <f>IF(OR(AC391="Cancelled",S391=0),0,Z391/S391)</f>
        <v/>
      </c>
      <c r="AB391" s="56">
        <f>IFERROR(IF(Q391=0,0,S391/Q391),0)</f>
        <v/>
      </c>
      <c r="AC391" s="56" t="inlineStr">
        <is>
          <t>Cancelled</t>
        </is>
      </c>
      <c r="AD391" s="56">
        <f>IF(Z391&lt;=0,"Low Profit",IF(Z391&gt;=50,"HighProfit","Medium Profit"))</f>
        <v/>
      </c>
      <c r="AE391" s="56">
        <f>TEXT(B391,"mmmm")</f>
        <v/>
      </c>
    </row>
    <row r="392" ht="14.25" customHeight="1" s="57">
      <c r="A392" s="56" t="inlineStr">
        <is>
          <t>ORD-00283</t>
        </is>
      </c>
      <c r="B392" s="116" t="n">
        <v>46034</v>
      </c>
      <c r="C392" s="56" t="n">
        <v>2026</v>
      </c>
      <c r="D392" s="56" t="n">
        <v>1</v>
      </c>
      <c r="E392" s="56" t="inlineStr">
        <is>
          <t>Qatar</t>
        </is>
      </c>
      <c r="F392" s="56" t="inlineStr">
        <is>
          <t>Doha</t>
        </is>
      </c>
      <c r="G392" s="56" t="inlineStr">
        <is>
          <t>TikTok Ads</t>
        </is>
      </c>
      <c r="H392" s="56" t="inlineStr">
        <is>
          <t>Summer Sale</t>
        </is>
      </c>
      <c r="I392" s="56" t="inlineStr">
        <is>
          <t>P005</t>
        </is>
      </c>
      <c r="J392" s="56" t="inlineStr">
        <is>
          <t>Mini Printer</t>
        </is>
      </c>
      <c r="K392" s="56" t="inlineStr">
        <is>
          <t>Electronics</t>
        </is>
      </c>
      <c r="L392" s="56" t="inlineStr">
        <is>
          <t>Shenzhen Print Tech</t>
        </is>
      </c>
      <c r="M392" s="56" t="n">
        <v>56.66</v>
      </c>
      <c r="N392" s="56" t="n">
        <v>22.76</v>
      </c>
      <c r="O392" s="56" t="n">
        <v>7.79</v>
      </c>
      <c r="P392" s="56" t="n">
        <v>0.03</v>
      </c>
      <c r="Q392" s="56" t="n">
        <v>10.41</v>
      </c>
      <c r="R392" s="56" t="n">
        <v>1</v>
      </c>
      <c r="S392" s="56">
        <f>IF(AC392="Cancelled",0,M392*R392)</f>
        <v/>
      </c>
      <c r="T392" s="56">
        <f>IF(AC392="Cancelled",0,N392*R392)</f>
        <v/>
      </c>
      <c r="U392" s="56">
        <f>IF(AC392="Cancelled",0,O392*R392)</f>
        <v/>
      </c>
      <c r="V392" s="56">
        <f>IF(AC392="Cancelled",0,ROUND(P392*S392,2))</f>
        <v/>
      </c>
      <c r="W392" s="56" t="inlineStr">
        <is>
          <t>No</t>
        </is>
      </c>
      <c r="X392" s="56" t="n">
        <v>0</v>
      </c>
      <c r="Y392" s="56">
        <f>IF(AC392="Cancelled",0,T392+U392+V392+Q392+X392)</f>
        <v/>
      </c>
      <c r="Z392" s="56">
        <f>IF(AC392="Cancelled",-Q392,S392-Y392)</f>
        <v/>
      </c>
      <c r="AA392" s="56">
        <f>IF(OR(AC392="Cancelled",S392=0),0,Z392/S392)</f>
        <v/>
      </c>
      <c r="AB392" s="56">
        <f>IFERROR(IF(Q392=0,0,S392/Q392),0)</f>
        <v/>
      </c>
      <c r="AC392" s="56" t="inlineStr">
        <is>
          <t>Delivered</t>
        </is>
      </c>
      <c r="AD392" s="56">
        <f>IF(Z392&lt;=0,"Low Profit",IF(Z392&gt;=50,"HighProfit","Medium Profit"))</f>
        <v/>
      </c>
      <c r="AE392" s="56">
        <f>TEXT(B392,"mmmm")</f>
        <v/>
      </c>
    </row>
    <row r="393" ht="14.25" customHeight="1" s="57">
      <c r="A393" s="56" t="inlineStr">
        <is>
          <t>ORD-00198</t>
        </is>
      </c>
      <c r="B393" s="116" t="n">
        <v>46037</v>
      </c>
      <c r="C393" s="56" t="n">
        <v>2026</v>
      </c>
      <c r="D393" s="56" t="n">
        <v>1</v>
      </c>
      <c r="E393" s="56" t="inlineStr">
        <is>
          <t>Saudi Arabia</t>
        </is>
      </c>
      <c r="F393" s="56" t="inlineStr">
        <is>
          <t>Jeddah</t>
        </is>
      </c>
      <c r="G393" s="56" t="inlineStr">
        <is>
          <t>Influencer</t>
        </is>
      </c>
      <c r="H393" s="56" t="inlineStr">
        <is>
          <t>Summer Sale</t>
        </is>
      </c>
      <c r="I393" s="56" t="inlineStr">
        <is>
          <t>P009</t>
        </is>
      </c>
      <c r="J393" s="56" t="inlineStr">
        <is>
          <t>Car Vacuum Cleaner</t>
        </is>
      </c>
      <c r="K393" s="56" t="inlineStr">
        <is>
          <t>Automotive</t>
        </is>
      </c>
      <c r="L393" s="56" t="inlineStr">
        <is>
          <t>Dongguan Auto Tools</t>
        </is>
      </c>
      <c r="M393" s="56" t="n">
        <v>41.87</v>
      </c>
      <c r="N393" s="56" t="n">
        <v>13.5</v>
      </c>
      <c r="O393" s="56" t="n">
        <v>6.47</v>
      </c>
      <c r="P393" s="56" t="n">
        <v>0.03</v>
      </c>
      <c r="Q393" s="56" t="n">
        <v>8.25</v>
      </c>
      <c r="R393" s="56" t="n">
        <v>1</v>
      </c>
      <c r="S393" s="56">
        <f>IF(AC393="Cancelled",0,M393*R393)</f>
        <v/>
      </c>
      <c r="T393" s="56">
        <f>IF(AC393="Cancelled",0,N393*R393)</f>
        <v/>
      </c>
      <c r="U393" s="56">
        <f>IF(AC393="Cancelled",0,O393*R393)</f>
        <v/>
      </c>
      <c r="V393" s="56">
        <f>IF(AC393="Cancelled",0,ROUND(P393*S393,2))</f>
        <v/>
      </c>
      <c r="W393" s="56" t="inlineStr">
        <is>
          <t>No</t>
        </is>
      </c>
      <c r="X393" s="56" t="n">
        <v>0</v>
      </c>
      <c r="Y393" s="56">
        <f>IF(AC393="Cancelled",0,T393+U393+V393+Q393+X393)</f>
        <v/>
      </c>
      <c r="Z393" s="56">
        <f>IF(AC393="Cancelled",-Q393,S393-Y393)</f>
        <v/>
      </c>
      <c r="AA393" s="56">
        <f>IF(OR(AC393="Cancelled",S393=0),0,Z393/S393)</f>
        <v/>
      </c>
      <c r="AB393" s="56">
        <f>IFERROR(IF(Q393=0,0,S393/Q393),0)</f>
        <v/>
      </c>
      <c r="AC393" s="56" t="inlineStr">
        <is>
          <t>Delivered</t>
        </is>
      </c>
      <c r="AD393" s="56">
        <f>IF(Z393&lt;=0,"Low Profit",IF(Z393&gt;=50,"HighProfit","Medium Profit"))</f>
        <v/>
      </c>
      <c r="AE393" s="56">
        <f>TEXT(B393,"mmmm")</f>
        <v/>
      </c>
    </row>
    <row r="394" ht="14.25" customHeight="1" s="57">
      <c r="A394" s="56" t="inlineStr">
        <is>
          <t>ORD-00307</t>
        </is>
      </c>
      <c r="B394" s="116" t="n">
        <v>46037</v>
      </c>
      <c r="C394" s="56" t="n">
        <v>2026</v>
      </c>
      <c r="D394" s="56" t="n">
        <v>1</v>
      </c>
      <c r="E394" s="56" t="inlineStr">
        <is>
          <t>Kuwait</t>
        </is>
      </c>
      <c r="F394" s="56" t="inlineStr">
        <is>
          <t>Kuwait City</t>
        </is>
      </c>
      <c r="G394" s="56" t="inlineStr">
        <is>
          <t>Organic Search</t>
        </is>
      </c>
      <c r="H394" s="56" t="inlineStr">
        <is>
          <t>Retargeting</t>
        </is>
      </c>
      <c r="I394" s="56" t="inlineStr">
        <is>
          <t>P007</t>
        </is>
      </c>
      <c r="J394" s="56" t="inlineStr">
        <is>
          <t>Pet Grooming Glove</t>
        </is>
      </c>
      <c r="K394" s="56" t="inlineStr">
        <is>
          <t>Pets</t>
        </is>
      </c>
      <c r="L394" s="56" t="inlineStr">
        <is>
          <t>Yiwu Pet Products</t>
        </is>
      </c>
      <c r="M394" s="56" t="n">
        <v>18.03</v>
      </c>
      <c r="N394" s="56" t="n">
        <v>3.72</v>
      </c>
      <c r="O394" s="56" t="n">
        <v>2.57</v>
      </c>
      <c r="P394" s="56" t="n">
        <v>0.03</v>
      </c>
      <c r="Q394" s="56" t="n">
        <v>0</v>
      </c>
      <c r="R394" s="56" t="n">
        <v>2</v>
      </c>
      <c r="S394" s="56">
        <f>IF(AC394="Cancelled",0,M394*R394)</f>
        <v/>
      </c>
      <c r="T394" s="56">
        <f>IF(AC394="Cancelled",0,N394*R394)</f>
        <v/>
      </c>
      <c r="U394" s="56">
        <f>IF(AC394="Cancelled",0,O394*R394)</f>
        <v/>
      </c>
      <c r="V394" s="56">
        <f>IF(AC394="Cancelled",0,ROUND(P394*S394,2))</f>
        <v/>
      </c>
      <c r="W394" s="56" t="inlineStr">
        <is>
          <t>No</t>
        </is>
      </c>
      <c r="X394" s="56" t="n">
        <v>0</v>
      </c>
      <c r="Y394" s="56">
        <f>IF(AC394="Cancelled",0,T394+U394+V394+Q394+X394)</f>
        <v/>
      </c>
      <c r="Z394" s="56">
        <f>IF(AC394="Cancelled",-Q394,S394-Y394)</f>
        <v/>
      </c>
      <c r="AA394" s="56">
        <f>IF(OR(AC394="Cancelled",S394=0),0,Z394/S394)</f>
        <v/>
      </c>
      <c r="AB394" s="56">
        <f>IFERROR(IF(Q394=0,0,S394/Q394),0)</f>
        <v/>
      </c>
      <c r="AC394" s="56" t="inlineStr">
        <is>
          <t>Delivered</t>
        </is>
      </c>
      <c r="AD394" s="56">
        <f>IF(Z394&lt;=0,"Low Profit",IF(Z394&gt;=50,"HighProfit","Medium Profit"))</f>
        <v/>
      </c>
      <c r="AE394" s="56">
        <f>TEXT(B394,"mmmm")</f>
        <v/>
      </c>
    </row>
    <row r="395" ht="14.25" customHeight="1" s="57">
      <c r="A395" s="56" t="inlineStr">
        <is>
          <t>ORD-00357</t>
        </is>
      </c>
      <c r="B395" s="116" t="n">
        <v>46039</v>
      </c>
      <c r="C395" s="56" t="n">
        <v>2026</v>
      </c>
      <c r="D395" s="56" t="n">
        <v>1</v>
      </c>
      <c r="E395" s="56" t="inlineStr">
        <is>
          <t>Oman</t>
        </is>
      </c>
      <c r="F395" s="56" t="inlineStr">
        <is>
          <t>Muscat</t>
        </is>
      </c>
      <c r="G395" s="56" t="inlineStr">
        <is>
          <t>TikTok Ads</t>
        </is>
      </c>
      <c r="H395" s="56" t="inlineStr">
        <is>
          <t>New Creative A/B</t>
        </is>
      </c>
      <c r="I395" s="56" t="inlineStr">
        <is>
          <t>P009</t>
        </is>
      </c>
      <c r="J395" s="56" t="inlineStr">
        <is>
          <t>Car Vacuum Cleaner</t>
        </is>
      </c>
      <c r="K395" s="56" t="inlineStr">
        <is>
          <t>Automotive</t>
        </is>
      </c>
      <c r="L395" s="56" t="inlineStr">
        <is>
          <t>Dongguan Auto Tools</t>
        </is>
      </c>
      <c r="M395" s="56" t="n">
        <v>43.33</v>
      </c>
      <c r="N395" s="56" t="n">
        <v>13.45</v>
      </c>
      <c r="O395" s="56" t="n">
        <v>7.03</v>
      </c>
      <c r="P395" s="56" t="n">
        <v>0.03</v>
      </c>
      <c r="Q395" s="56" t="n">
        <v>3.05</v>
      </c>
      <c r="R395" s="56" t="n">
        <v>1</v>
      </c>
      <c r="S395" s="56">
        <f>IF(AC395="Cancelled",0,M395*R395)</f>
        <v/>
      </c>
      <c r="T395" s="56">
        <f>IF(AC395="Cancelled",0,N395*R395)</f>
        <v/>
      </c>
      <c r="U395" s="56">
        <f>IF(AC395="Cancelled",0,O395*R395)</f>
        <v/>
      </c>
      <c r="V395" s="56">
        <f>IF(AC395="Cancelled",0,ROUND(P395*S395,2))</f>
        <v/>
      </c>
      <c r="W395" s="56" t="inlineStr">
        <is>
          <t>No</t>
        </is>
      </c>
      <c r="X395" s="56" t="n">
        <v>0</v>
      </c>
      <c r="Y395" s="56">
        <f>IF(AC395="Cancelled",0,T395+U395+V395+Q395+X395)</f>
        <v/>
      </c>
      <c r="Z395" s="56">
        <f>IF(AC395="Cancelled",-Q395,S395-Y395)</f>
        <v/>
      </c>
      <c r="AA395" s="56">
        <f>IF(OR(AC395="Cancelled",S395=0),0,Z395/S395)</f>
        <v/>
      </c>
      <c r="AB395" s="56">
        <f>IFERROR(IF(Q395=0,0,S395/Q395),0)</f>
        <v/>
      </c>
      <c r="AC395" s="56" t="inlineStr">
        <is>
          <t>Delivered</t>
        </is>
      </c>
      <c r="AD395" s="56">
        <f>IF(Z395&lt;=0,"Low Profit",IF(Z395&gt;=50,"HighProfit","Medium Profit"))</f>
        <v/>
      </c>
      <c r="AE395" s="56">
        <f>TEXT(B395,"mmmm")</f>
        <v/>
      </c>
    </row>
    <row r="396" ht="14.25" customHeight="1" s="57">
      <c r="A396" s="56" t="inlineStr">
        <is>
          <t>ORD-00490</t>
        </is>
      </c>
      <c r="B396" s="116" t="n">
        <v>46039</v>
      </c>
      <c r="C396" s="56" t="n">
        <v>2026</v>
      </c>
      <c r="D396" s="56" t="n">
        <v>1</v>
      </c>
      <c r="E396" s="56" t="inlineStr">
        <is>
          <t>Saudi Arabia</t>
        </is>
      </c>
      <c r="F396" s="56" t="inlineStr">
        <is>
          <t>Jeddah</t>
        </is>
      </c>
      <c r="G396" s="56" t="inlineStr">
        <is>
          <t>TikTok Ads</t>
        </is>
      </c>
      <c r="H396" s="56" t="inlineStr">
        <is>
          <t>New Creative A/B</t>
        </is>
      </c>
      <c r="I396" s="56" t="inlineStr">
        <is>
          <t>P006</t>
        </is>
      </c>
      <c r="J396" s="56" t="inlineStr">
        <is>
          <t>Posture Corrector</t>
        </is>
      </c>
      <c r="K396" s="56" t="inlineStr">
        <is>
          <t>Fitness</t>
        </is>
      </c>
      <c r="L396" s="56" t="inlineStr">
        <is>
          <t>Hangzhou Health Gear</t>
        </is>
      </c>
      <c r="M396" s="56" t="n">
        <v>37.71</v>
      </c>
      <c r="N396" s="56" t="n">
        <v>9</v>
      </c>
      <c r="O396" s="56" t="n">
        <v>4.34</v>
      </c>
      <c r="P396" s="56" t="n">
        <v>0.03</v>
      </c>
      <c r="Q396" s="56" t="n">
        <v>11.61</v>
      </c>
      <c r="R396" s="56" t="n">
        <v>2</v>
      </c>
      <c r="S396" s="56">
        <f>IF(AC396="Cancelled",0,M396*R396)</f>
        <v/>
      </c>
      <c r="T396" s="56">
        <f>IF(AC396="Cancelled",0,N396*R396)</f>
        <v/>
      </c>
      <c r="U396" s="56">
        <f>IF(AC396="Cancelled",0,O396*R396)</f>
        <v/>
      </c>
      <c r="V396" s="56">
        <f>IF(AC396="Cancelled",0,ROUND(P396*S396,2))</f>
        <v/>
      </c>
      <c r="W396" s="56" t="inlineStr">
        <is>
          <t>No</t>
        </is>
      </c>
      <c r="X396" s="56" t="n">
        <v>0</v>
      </c>
      <c r="Y396" s="56">
        <f>IF(AC396="Cancelled",0,T396+U396+V396+Q396+X396)</f>
        <v/>
      </c>
      <c r="Z396" s="56">
        <f>IF(AC396="Cancelled",-Q396,S396-Y396)</f>
        <v/>
      </c>
      <c r="AA396" s="56">
        <f>IF(OR(AC396="Cancelled",S396=0),0,Z396/S396)</f>
        <v/>
      </c>
      <c r="AB396" s="56">
        <f>IFERROR(IF(Q396=0,0,S396/Q396),0)</f>
        <v/>
      </c>
      <c r="AC396" s="56" t="inlineStr">
        <is>
          <t>Delivered</t>
        </is>
      </c>
      <c r="AD396" s="56">
        <f>IF(Z396&lt;=0,"Low Profit",IF(Z396&gt;=50,"HighProfit","Medium Profit"))</f>
        <v/>
      </c>
      <c r="AE396" s="56">
        <f>TEXT(B396,"mmmm")</f>
        <v/>
      </c>
    </row>
    <row r="397" ht="14.25" customHeight="1" s="57">
      <c r="A397" s="56" t="inlineStr">
        <is>
          <t>ORD-00133</t>
        </is>
      </c>
      <c r="B397" s="116" t="n">
        <v>46040</v>
      </c>
      <c r="C397" s="56" t="n">
        <v>2026</v>
      </c>
      <c r="D397" s="56" t="n">
        <v>1</v>
      </c>
      <c r="E397" s="56" t="inlineStr">
        <is>
          <t>Saudi Arabia</t>
        </is>
      </c>
      <c r="F397" s="56" t="inlineStr">
        <is>
          <t>Riyadh</t>
        </is>
      </c>
      <c r="G397" s="56" t="inlineStr">
        <is>
          <t>Influencer</t>
        </is>
      </c>
      <c r="H397" s="56" t="inlineStr">
        <is>
          <t>New Creative A/B</t>
        </is>
      </c>
      <c r="I397" s="56" t="inlineStr">
        <is>
          <t>P001</t>
        </is>
      </c>
      <c r="J397" s="56" t="inlineStr">
        <is>
          <t>Wireless Earbuds</t>
        </is>
      </c>
      <c r="K397" s="56" t="inlineStr">
        <is>
          <t>Electronics</t>
        </is>
      </c>
      <c r="L397" s="56" t="inlineStr">
        <is>
          <t>Shenzhen Audio Co.</t>
        </is>
      </c>
      <c r="M397" s="56" t="n">
        <v>39.62</v>
      </c>
      <c r="N397" s="56" t="n">
        <v>8.52</v>
      </c>
      <c r="O397" s="56" t="n">
        <v>4.56</v>
      </c>
      <c r="P397" s="56" t="n">
        <v>0.03</v>
      </c>
      <c r="Q397" s="56" t="n">
        <v>16.47</v>
      </c>
      <c r="R397" s="56" t="n">
        <v>3</v>
      </c>
      <c r="S397" s="56">
        <f>IF(AC397="Cancelled",0,M397*R397)</f>
        <v/>
      </c>
      <c r="T397" s="56">
        <f>IF(AC397="Cancelled",0,N397*R397)</f>
        <v/>
      </c>
      <c r="U397" s="56">
        <f>IF(AC397="Cancelled",0,O397*R397)</f>
        <v/>
      </c>
      <c r="V397" s="56">
        <f>IF(AC397="Cancelled",0,ROUND(P397*S397,2))</f>
        <v/>
      </c>
      <c r="W397" s="56" t="inlineStr">
        <is>
          <t>No</t>
        </is>
      </c>
      <c r="X397" s="56" t="n">
        <v>0</v>
      </c>
      <c r="Y397" s="56">
        <f>IF(AC397="Cancelled",0,T397+U397+V397+Q397+X397)</f>
        <v/>
      </c>
      <c r="Z397" s="56">
        <f>IF(AC397="Cancelled",-Q397,S397-Y397)</f>
        <v/>
      </c>
      <c r="AA397" s="56">
        <f>IF(OR(AC397="Cancelled",S397=0),0,Z397/S397)</f>
        <v/>
      </c>
      <c r="AB397" s="56">
        <f>IFERROR(IF(Q397=0,0,S397/Q397),0)</f>
        <v/>
      </c>
      <c r="AC397" s="56" t="inlineStr">
        <is>
          <t>Delivered</t>
        </is>
      </c>
      <c r="AD397" s="56">
        <f>IF(Z397&lt;=0,"Low Profit",IF(Z397&gt;=50,"HighProfit","Medium Profit"))</f>
        <v/>
      </c>
      <c r="AE397" s="56">
        <f>TEXT(B397,"mmmm")</f>
        <v/>
      </c>
    </row>
    <row r="398" ht="14.25" customHeight="1" s="57">
      <c r="A398" s="56" t="inlineStr">
        <is>
          <t>ORD-00235</t>
        </is>
      </c>
      <c r="B398" s="116" t="n">
        <v>46042</v>
      </c>
      <c r="C398" s="56" t="n">
        <v>2026</v>
      </c>
      <c r="D398" s="56" t="n">
        <v>1</v>
      </c>
      <c r="E398" s="56" t="inlineStr">
        <is>
          <t>Qatar</t>
        </is>
      </c>
      <c r="F398" s="56" t="inlineStr">
        <is>
          <t>Doha</t>
        </is>
      </c>
      <c r="G398" s="56" t="inlineStr">
        <is>
          <t>Organic Search</t>
        </is>
      </c>
      <c r="H398" s="56" t="inlineStr">
        <is>
          <t>Summer Sale</t>
        </is>
      </c>
      <c r="I398" s="56" t="inlineStr">
        <is>
          <t>P003</t>
        </is>
      </c>
      <c r="J398" s="56" t="inlineStr">
        <is>
          <t>LED Strip Lights</t>
        </is>
      </c>
      <c r="K398" s="56" t="inlineStr">
        <is>
          <t>Home Decor</t>
        </is>
      </c>
      <c r="L398" s="56" t="inlineStr">
        <is>
          <t>Yiwu Lighting Factory</t>
        </is>
      </c>
      <c r="M398" s="56" t="n">
        <v>26.13</v>
      </c>
      <c r="N398" s="56" t="n">
        <v>6.19</v>
      </c>
      <c r="O398" s="56" t="n">
        <v>3.7</v>
      </c>
      <c r="P398" s="56" t="n">
        <v>0.03</v>
      </c>
      <c r="Q398" s="56" t="n">
        <v>0</v>
      </c>
      <c r="R398" s="56" t="n">
        <v>1</v>
      </c>
      <c r="S398" s="56">
        <f>IF(AC398="Cancelled",0,M398*R398)</f>
        <v/>
      </c>
      <c r="T398" s="56">
        <f>IF(AC398="Cancelled",0,N398*R398)</f>
        <v/>
      </c>
      <c r="U398" s="56">
        <f>IF(AC398="Cancelled",0,O398*R398)</f>
        <v/>
      </c>
      <c r="V398" s="56">
        <f>IF(AC398="Cancelled",0,ROUND(P398*S398,2))</f>
        <v/>
      </c>
      <c r="W398" s="56" t="inlineStr">
        <is>
          <t>No</t>
        </is>
      </c>
      <c r="X398" s="56" t="n">
        <v>0</v>
      </c>
      <c r="Y398" s="56">
        <f>IF(AC398="Cancelled",0,T398+U398+V398+Q398+X398)</f>
        <v/>
      </c>
      <c r="Z398" s="56">
        <f>IF(AC398="Cancelled",-Q398,S398-Y398)</f>
        <v/>
      </c>
      <c r="AA398" s="56">
        <f>IF(OR(AC398="Cancelled",S398=0),0,Z398/S398)</f>
        <v/>
      </c>
      <c r="AB398" s="56">
        <f>IFERROR(IF(Q398=0,0,S398/Q398),0)</f>
        <v/>
      </c>
      <c r="AC398" s="56" t="inlineStr">
        <is>
          <t>Delivered</t>
        </is>
      </c>
      <c r="AD398" s="56">
        <f>IF(Z398&lt;=0,"Low Profit",IF(Z398&gt;=50,"HighProfit","Medium Profit"))</f>
        <v/>
      </c>
      <c r="AE398" s="56">
        <f>TEXT(B398,"mmmm")</f>
        <v/>
      </c>
    </row>
    <row r="399" ht="14.25" customHeight="1" s="57">
      <c r="A399" s="56" t="inlineStr">
        <is>
          <t>ORD-00107</t>
        </is>
      </c>
      <c r="B399" s="116" t="n">
        <v>46043</v>
      </c>
      <c r="C399" s="56" t="n">
        <v>2026</v>
      </c>
      <c r="D399" s="56" t="n">
        <v>1</v>
      </c>
      <c r="E399" s="56" t="inlineStr">
        <is>
          <t>Qatar</t>
        </is>
      </c>
      <c r="F399" s="56" t="inlineStr">
        <is>
          <t>Doha</t>
        </is>
      </c>
      <c r="G399" s="56" t="inlineStr">
        <is>
          <t>Google Ads</t>
        </is>
      </c>
      <c r="H399" s="56" t="inlineStr">
        <is>
          <t>Bundle Promo</t>
        </is>
      </c>
      <c r="I399" s="56" t="inlineStr">
        <is>
          <t>P006</t>
        </is>
      </c>
      <c r="J399" s="56" t="inlineStr">
        <is>
          <t>Posture Corrector</t>
        </is>
      </c>
      <c r="K399" s="56" t="inlineStr">
        <is>
          <t>Fitness</t>
        </is>
      </c>
      <c r="L399" s="56" t="inlineStr">
        <is>
          <t>Hangzhou Health Gear</t>
        </is>
      </c>
      <c r="M399" s="56" t="n">
        <v>37.35</v>
      </c>
      <c r="N399" s="56" t="n">
        <v>8.710000000000001</v>
      </c>
      <c r="O399" s="56" t="n">
        <v>4.18</v>
      </c>
      <c r="P399" s="56" t="n">
        <v>0.03</v>
      </c>
      <c r="Q399" s="56" t="n">
        <v>4.75</v>
      </c>
      <c r="R399" s="56" t="n">
        <v>1</v>
      </c>
      <c r="S399" s="56">
        <f>IF(AC399="Cancelled",0,M399*R399)</f>
        <v/>
      </c>
      <c r="T399" s="56">
        <f>IF(AC399="Cancelled",0,N399*R399)</f>
        <v/>
      </c>
      <c r="U399" s="56">
        <f>IF(AC399="Cancelled",0,O399*R399)</f>
        <v/>
      </c>
      <c r="V399" s="56">
        <f>IF(AC399="Cancelled",0,ROUND(P399*S399,2))</f>
        <v/>
      </c>
      <c r="W399" s="56" t="inlineStr">
        <is>
          <t>No</t>
        </is>
      </c>
      <c r="X399" s="56" t="n">
        <v>0</v>
      </c>
      <c r="Y399" s="56">
        <f>IF(AC399="Cancelled",0,T399+U399+V399+Q399+X399)</f>
        <v/>
      </c>
      <c r="Z399" s="56">
        <f>IF(AC399="Cancelled",-Q399,S399-Y399)</f>
        <v/>
      </c>
      <c r="AA399" s="56">
        <f>IF(OR(AC399="Cancelled",S399=0),0,Z399/S399)</f>
        <v/>
      </c>
      <c r="AB399" s="56">
        <f>IFERROR(IF(Q399=0,0,S399/Q399),0)</f>
        <v/>
      </c>
      <c r="AC399" s="56" t="inlineStr">
        <is>
          <t>Delivered</t>
        </is>
      </c>
      <c r="AD399" s="56">
        <f>IF(Z399&lt;=0,"Low Profit",IF(Z399&gt;=50,"HighProfit","Medium Profit"))</f>
        <v/>
      </c>
      <c r="AE399" s="56">
        <f>TEXT(B399,"mmmm")</f>
        <v/>
      </c>
    </row>
    <row r="400" ht="14.25" customHeight="1" s="57">
      <c r="A400" s="56" t="inlineStr">
        <is>
          <t>ORD-00136</t>
        </is>
      </c>
      <c r="B400" s="116" t="n">
        <v>46044</v>
      </c>
      <c r="C400" s="56" t="n">
        <v>2026</v>
      </c>
      <c r="D400" s="56" t="n">
        <v>1</v>
      </c>
      <c r="E400" s="56" t="inlineStr">
        <is>
          <t>Qatar</t>
        </is>
      </c>
      <c r="F400" s="56" t="inlineStr">
        <is>
          <t>Doha</t>
        </is>
      </c>
      <c r="G400" s="56" t="inlineStr">
        <is>
          <t>Meta Ads</t>
        </is>
      </c>
      <c r="H400" s="56" t="inlineStr">
        <is>
          <t>Summer Sale</t>
        </is>
      </c>
      <c r="I400" s="56" t="inlineStr">
        <is>
          <t>P009</t>
        </is>
      </c>
      <c r="J400" s="56" t="inlineStr">
        <is>
          <t>Car Vacuum Cleaner</t>
        </is>
      </c>
      <c r="K400" s="56" t="inlineStr">
        <is>
          <t>Automotive</t>
        </is>
      </c>
      <c r="L400" s="56" t="inlineStr">
        <is>
          <t>Dongguan Auto Tools</t>
        </is>
      </c>
      <c r="M400" s="56" t="n">
        <v>44.96</v>
      </c>
      <c r="N400" s="56" t="n">
        <v>14.01</v>
      </c>
      <c r="O400" s="56" t="n">
        <v>6.57</v>
      </c>
      <c r="P400" s="56" t="n">
        <v>0.03</v>
      </c>
      <c r="Q400" s="56" t="n">
        <v>8.68</v>
      </c>
      <c r="R400" s="56" t="n">
        <v>1</v>
      </c>
      <c r="S400" s="56">
        <f>IF(AC400="Cancelled",0,M400*R400)</f>
        <v/>
      </c>
      <c r="T400" s="56">
        <f>IF(AC400="Cancelled",0,N400*R400)</f>
        <v/>
      </c>
      <c r="U400" s="56">
        <f>IF(AC400="Cancelled",0,O400*R400)</f>
        <v/>
      </c>
      <c r="V400" s="56">
        <f>IF(AC400="Cancelled",0,ROUND(P400*S400,2))</f>
        <v/>
      </c>
      <c r="W400" s="56" t="inlineStr">
        <is>
          <t>No</t>
        </is>
      </c>
      <c r="X400" s="56" t="n">
        <v>0</v>
      </c>
      <c r="Y400" s="56">
        <f>IF(AC400="Cancelled",0,T400+U400+V400+Q400+X400)</f>
        <v/>
      </c>
      <c r="Z400" s="56">
        <f>IF(AC400="Cancelled",-Q400,S400-Y400)</f>
        <v/>
      </c>
      <c r="AA400" s="56">
        <f>IF(OR(AC400="Cancelled",S400=0),0,Z400/S400)</f>
        <v/>
      </c>
      <c r="AB400" s="56">
        <f>IFERROR(IF(Q400=0,0,S400/Q400),0)</f>
        <v/>
      </c>
      <c r="AC400" s="56" t="inlineStr">
        <is>
          <t>Delivered</t>
        </is>
      </c>
      <c r="AD400" s="56">
        <f>IF(Z400&lt;=0,"Low Profit",IF(Z400&gt;=50,"HighProfit","Medium Profit"))</f>
        <v/>
      </c>
      <c r="AE400" s="56">
        <f>TEXT(B400,"mmmm")</f>
        <v/>
      </c>
    </row>
    <row r="401" ht="14.25" customHeight="1" s="57">
      <c r="A401" s="56" t="inlineStr">
        <is>
          <t>ORD-00334</t>
        </is>
      </c>
      <c r="B401" s="116" t="n">
        <v>46046</v>
      </c>
      <c r="C401" s="56" t="n">
        <v>2026</v>
      </c>
      <c r="D401" s="56" t="n">
        <v>1</v>
      </c>
      <c r="E401" s="56" t="inlineStr">
        <is>
          <t>Oman</t>
        </is>
      </c>
      <c r="F401" s="56" t="inlineStr">
        <is>
          <t>Muscat</t>
        </is>
      </c>
      <c r="G401" s="56" t="inlineStr">
        <is>
          <t>Email</t>
        </is>
      </c>
      <c r="H401" s="56" t="inlineStr">
        <is>
          <t>Retargeting</t>
        </is>
      </c>
      <c r="I401" s="56" t="inlineStr">
        <is>
          <t>P002</t>
        </is>
      </c>
      <c r="J401" s="56" t="inlineStr">
        <is>
          <t>Phone Case</t>
        </is>
      </c>
      <c r="K401" s="56" t="inlineStr">
        <is>
          <t>Accessories</t>
        </is>
      </c>
      <c r="L401" s="56" t="inlineStr">
        <is>
          <t>Guangzhou Cases Ltd.</t>
        </is>
      </c>
      <c r="M401" s="56" t="n">
        <v>14.63</v>
      </c>
      <c r="N401" s="56" t="n">
        <v>2.14</v>
      </c>
      <c r="O401" s="56" t="n">
        <v>2</v>
      </c>
      <c r="P401" s="56" t="n">
        <v>0.03</v>
      </c>
      <c r="Q401" s="56" t="n">
        <v>20.73</v>
      </c>
      <c r="R401" s="56" t="n">
        <v>3</v>
      </c>
      <c r="S401" s="56">
        <f>IF(AC401="Cancelled",0,M401*R401)</f>
        <v/>
      </c>
      <c r="T401" s="56">
        <f>IF(AC401="Cancelled",0,N401*R401)</f>
        <v/>
      </c>
      <c r="U401" s="56">
        <f>IF(AC401="Cancelled",0,O401*R401)</f>
        <v/>
      </c>
      <c r="V401" s="56">
        <f>IF(AC401="Cancelled",0,ROUND(P401*S401,2))</f>
        <v/>
      </c>
      <c r="W401" s="56" t="inlineStr">
        <is>
          <t>No</t>
        </is>
      </c>
      <c r="X401" s="56" t="n">
        <v>0</v>
      </c>
      <c r="Y401" s="56">
        <f>IF(AC401="Cancelled",0,T401+U401+V401+Q401+X401)</f>
        <v/>
      </c>
      <c r="Z401" s="56">
        <f>IF(AC401="Cancelled",-Q401,S401-Y401)</f>
        <v/>
      </c>
      <c r="AA401" s="56">
        <f>IF(OR(AC401="Cancelled",S401=0),0,Z401/S401)</f>
        <v/>
      </c>
      <c r="AB401" s="56">
        <f>IFERROR(IF(Q401=0,0,S401/Q401),0)</f>
        <v/>
      </c>
      <c r="AC401" s="56" t="inlineStr">
        <is>
          <t>Delivered</t>
        </is>
      </c>
      <c r="AD401" s="56">
        <f>IF(Z401&lt;=0,"Low Profit",IF(Z401&gt;=50,"HighProfit","Medium Profit"))</f>
        <v/>
      </c>
      <c r="AE401" s="56">
        <f>TEXT(B401,"mmmm")</f>
        <v/>
      </c>
    </row>
    <row r="402" ht="14.25" customHeight="1" s="57">
      <c r="A402" s="56" t="inlineStr">
        <is>
          <t>ORD-00037</t>
        </is>
      </c>
      <c r="B402" s="116" t="n">
        <v>46047</v>
      </c>
      <c r="C402" s="56" t="n">
        <v>2026</v>
      </c>
      <c r="D402" s="56" t="n">
        <v>1</v>
      </c>
      <c r="E402" s="56" t="inlineStr">
        <is>
          <t>UAE</t>
        </is>
      </c>
      <c r="F402" s="56" t="inlineStr">
        <is>
          <t>Dubai</t>
        </is>
      </c>
      <c r="G402" s="56" t="inlineStr">
        <is>
          <t>TikTok Ads</t>
        </is>
      </c>
      <c r="H402" s="56" t="inlineStr">
        <is>
          <t>Launch Test</t>
        </is>
      </c>
      <c r="I402" s="56" t="inlineStr">
        <is>
          <t>P001</t>
        </is>
      </c>
      <c r="J402" s="56" t="inlineStr">
        <is>
          <t>Wireless Earbuds</t>
        </is>
      </c>
      <c r="K402" s="56" t="inlineStr">
        <is>
          <t>Electronics</t>
        </is>
      </c>
      <c r="L402" s="56" t="inlineStr">
        <is>
          <t>Shenzhen Audio Co.</t>
        </is>
      </c>
      <c r="M402" s="56" t="n">
        <v>42.02</v>
      </c>
      <c r="N402" s="56" t="n">
        <v>8.92</v>
      </c>
      <c r="O402" s="56" t="n">
        <v>3.78</v>
      </c>
      <c r="P402" s="56" t="n">
        <v>0.03</v>
      </c>
      <c r="Q402" s="56" t="n">
        <v>7.58</v>
      </c>
      <c r="R402" s="56" t="n">
        <v>1</v>
      </c>
      <c r="S402" s="56">
        <f>IF(AC402="Cancelled",0,M402*R402)</f>
        <v/>
      </c>
      <c r="T402" s="56">
        <f>IF(AC402="Cancelled",0,N402*R402)</f>
        <v/>
      </c>
      <c r="U402" s="56">
        <f>IF(AC402="Cancelled",0,O402*R402)</f>
        <v/>
      </c>
      <c r="V402" s="56">
        <f>IF(AC402="Cancelled",0,ROUND(P402*S402,2))</f>
        <v/>
      </c>
      <c r="W402" s="56" t="inlineStr">
        <is>
          <t>No</t>
        </is>
      </c>
      <c r="X402" s="56" t="n">
        <v>0</v>
      </c>
      <c r="Y402" s="56">
        <f>IF(AC402="Cancelled",0,T402+U402+V402+Q402+X402)</f>
        <v/>
      </c>
      <c r="Z402" s="56">
        <f>IF(AC402="Cancelled",-Q402,S402-Y402)</f>
        <v/>
      </c>
      <c r="AA402" s="56">
        <f>IF(OR(AC402="Cancelled",S402=0),0,Z402/S402)</f>
        <v/>
      </c>
      <c r="AB402" s="56">
        <f>IFERROR(IF(Q402=0,0,S402/Q402),0)</f>
        <v/>
      </c>
      <c r="AC402" s="56" t="inlineStr">
        <is>
          <t>Delivered</t>
        </is>
      </c>
      <c r="AD402" s="56">
        <f>IF(Z402&lt;=0,"Low Profit",IF(Z402&gt;=50,"HighProfit","Medium Profit"))</f>
        <v/>
      </c>
      <c r="AE402" s="56">
        <f>TEXT(B402,"mmmm")</f>
        <v/>
      </c>
    </row>
    <row r="403" ht="14.25" customHeight="1" s="57">
      <c r="A403" s="56" t="inlineStr">
        <is>
          <t>ORD-00414</t>
        </is>
      </c>
      <c r="B403" s="116" t="n">
        <v>46048</v>
      </c>
      <c r="C403" s="56" t="n">
        <v>2026</v>
      </c>
      <c r="D403" s="56" t="n">
        <v>1</v>
      </c>
      <c r="E403" s="56" t="inlineStr">
        <is>
          <t>Kuwait</t>
        </is>
      </c>
      <c r="F403" s="56" t="inlineStr">
        <is>
          <t>Kuwait City</t>
        </is>
      </c>
      <c r="G403" s="56" t="inlineStr">
        <is>
          <t>TikTok Ads</t>
        </is>
      </c>
      <c r="H403" s="56" t="inlineStr">
        <is>
          <t>Retargeting</t>
        </is>
      </c>
      <c r="I403" s="56" t="inlineStr">
        <is>
          <t>P004</t>
        </is>
      </c>
      <c r="J403" s="56" t="inlineStr">
        <is>
          <t>Beauty Tool</t>
        </is>
      </c>
      <c r="K403" s="56" t="inlineStr">
        <is>
          <t>Beauty</t>
        </is>
      </c>
      <c r="L403" s="56" t="inlineStr">
        <is>
          <t>Ningbo Beauty Supply</t>
        </is>
      </c>
      <c r="M403" s="56" t="n">
        <v>31.24</v>
      </c>
      <c r="N403" s="56" t="n">
        <v>7.33</v>
      </c>
      <c r="O403" s="56" t="n">
        <v>5.1</v>
      </c>
      <c r="P403" s="56" t="n">
        <v>0.03</v>
      </c>
      <c r="Q403" s="56" t="n">
        <v>7.39</v>
      </c>
      <c r="R403" s="56" t="n">
        <v>1</v>
      </c>
      <c r="S403" s="56">
        <f>IF(AC403="Cancelled",0,M403*R403)</f>
        <v/>
      </c>
      <c r="T403" s="56">
        <f>IF(AC403="Cancelled",0,N403*R403)</f>
        <v/>
      </c>
      <c r="U403" s="56">
        <f>IF(AC403="Cancelled",0,O403*R403)</f>
        <v/>
      </c>
      <c r="V403" s="56">
        <f>IF(AC403="Cancelled",0,ROUND(P403*S403,2))</f>
        <v/>
      </c>
      <c r="W403" s="56" t="inlineStr">
        <is>
          <t>No</t>
        </is>
      </c>
      <c r="X403" s="56" t="n">
        <v>0</v>
      </c>
      <c r="Y403" s="56">
        <f>IF(AC403="Cancelled",0,T403+U403+V403+Q403+X403)</f>
        <v/>
      </c>
      <c r="Z403" s="56">
        <f>IF(AC403="Cancelled",-Q403,S403-Y403)</f>
        <v/>
      </c>
      <c r="AA403" s="56">
        <f>IF(OR(AC403="Cancelled",S403=0),0,Z403/S403)</f>
        <v/>
      </c>
      <c r="AB403" s="56">
        <f>IFERROR(IF(Q403=0,0,S403/Q403),0)</f>
        <v/>
      </c>
      <c r="AC403" s="56" t="inlineStr">
        <is>
          <t>Delivered</t>
        </is>
      </c>
      <c r="AD403" s="56">
        <f>IF(Z403&lt;=0,"Low Profit",IF(Z403&gt;=50,"HighProfit","Medium Profit"))</f>
        <v/>
      </c>
      <c r="AE403" s="56">
        <f>TEXT(B403,"mmmm")</f>
        <v/>
      </c>
    </row>
    <row r="404" ht="14.25" customHeight="1" s="57">
      <c r="A404" s="56" t="inlineStr">
        <is>
          <t>ORD-00105</t>
        </is>
      </c>
      <c r="B404" s="116" t="n">
        <v>46050</v>
      </c>
      <c r="C404" s="56" t="n">
        <v>2026</v>
      </c>
      <c r="D404" s="56" t="n">
        <v>1</v>
      </c>
      <c r="E404" s="56" t="inlineStr">
        <is>
          <t>Kuwait</t>
        </is>
      </c>
      <c r="F404" s="56" t="inlineStr">
        <is>
          <t>Kuwait City</t>
        </is>
      </c>
      <c r="G404" s="56" t="inlineStr">
        <is>
          <t>Meta Ads</t>
        </is>
      </c>
      <c r="H404" s="56" t="inlineStr">
        <is>
          <t>Bundle Promo</t>
        </is>
      </c>
      <c r="I404" s="56" t="inlineStr">
        <is>
          <t>P002</t>
        </is>
      </c>
      <c r="J404" s="56" t="inlineStr">
        <is>
          <t>Phone Case</t>
        </is>
      </c>
      <c r="K404" s="56" t="inlineStr">
        <is>
          <t>Accessories</t>
        </is>
      </c>
      <c r="L404" s="56" t="inlineStr">
        <is>
          <t>Guangzhou Cases Ltd.</t>
        </is>
      </c>
      <c r="M404" s="56" t="n">
        <v>16.44</v>
      </c>
      <c r="N404" s="56" t="n">
        <v>2.01</v>
      </c>
      <c r="O404" s="56" t="n">
        <v>1.94</v>
      </c>
      <c r="P404" s="56" t="n">
        <v>0.03</v>
      </c>
      <c r="Q404" s="56" t="n">
        <v>6.84</v>
      </c>
      <c r="R404" s="56" t="n">
        <v>1</v>
      </c>
      <c r="S404" s="56">
        <f>IF(AC404="Cancelled",0,M404*R404)</f>
        <v/>
      </c>
      <c r="T404" s="56">
        <f>IF(AC404="Cancelled",0,N404*R404)</f>
        <v/>
      </c>
      <c r="U404" s="56">
        <f>IF(AC404="Cancelled",0,O404*R404)</f>
        <v/>
      </c>
      <c r="V404" s="56">
        <f>IF(AC404="Cancelled",0,ROUND(P404*S404,2))</f>
        <v/>
      </c>
      <c r="W404" s="56" t="inlineStr">
        <is>
          <t>No</t>
        </is>
      </c>
      <c r="X404" s="56" t="n">
        <v>0</v>
      </c>
      <c r="Y404" s="56">
        <f>IF(AC404="Cancelled",0,T404+U404+V404+Q404+X404)</f>
        <v/>
      </c>
      <c r="Z404" s="56">
        <f>IF(AC404="Cancelled",-Q404,S404-Y404)</f>
        <v/>
      </c>
      <c r="AA404" s="56">
        <f>IF(OR(AC404="Cancelled",S404=0),0,Z404/S404)</f>
        <v/>
      </c>
      <c r="AB404" s="56">
        <f>IFERROR(IF(Q404=0,0,S404/Q404),0)</f>
        <v/>
      </c>
      <c r="AC404" s="56" t="inlineStr">
        <is>
          <t>Delivered</t>
        </is>
      </c>
      <c r="AD404" s="56">
        <f>IF(Z404&lt;=0,"Low Profit",IF(Z404&gt;=50,"HighProfit","Medium Profit"))</f>
        <v/>
      </c>
      <c r="AE404" s="56">
        <f>TEXT(B404,"mmmm")</f>
        <v/>
      </c>
    </row>
    <row r="405" ht="14.25" customHeight="1" s="57">
      <c r="A405" s="56" t="inlineStr">
        <is>
          <t>ORD-00081</t>
        </is>
      </c>
      <c r="B405" s="116" t="n">
        <v>46051</v>
      </c>
      <c r="C405" s="56" t="n">
        <v>2026</v>
      </c>
      <c r="D405" s="56" t="n">
        <v>1</v>
      </c>
      <c r="E405" s="56" t="inlineStr">
        <is>
          <t>Saudi Arabia</t>
        </is>
      </c>
      <c r="F405" s="56" t="inlineStr">
        <is>
          <t>Jeddah</t>
        </is>
      </c>
      <c r="G405" s="56" t="inlineStr">
        <is>
          <t>Google Ads</t>
        </is>
      </c>
      <c r="H405" s="56" t="inlineStr">
        <is>
          <t>Retargeting</t>
        </is>
      </c>
      <c r="I405" s="56" t="inlineStr">
        <is>
          <t>P001</t>
        </is>
      </c>
      <c r="J405" s="56" t="inlineStr">
        <is>
          <t>Wireless Earbuds</t>
        </is>
      </c>
      <c r="K405" s="56" t="inlineStr">
        <is>
          <t>Electronics</t>
        </is>
      </c>
      <c r="L405" s="56" t="inlineStr">
        <is>
          <t>Shenzhen Audio Co.</t>
        </is>
      </c>
      <c r="M405" s="56" t="n">
        <v>37.69</v>
      </c>
      <c r="N405" s="56" t="n">
        <v>9.07</v>
      </c>
      <c r="O405" s="56" t="n">
        <v>4.19</v>
      </c>
      <c r="P405" s="56" t="n">
        <v>0.03</v>
      </c>
      <c r="Q405" s="56" t="n">
        <v>15.21</v>
      </c>
      <c r="R405" s="56" t="n">
        <v>2</v>
      </c>
      <c r="S405" s="56">
        <f>IF(AC405="Cancelled",0,M405*R405)</f>
        <v/>
      </c>
      <c r="T405" s="56">
        <f>IF(AC405="Cancelled",0,N405*R405)</f>
        <v/>
      </c>
      <c r="U405" s="56">
        <f>IF(AC405="Cancelled",0,O405*R405)</f>
        <v/>
      </c>
      <c r="V405" s="56">
        <f>IF(AC405="Cancelled",0,ROUND(P405*S405,2))</f>
        <v/>
      </c>
      <c r="W405" s="56" t="inlineStr">
        <is>
          <t>No</t>
        </is>
      </c>
      <c r="X405" s="56" t="n">
        <v>0</v>
      </c>
      <c r="Y405" s="56">
        <f>IF(AC405="Cancelled",0,T405+U405+V405+Q405+X405)</f>
        <v/>
      </c>
      <c r="Z405" s="56">
        <f>IF(AC405="Cancelled",-Q405,S405-Y405)</f>
        <v/>
      </c>
      <c r="AA405" s="56">
        <f>IF(OR(AC405="Cancelled",S405=0),0,Z405/S405)</f>
        <v/>
      </c>
      <c r="AB405" s="56">
        <f>IFERROR(IF(Q405=0,0,S405/Q405),0)</f>
        <v/>
      </c>
      <c r="AC405" s="56" t="inlineStr">
        <is>
          <t>Delivered</t>
        </is>
      </c>
      <c r="AD405" s="56">
        <f>IF(Z405&lt;=0,"Low Profit",IF(Z405&gt;=50,"HighProfit","Medium Profit"))</f>
        <v/>
      </c>
      <c r="AE405" s="56">
        <f>TEXT(B405,"mmmm")</f>
        <v/>
      </c>
    </row>
    <row r="406" ht="14.25" customHeight="1" s="57">
      <c r="A406" s="56" t="inlineStr">
        <is>
          <t>ORD-00185</t>
        </is>
      </c>
      <c r="B406" s="116" t="n">
        <v>46051</v>
      </c>
      <c r="C406" s="56" t="n">
        <v>2026</v>
      </c>
      <c r="D406" s="56" t="n">
        <v>1</v>
      </c>
      <c r="E406" s="56" t="inlineStr">
        <is>
          <t>UAE</t>
        </is>
      </c>
      <c r="F406" s="56" t="inlineStr">
        <is>
          <t>Abu Dhabi</t>
        </is>
      </c>
      <c r="G406" s="56" t="inlineStr">
        <is>
          <t>Organic Search</t>
        </is>
      </c>
      <c r="H406" s="56" t="inlineStr">
        <is>
          <t>New Creative A/B</t>
        </is>
      </c>
      <c r="I406" s="56" t="inlineStr">
        <is>
          <t>P007</t>
        </is>
      </c>
      <c r="J406" s="56" t="inlineStr">
        <is>
          <t>Pet Grooming Glove</t>
        </is>
      </c>
      <c r="K406" s="56" t="inlineStr">
        <is>
          <t>Pets</t>
        </is>
      </c>
      <c r="L406" s="56" t="inlineStr">
        <is>
          <t>Yiwu Pet Products</t>
        </is>
      </c>
      <c r="M406" s="56" t="n">
        <v>20.83</v>
      </c>
      <c r="N406" s="56" t="n">
        <v>3.47</v>
      </c>
      <c r="O406" s="56" t="n">
        <v>2.45</v>
      </c>
      <c r="P406" s="56" t="n">
        <v>0.03</v>
      </c>
      <c r="Q406" s="56" t="n">
        <v>0</v>
      </c>
      <c r="R406" s="56" t="n">
        <v>1</v>
      </c>
      <c r="S406" s="56">
        <f>IF(AC406="Cancelled",0,M406*R406)</f>
        <v/>
      </c>
      <c r="T406" s="56">
        <f>IF(AC406="Cancelled",0,N406*R406)</f>
        <v/>
      </c>
      <c r="U406" s="56">
        <f>IF(AC406="Cancelled",0,O406*R406)</f>
        <v/>
      </c>
      <c r="V406" s="56">
        <f>IF(AC406="Cancelled",0,ROUND(P406*S406,2))</f>
        <v/>
      </c>
      <c r="W406" s="56" t="inlineStr">
        <is>
          <t>No</t>
        </is>
      </c>
      <c r="X406" s="56" t="n">
        <v>0</v>
      </c>
      <c r="Y406" s="56">
        <f>IF(AC406="Cancelled",0,T406+U406+V406+Q406+X406)</f>
        <v/>
      </c>
      <c r="Z406" s="56">
        <f>IF(AC406="Cancelled",-Q406,S406-Y406)</f>
        <v/>
      </c>
      <c r="AA406" s="56">
        <f>IF(OR(AC406="Cancelled",S406=0),0,Z406/S406)</f>
        <v/>
      </c>
      <c r="AB406" s="56">
        <f>IFERROR(IF(Q406=0,0,S406/Q406),0)</f>
        <v/>
      </c>
      <c r="AC406" s="56" t="inlineStr">
        <is>
          <t>Delivered</t>
        </is>
      </c>
      <c r="AD406" s="56">
        <f>IF(Z406&lt;=0,"Low Profit",IF(Z406&gt;=50,"HighProfit","Medium Profit"))</f>
        <v/>
      </c>
      <c r="AE406" s="56">
        <f>TEXT(B406,"mmmm")</f>
        <v/>
      </c>
    </row>
    <row r="407" ht="14.25" customHeight="1" s="57">
      <c r="A407" s="56" t="inlineStr">
        <is>
          <t>ORD-00429</t>
        </is>
      </c>
      <c r="B407" s="116" t="n">
        <v>46051</v>
      </c>
      <c r="C407" s="56" t="n">
        <v>2026</v>
      </c>
      <c r="D407" s="56" t="n">
        <v>1</v>
      </c>
      <c r="E407" s="56" t="inlineStr">
        <is>
          <t>UAE</t>
        </is>
      </c>
      <c r="F407" s="56" t="inlineStr">
        <is>
          <t>Sharjah</t>
        </is>
      </c>
      <c r="G407" s="56" t="inlineStr">
        <is>
          <t>Influencer</t>
        </is>
      </c>
      <c r="H407" s="56" t="inlineStr">
        <is>
          <t>Retargeting</t>
        </is>
      </c>
      <c r="I407" s="56" t="inlineStr">
        <is>
          <t>P002</t>
        </is>
      </c>
      <c r="J407" s="56" t="inlineStr">
        <is>
          <t>Phone Case</t>
        </is>
      </c>
      <c r="K407" s="56" t="inlineStr">
        <is>
          <t>Accessories</t>
        </is>
      </c>
      <c r="L407" s="56" t="inlineStr">
        <is>
          <t>Guangzhou Cases Ltd.</t>
        </is>
      </c>
      <c r="M407" s="56" t="n">
        <v>14.9</v>
      </c>
      <c r="N407" s="56" t="n">
        <v>2.06</v>
      </c>
      <c r="O407" s="56" t="n">
        <v>2.26</v>
      </c>
      <c r="P407" s="56" t="n">
        <v>0.03</v>
      </c>
      <c r="Q407" s="56" t="n">
        <v>7.78</v>
      </c>
      <c r="R407" s="56" t="n">
        <v>1</v>
      </c>
      <c r="S407" s="56">
        <f>IF(AC407="Cancelled",0,M407*R407)</f>
        <v/>
      </c>
      <c r="T407" s="56">
        <f>IF(AC407="Cancelled",0,N407*R407)</f>
        <v/>
      </c>
      <c r="U407" s="56">
        <f>IF(AC407="Cancelled",0,O407*R407)</f>
        <v/>
      </c>
      <c r="V407" s="56">
        <f>IF(AC407="Cancelled",0,ROUND(P407*S407,2))</f>
        <v/>
      </c>
      <c r="W407" s="56" t="inlineStr">
        <is>
          <t>No</t>
        </is>
      </c>
      <c r="X407" s="56" t="n">
        <v>0</v>
      </c>
      <c r="Y407" s="56">
        <f>IF(AC407="Cancelled",0,T407+U407+V407+Q407+X407)</f>
        <v/>
      </c>
      <c r="Z407" s="56">
        <f>IF(AC407="Cancelled",-Q407,S407-Y407)</f>
        <v/>
      </c>
      <c r="AA407" s="56">
        <f>IF(OR(AC407="Cancelled",S407=0),0,Z407/S407)</f>
        <v/>
      </c>
      <c r="AB407" s="56">
        <f>IFERROR(IF(Q407=0,0,S407/Q407),0)</f>
        <v/>
      </c>
      <c r="AC407" s="56" t="inlineStr">
        <is>
          <t>Delivered</t>
        </is>
      </c>
      <c r="AD407" s="56">
        <f>IF(Z407&lt;=0,"Low Profit",IF(Z407&gt;=50,"HighProfit","Medium Profit"))</f>
        <v/>
      </c>
      <c r="AE407" s="56">
        <f>TEXT(B407,"mmmm")</f>
        <v/>
      </c>
    </row>
    <row r="408" ht="14.25" customHeight="1" s="57">
      <c r="A408" s="56" t="inlineStr">
        <is>
          <t>ORD-00216</t>
        </is>
      </c>
      <c r="B408" s="116" t="n">
        <v>46052</v>
      </c>
      <c r="C408" s="56" t="n">
        <v>2026</v>
      </c>
      <c r="D408" s="56" t="n">
        <v>1</v>
      </c>
      <c r="E408" s="56" t="inlineStr">
        <is>
          <t>UAE</t>
        </is>
      </c>
      <c r="F408" s="56" t="inlineStr">
        <is>
          <t>Sharjah</t>
        </is>
      </c>
      <c r="G408" s="56" t="inlineStr">
        <is>
          <t>TikTok Ads</t>
        </is>
      </c>
      <c r="H408" s="56" t="inlineStr">
        <is>
          <t>Launch Test</t>
        </is>
      </c>
      <c r="I408" s="56" t="inlineStr">
        <is>
          <t>P009</t>
        </is>
      </c>
      <c r="J408" s="56" t="inlineStr">
        <is>
          <t>Car Vacuum Cleaner</t>
        </is>
      </c>
      <c r="K408" s="56" t="inlineStr">
        <is>
          <t>Automotive</t>
        </is>
      </c>
      <c r="L408" s="56" t="inlineStr">
        <is>
          <t>Dongguan Auto Tools</t>
        </is>
      </c>
      <c r="M408" s="56" t="n">
        <v>43.2</v>
      </c>
      <c r="N408" s="56" t="n">
        <v>13.97</v>
      </c>
      <c r="O408" s="56" t="n">
        <v>6.67</v>
      </c>
      <c r="P408" s="56" t="n">
        <v>0.03</v>
      </c>
      <c r="Q408" s="56" t="n">
        <v>26.99</v>
      </c>
      <c r="R408" s="56" t="n">
        <v>3</v>
      </c>
      <c r="S408" s="56">
        <f>IF(AC408="Cancelled",0,M408*R408)</f>
        <v/>
      </c>
      <c r="T408" s="56">
        <f>IF(AC408="Cancelled",0,N408*R408)</f>
        <v/>
      </c>
      <c r="U408" s="56">
        <f>IF(AC408="Cancelled",0,O408*R408)</f>
        <v/>
      </c>
      <c r="V408" s="56">
        <f>IF(AC408="Cancelled",0,ROUND(P408*S408,2))</f>
        <v/>
      </c>
      <c r="W408" s="56" t="inlineStr">
        <is>
          <t>No</t>
        </is>
      </c>
      <c r="X408" s="56" t="n">
        <v>0</v>
      </c>
      <c r="Y408" s="56">
        <f>IF(AC408="Cancelled",0,T408+U408+V408+Q408+X408)</f>
        <v/>
      </c>
      <c r="Z408" s="56">
        <f>IF(AC408="Cancelled",-Q408,S408-Y408)</f>
        <v/>
      </c>
      <c r="AA408" s="56">
        <f>IF(OR(AC408="Cancelled",S408=0),0,Z408/S408)</f>
        <v/>
      </c>
      <c r="AB408" s="56">
        <f>IFERROR(IF(Q408=0,0,S408/Q408),0)</f>
        <v/>
      </c>
      <c r="AC408" s="56" t="inlineStr">
        <is>
          <t>Cancelled</t>
        </is>
      </c>
      <c r="AD408" s="56">
        <f>IF(Z408&lt;=0,"Low Profit",IF(Z408&gt;=50,"HighProfit","Medium Profit"))</f>
        <v/>
      </c>
      <c r="AE408" s="56">
        <f>TEXT(B408,"mmmm")</f>
        <v/>
      </c>
    </row>
    <row r="409" ht="14.25" customHeight="1" s="57">
      <c r="A409" s="56" t="inlineStr">
        <is>
          <t>ORD-00236</t>
        </is>
      </c>
      <c r="B409" s="116" t="n">
        <v>46054</v>
      </c>
      <c r="C409" s="56" t="n">
        <v>2026</v>
      </c>
      <c r="D409" s="56" t="n">
        <v>2</v>
      </c>
      <c r="E409" s="56" t="inlineStr">
        <is>
          <t>Oman</t>
        </is>
      </c>
      <c r="F409" s="56" t="inlineStr">
        <is>
          <t>Muscat</t>
        </is>
      </c>
      <c r="G409" s="56" t="inlineStr">
        <is>
          <t>Email</t>
        </is>
      </c>
      <c r="H409" s="56" t="inlineStr">
        <is>
          <t>Retargeting</t>
        </is>
      </c>
      <c r="I409" s="56" t="inlineStr">
        <is>
          <t>P006</t>
        </is>
      </c>
      <c r="J409" s="56" t="inlineStr">
        <is>
          <t>Posture Corrector</t>
        </is>
      </c>
      <c r="K409" s="56" t="inlineStr">
        <is>
          <t>Fitness</t>
        </is>
      </c>
      <c r="L409" s="56" t="inlineStr">
        <is>
          <t>Hangzhou Health Gear</t>
        </is>
      </c>
      <c r="M409" s="56" t="n">
        <v>36.36</v>
      </c>
      <c r="N409" s="56" t="n">
        <v>9.56</v>
      </c>
      <c r="O409" s="56" t="n">
        <v>4.03</v>
      </c>
      <c r="P409" s="56" t="n">
        <v>0.03</v>
      </c>
      <c r="Q409" s="56" t="n">
        <v>6.21</v>
      </c>
      <c r="R409" s="56" t="n">
        <v>1</v>
      </c>
      <c r="S409" s="56">
        <f>IF(AC409="Cancelled",0,M409*R409)</f>
        <v/>
      </c>
      <c r="T409" s="56">
        <f>IF(AC409="Cancelled",0,N409*R409)</f>
        <v/>
      </c>
      <c r="U409" s="56">
        <f>IF(AC409="Cancelled",0,O409*R409)</f>
        <v/>
      </c>
      <c r="V409" s="56">
        <f>IF(AC409="Cancelled",0,ROUND(P409*S409,2))</f>
        <v/>
      </c>
      <c r="W409" s="56" t="inlineStr">
        <is>
          <t>No</t>
        </is>
      </c>
      <c r="X409" s="56" t="n">
        <v>0</v>
      </c>
      <c r="Y409" s="56">
        <f>IF(AC409="Cancelled",0,T409+U409+V409+Q409+X409)</f>
        <v/>
      </c>
      <c r="Z409" s="56">
        <f>IF(AC409="Cancelled",-Q409,S409-Y409)</f>
        <v/>
      </c>
      <c r="AA409" s="56">
        <f>IF(OR(AC409="Cancelled",S409=0),0,Z409/S409)</f>
        <v/>
      </c>
      <c r="AB409" s="56">
        <f>IFERROR(IF(Q409=0,0,S409/Q409),0)</f>
        <v/>
      </c>
      <c r="AC409" s="56" t="inlineStr">
        <is>
          <t>Delivered</t>
        </is>
      </c>
      <c r="AD409" s="56">
        <f>IF(Z409&lt;=0,"Low Profit",IF(Z409&gt;=50,"HighProfit","Medium Profit"))</f>
        <v/>
      </c>
      <c r="AE409" s="56">
        <f>TEXT(B409,"mmmm")</f>
        <v/>
      </c>
    </row>
    <row r="410" ht="14.25" customHeight="1" s="57">
      <c r="A410" s="56" t="inlineStr">
        <is>
          <t>ORD-00007</t>
        </is>
      </c>
      <c r="B410" s="116" t="n">
        <v>46055</v>
      </c>
      <c r="C410" s="56" t="n">
        <v>2026</v>
      </c>
      <c r="D410" s="56" t="n">
        <v>2</v>
      </c>
      <c r="E410" s="56" t="inlineStr">
        <is>
          <t>UAE</t>
        </is>
      </c>
      <c r="F410" s="56" t="inlineStr">
        <is>
          <t>Sharjah</t>
        </is>
      </c>
      <c r="G410" s="56" t="inlineStr">
        <is>
          <t>Email</t>
        </is>
      </c>
      <c r="H410" s="56" t="inlineStr">
        <is>
          <t>Retargeting</t>
        </is>
      </c>
      <c r="I410" s="56" t="inlineStr">
        <is>
          <t>P002</t>
        </is>
      </c>
      <c r="J410" s="56" t="inlineStr">
        <is>
          <t>Phone Case</t>
        </is>
      </c>
      <c r="K410" s="56" t="inlineStr">
        <is>
          <t>Accessories</t>
        </is>
      </c>
      <c r="L410" s="56" t="inlineStr">
        <is>
          <t>Guangzhou Cases Ltd.</t>
        </is>
      </c>
      <c r="M410" s="56" t="n">
        <v>14.64</v>
      </c>
      <c r="N410" s="56" t="n">
        <v>2.15</v>
      </c>
      <c r="O410" s="56" t="n">
        <v>2.02</v>
      </c>
      <c r="P410" s="56" t="n">
        <v>0.03</v>
      </c>
      <c r="Q410" s="56" t="n">
        <v>14.94</v>
      </c>
      <c r="R410" s="56" t="n">
        <v>2</v>
      </c>
      <c r="S410" s="56">
        <f>IF(AC410="Cancelled",0,M410*R410)</f>
        <v/>
      </c>
      <c r="T410" s="56">
        <f>IF(AC410="Cancelled",0,N410*R410)</f>
        <v/>
      </c>
      <c r="U410" s="56">
        <f>IF(AC410="Cancelled",0,O410*R410)</f>
        <v/>
      </c>
      <c r="V410" s="56">
        <f>IF(AC410="Cancelled",0,ROUND(P410*S410,2))</f>
        <v/>
      </c>
      <c r="W410" s="56" t="inlineStr">
        <is>
          <t>No</t>
        </is>
      </c>
      <c r="X410" s="56" t="n">
        <v>0</v>
      </c>
      <c r="Y410" s="56">
        <f>IF(AC410="Cancelled",0,T410+U410+V410+Q410+X410)</f>
        <v/>
      </c>
      <c r="Z410" s="56">
        <f>IF(AC410="Cancelled",-Q410,S410-Y410)</f>
        <v/>
      </c>
      <c r="AA410" s="56">
        <f>IF(OR(AC410="Cancelled",S410=0),0,Z410/S410)</f>
        <v/>
      </c>
      <c r="AB410" s="56">
        <f>IFERROR(IF(Q410=0,0,S410/Q410),0)</f>
        <v/>
      </c>
      <c r="AC410" s="56" t="inlineStr">
        <is>
          <t>Delivered</t>
        </is>
      </c>
      <c r="AD410" s="56">
        <f>IF(Z410&lt;=0,"Low Profit",IF(Z410&gt;=50,"HighProfit","Medium Profit"))</f>
        <v/>
      </c>
      <c r="AE410" s="56">
        <f>TEXT(B410,"mmmm")</f>
        <v/>
      </c>
    </row>
    <row r="411" ht="14.25" customHeight="1" s="57">
      <c r="A411" s="56" t="inlineStr">
        <is>
          <t>ORD-00232</t>
        </is>
      </c>
      <c r="B411" s="116" t="n">
        <v>46056</v>
      </c>
      <c r="C411" s="56" t="n">
        <v>2026</v>
      </c>
      <c r="D411" s="56" t="n">
        <v>2</v>
      </c>
      <c r="E411" s="56" t="inlineStr">
        <is>
          <t>UAE</t>
        </is>
      </c>
      <c r="F411" s="56" t="inlineStr">
        <is>
          <t>Dubai</t>
        </is>
      </c>
      <c r="G411" s="56" t="inlineStr">
        <is>
          <t>TikTok Ads</t>
        </is>
      </c>
      <c r="H411" s="56" t="inlineStr">
        <is>
          <t>Summer Sale</t>
        </is>
      </c>
      <c r="I411" s="56" t="inlineStr">
        <is>
          <t>P002</t>
        </is>
      </c>
      <c r="J411" s="56" t="inlineStr">
        <is>
          <t>Phone Case</t>
        </is>
      </c>
      <c r="K411" s="56" t="inlineStr">
        <is>
          <t>Accessories</t>
        </is>
      </c>
      <c r="L411" s="56" t="inlineStr">
        <is>
          <t>Guangzhou Cases Ltd.</t>
        </is>
      </c>
      <c r="M411" s="56" t="n">
        <v>16.51</v>
      </c>
      <c r="N411" s="56" t="n">
        <v>2.04</v>
      </c>
      <c r="O411" s="56" t="n">
        <v>1.91</v>
      </c>
      <c r="P411" s="56" t="n">
        <v>0.03</v>
      </c>
      <c r="Q411" s="56" t="n">
        <v>15.86</v>
      </c>
      <c r="R411" s="56" t="n">
        <v>2</v>
      </c>
      <c r="S411" s="56">
        <f>IF(AC411="Cancelled",0,M411*R411)</f>
        <v/>
      </c>
      <c r="T411" s="56">
        <f>IF(AC411="Cancelled",0,N411*R411)</f>
        <v/>
      </c>
      <c r="U411" s="56">
        <f>IF(AC411="Cancelled",0,O411*R411)</f>
        <v/>
      </c>
      <c r="V411" s="56">
        <f>IF(AC411="Cancelled",0,ROUND(P411*S411,2))</f>
        <v/>
      </c>
      <c r="W411" s="56" t="inlineStr">
        <is>
          <t>No</t>
        </is>
      </c>
      <c r="X411" s="56" t="n">
        <v>0</v>
      </c>
      <c r="Y411" s="56">
        <f>IF(AC411="Cancelled",0,T411+U411+V411+Q411+X411)</f>
        <v/>
      </c>
      <c r="Z411" s="56">
        <f>IF(AC411="Cancelled",-Q411,S411-Y411)</f>
        <v/>
      </c>
      <c r="AA411" s="56">
        <f>IF(OR(AC411="Cancelled",S411=0),0,Z411/S411)</f>
        <v/>
      </c>
      <c r="AB411" s="56">
        <f>IFERROR(IF(Q411=0,0,S411/Q411),0)</f>
        <v/>
      </c>
      <c r="AC411" s="56" t="inlineStr">
        <is>
          <t>Delivered</t>
        </is>
      </c>
      <c r="AD411" s="56">
        <f>IF(Z411&lt;=0,"Low Profit",IF(Z411&gt;=50,"HighProfit","Medium Profit"))</f>
        <v/>
      </c>
      <c r="AE411" s="56">
        <f>TEXT(B411,"mmmm")</f>
        <v/>
      </c>
    </row>
    <row r="412" ht="14.25" customHeight="1" s="57">
      <c r="A412" s="56" t="inlineStr">
        <is>
          <t>ORD-00263</t>
        </is>
      </c>
      <c r="B412" s="116" t="n">
        <v>46056</v>
      </c>
      <c r="C412" s="56" t="n">
        <v>2026</v>
      </c>
      <c r="D412" s="56" t="n">
        <v>2</v>
      </c>
      <c r="E412" s="56" t="inlineStr">
        <is>
          <t>Saudi Arabia</t>
        </is>
      </c>
      <c r="F412" s="56" t="inlineStr">
        <is>
          <t>Riyadh</t>
        </is>
      </c>
      <c r="G412" s="56" t="inlineStr">
        <is>
          <t>Meta Ads</t>
        </is>
      </c>
      <c r="H412" s="56" t="inlineStr">
        <is>
          <t>Retargeting</t>
        </is>
      </c>
      <c r="I412" s="56" t="inlineStr">
        <is>
          <t>P010</t>
        </is>
      </c>
      <c r="J412" s="56" t="inlineStr">
        <is>
          <t>Smart Water Bottle</t>
        </is>
      </c>
      <c r="K412" s="56" t="inlineStr">
        <is>
          <t>Lifestyle</t>
        </is>
      </c>
      <c r="L412" s="56" t="inlineStr">
        <is>
          <t>Shenzhen Smart Home</t>
        </is>
      </c>
      <c r="M412" s="56" t="n">
        <v>34.51</v>
      </c>
      <c r="N412" s="56" t="n">
        <v>9.609999999999999</v>
      </c>
      <c r="O412" s="56" t="n">
        <v>3.96</v>
      </c>
      <c r="P412" s="56" t="n">
        <v>0.03</v>
      </c>
      <c r="Q412" s="56" t="n">
        <v>5.66</v>
      </c>
      <c r="R412" s="56" t="n">
        <v>3</v>
      </c>
      <c r="S412" s="56">
        <f>IF(AC412="Cancelled",0,M412*R412)</f>
        <v/>
      </c>
      <c r="T412" s="56">
        <f>IF(AC412="Cancelled",0,N412*R412)</f>
        <v/>
      </c>
      <c r="U412" s="56">
        <f>IF(AC412="Cancelled",0,O412*R412)</f>
        <v/>
      </c>
      <c r="V412" s="56">
        <f>IF(AC412="Cancelled",0,ROUND(P412*S412,2))</f>
        <v/>
      </c>
      <c r="W412" s="56" t="inlineStr">
        <is>
          <t>No</t>
        </is>
      </c>
      <c r="X412" s="56" t="n">
        <v>0</v>
      </c>
      <c r="Y412" s="56">
        <f>IF(AC412="Cancelled",0,T412+U412+V412+Q412+X412)</f>
        <v/>
      </c>
      <c r="Z412" s="56">
        <f>IF(AC412="Cancelled",-Q412,S412-Y412)</f>
        <v/>
      </c>
      <c r="AA412" s="56">
        <f>IF(OR(AC412="Cancelled",S412=0),0,Z412/S412)</f>
        <v/>
      </c>
      <c r="AB412" s="56">
        <f>IFERROR(IF(Q412=0,0,S412/Q412),0)</f>
        <v/>
      </c>
      <c r="AC412" s="56" t="inlineStr">
        <is>
          <t>Delivered</t>
        </is>
      </c>
      <c r="AD412" s="56">
        <f>IF(Z412&lt;=0,"Low Profit",IF(Z412&gt;=50,"HighProfit","Medium Profit"))</f>
        <v/>
      </c>
      <c r="AE412" s="56">
        <f>TEXT(B412,"mmmm")</f>
        <v/>
      </c>
    </row>
    <row r="413" ht="14.25" customHeight="1" s="57">
      <c r="A413" s="56" t="inlineStr">
        <is>
          <t>ORD-00324</t>
        </is>
      </c>
      <c r="B413" s="116" t="n">
        <v>46058</v>
      </c>
      <c r="C413" s="56" t="n">
        <v>2026</v>
      </c>
      <c r="D413" s="56" t="n">
        <v>2</v>
      </c>
      <c r="E413" s="56" t="inlineStr">
        <is>
          <t>UAE</t>
        </is>
      </c>
      <c r="F413" s="56" t="inlineStr">
        <is>
          <t>Abu Dhabi</t>
        </is>
      </c>
      <c r="G413" s="56" t="inlineStr">
        <is>
          <t>TikTok Ads</t>
        </is>
      </c>
      <c r="H413" s="56" t="inlineStr">
        <is>
          <t>Retargeting</t>
        </is>
      </c>
      <c r="I413" s="56" t="inlineStr">
        <is>
          <t>P009</t>
        </is>
      </c>
      <c r="J413" s="56" t="inlineStr">
        <is>
          <t>Car Vacuum Cleaner</t>
        </is>
      </c>
      <c r="K413" s="56" t="inlineStr">
        <is>
          <t>Automotive</t>
        </is>
      </c>
      <c r="L413" s="56" t="inlineStr">
        <is>
          <t>Dongguan Auto Tools</t>
        </is>
      </c>
      <c r="M413" s="56" t="n">
        <v>47.42</v>
      </c>
      <c r="N413" s="56" t="n">
        <v>14.72</v>
      </c>
      <c r="O413" s="56" t="n">
        <v>7.05</v>
      </c>
      <c r="P413" s="56" t="n">
        <v>0.03</v>
      </c>
      <c r="Q413" s="56" t="n">
        <v>14.5</v>
      </c>
      <c r="R413" s="56" t="n">
        <v>2</v>
      </c>
      <c r="S413" s="56">
        <f>IF(AC413="Cancelled",0,M413*R413)</f>
        <v/>
      </c>
      <c r="T413" s="56">
        <f>IF(AC413="Cancelled",0,N413*R413)</f>
        <v/>
      </c>
      <c r="U413" s="56">
        <f>IF(AC413="Cancelled",0,O413*R413)</f>
        <v/>
      </c>
      <c r="V413" s="56">
        <f>IF(AC413="Cancelled",0,ROUND(P413*S413,2))</f>
        <v/>
      </c>
      <c r="W413" s="56" t="inlineStr">
        <is>
          <t>No</t>
        </is>
      </c>
      <c r="X413" s="56" t="n">
        <v>0</v>
      </c>
      <c r="Y413" s="56">
        <f>IF(AC413="Cancelled",0,T413+U413+V413+Q413+X413)</f>
        <v/>
      </c>
      <c r="Z413" s="56">
        <f>IF(AC413="Cancelled",-Q413,S413-Y413)</f>
        <v/>
      </c>
      <c r="AA413" s="56">
        <f>IF(OR(AC413="Cancelled",S413=0),0,Z413/S413)</f>
        <v/>
      </c>
      <c r="AB413" s="56">
        <f>IFERROR(IF(Q413=0,0,S413/Q413),0)</f>
        <v/>
      </c>
      <c r="AC413" s="56" t="inlineStr">
        <is>
          <t>Delivered</t>
        </is>
      </c>
      <c r="AD413" s="56">
        <f>IF(Z413&lt;=0,"Low Profit",IF(Z413&gt;=50,"HighProfit","Medium Profit"))</f>
        <v/>
      </c>
      <c r="AE413" s="56">
        <f>TEXT(B413,"mmmm")</f>
        <v/>
      </c>
    </row>
    <row r="414" ht="14.25" customHeight="1" s="57">
      <c r="A414" s="56" t="inlineStr">
        <is>
          <t>ORD-00175</t>
        </is>
      </c>
      <c r="B414" s="116" t="n">
        <v>46060</v>
      </c>
      <c r="C414" s="56" t="n">
        <v>2026</v>
      </c>
      <c r="D414" s="56" t="n">
        <v>2</v>
      </c>
      <c r="E414" s="56" t="inlineStr">
        <is>
          <t>Qatar</t>
        </is>
      </c>
      <c r="F414" s="56" t="inlineStr">
        <is>
          <t>Doha</t>
        </is>
      </c>
      <c r="G414" s="56" t="inlineStr">
        <is>
          <t>Influencer</t>
        </is>
      </c>
      <c r="H414" s="56" t="inlineStr">
        <is>
          <t>Retargeting</t>
        </is>
      </c>
      <c r="I414" s="56" t="inlineStr">
        <is>
          <t>P010</t>
        </is>
      </c>
      <c r="J414" s="56" t="inlineStr">
        <is>
          <t>Smart Water Bottle</t>
        </is>
      </c>
      <c r="K414" s="56" t="inlineStr">
        <is>
          <t>Lifestyle</t>
        </is>
      </c>
      <c r="L414" s="56" t="inlineStr">
        <is>
          <t>Shenzhen Smart Home</t>
        </is>
      </c>
      <c r="M414" s="56" t="n">
        <v>35.11</v>
      </c>
      <c r="N414" s="56" t="n">
        <v>9.6</v>
      </c>
      <c r="O414" s="56" t="n">
        <v>4.55</v>
      </c>
      <c r="P414" s="56" t="n">
        <v>0.03</v>
      </c>
      <c r="Q414" s="56" t="n">
        <v>13.93</v>
      </c>
      <c r="R414" s="56" t="n">
        <v>3</v>
      </c>
      <c r="S414" s="56">
        <f>IF(AC414="Cancelled",0,M414*R414)</f>
        <v/>
      </c>
      <c r="T414" s="56">
        <f>IF(AC414="Cancelled",0,N414*R414)</f>
        <v/>
      </c>
      <c r="U414" s="56">
        <f>IF(AC414="Cancelled",0,O414*R414)</f>
        <v/>
      </c>
      <c r="V414" s="56">
        <f>IF(AC414="Cancelled",0,ROUND(P414*S414,2))</f>
        <v/>
      </c>
      <c r="W414" s="56" t="inlineStr">
        <is>
          <t>No</t>
        </is>
      </c>
      <c r="X414" s="56" t="n">
        <v>0</v>
      </c>
      <c r="Y414" s="56">
        <f>IF(AC414="Cancelled",0,T414+U414+V414+Q414+X414)</f>
        <v/>
      </c>
      <c r="Z414" s="56">
        <f>IF(AC414="Cancelled",-Q414,S414-Y414)</f>
        <v/>
      </c>
      <c r="AA414" s="56">
        <f>IF(OR(AC414="Cancelled",S414=0),0,Z414/S414)</f>
        <v/>
      </c>
      <c r="AB414" s="56">
        <f>IFERROR(IF(Q414=0,0,S414/Q414),0)</f>
        <v/>
      </c>
      <c r="AC414" s="56" t="inlineStr">
        <is>
          <t>Delivered</t>
        </is>
      </c>
      <c r="AD414" s="56">
        <f>IF(Z414&lt;=0,"Low Profit",IF(Z414&gt;=50,"HighProfit","Medium Profit"))</f>
        <v/>
      </c>
      <c r="AE414" s="56">
        <f>TEXT(B414,"mmmm")</f>
        <v/>
      </c>
    </row>
    <row r="415" ht="14.25" customHeight="1" s="57">
      <c r="A415" s="56" t="inlineStr">
        <is>
          <t>ORD-00446</t>
        </is>
      </c>
      <c r="B415" s="116" t="n">
        <v>46060</v>
      </c>
      <c r="C415" s="56" t="n">
        <v>2026</v>
      </c>
      <c r="D415" s="56" t="n">
        <v>2</v>
      </c>
      <c r="E415" s="56" t="inlineStr">
        <is>
          <t>Saudi Arabia</t>
        </is>
      </c>
      <c r="F415" s="56" t="inlineStr">
        <is>
          <t>Riyadh</t>
        </is>
      </c>
      <c r="G415" s="56" t="inlineStr">
        <is>
          <t>Influencer</t>
        </is>
      </c>
      <c r="H415" s="56" t="inlineStr">
        <is>
          <t>New Creative A/B</t>
        </is>
      </c>
      <c r="I415" s="56" t="inlineStr">
        <is>
          <t>P008</t>
        </is>
      </c>
      <c r="J415" s="56" t="inlineStr">
        <is>
          <t>Portable Blender</t>
        </is>
      </c>
      <c r="K415" s="56" t="inlineStr">
        <is>
          <t>Kitchen</t>
        </is>
      </c>
      <c r="L415" s="56" t="inlineStr">
        <is>
          <t>Foshan Appliances</t>
        </is>
      </c>
      <c r="M415" s="56" t="n">
        <v>48.91</v>
      </c>
      <c r="N415" s="56" t="n">
        <v>16.86</v>
      </c>
      <c r="O415" s="56" t="n">
        <v>6.54</v>
      </c>
      <c r="P415" s="56" t="n">
        <v>0.03</v>
      </c>
      <c r="Q415" s="56" t="n">
        <v>3.53</v>
      </c>
      <c r="R415" s="56" t="n">
        <v>1</v>
      </c>
      <c r="S415" s="56">
        <f>IF(AC415="Cancelled",0,M415*R415)</f>
        <v/>
      </c>
      <c r="T415" s="56">
        <f>IF(AC415="Cancelled",0,N415*R415)</f>
        <v/>
      </c>
      <c r="U415" s="56">
        <f>IF(AC415="Cancelled",0,O415*R415)</f>
        <v/>
      </c>
      <c r="V415" s="56">
        <f>IF(AC415="Cancelled",0,ROUND(P415*S415,2))</f>
        <v/>
      </c>
      <c r="W415" s="56" t="inlineStr">
        <is>
          <t>No</t>
        </is>
      </c>
      <c r="X415" s="56" t="n">
        <v>0</v>
      </c>
      <c r="Y415" s="56">
        <f>IF(AC415="Cancelled",0,T415+U415+V415+Q415+X415)</f>
        <v/>
      </c>
      <c r="Z415" s="56">
        <f>IF(AC415="Cancelled",-Q415,S415-Y415)</f>
        <v/>
      </c>
      <c r="AA415" s="56">
        <f>IF(OR(AC415="Cancelled",S415=0),0,Z415/S415)</f>
        <v/>
      </c>
      <c r="AB415" s="56">
        <f>IFERROR(IF(Q415=0,0,S415/Q415),0)</f>
        <v/>
      </c>
      <c r="AC415" s="56" t="inlineStr">
        <is>
          <t>Delivered</t>
        </is>
      </c>
      <c r="AD415" s="56">
        <f>IF(Z415&lt;=0,"Low Profit",IF(Z415&gt;=50,"HighProfit","Medium Profit"))</f>
        <v/>
      </c>
      <c r="AE415" s="56">
        <f>TEXT(B415,"mmmm")</f>
        <v/>
      </c>
    </row>
    <row r="416" ht="14.25" customHeight="1" s="57">
      <c r="A416" s="56" t="inlineStr">
        <is>
          <t>ORD-00036</t>
        </is>
      </c>
      <c r="B416" s="116" t="n">
        <v>46061</v>
      </c>
      <c r="C416" s="56" t="n">
        <v>2026</v>
      </c>
      <c r="D416" s="56" t="n">
        <v>2</v>
      </c>
      <c r="E416" s="56" t="inlineStr">
        <is>
          <t>Saudi Arabia</t>
        </is>
      </c>
      <c r="F416" s="56" t="inlineStr">
        <is>
          <t>Riyadh</t>
        </is>
      </c>
      <c r="G416" s="56" t="inlineStr">
        <is>
          <t>TikTok Ads</t>
        </is>
      </c>
      <c r="H416" s="56" t="inlineStr">
        <is>
          <t>New Creative A/B</t>
        </is>
      </c>
      <c r="I416" s="56" t="inlineStr">
        <is>
          <t>P003</t>
        </is>
      </c>
      <c r="J416" s="56" t="inlineStr">
        <is>
          <t>LED Strip Lights</t>
        </is>
      </c>
      <c r="K416" s="56" t="inlineStr">
        <is>
          <t>Home Decor</t>
        </is>
      </c>
      <c r="L416" s="56" t="inlineStr">
        <is>
          <t>Yiwu Lighting Factory</t>
        </is>
      </c>
      <c r="M416" s="56" t="n">
        <v>23.6</v>
      </c>
      <c r="N416" s="56" t="n">
        <v>6.41</v>
      </c>
      <c r="O416" s="56" t="n">
        <v>3.49</v>
      </c>
      <c r="P416" s="56" t="n">
        <v>0.03</v>
      </c>
      <c r="Q416" s="56" t="n">
        <v>6.18</v>
      </c>
      <c r="R416" s="56" t="n">
        <v>1</v>
      </c>
      <c r="S416" s="56">
        <f>IF(AC416="Cancelled",0,M416*R416)</f>
        <v/>
      </c>
      <c r="T416" s="56">
        <f>IF(AC416="Cancelled",0,N416*R416)</f>
        <v/>
      </c>
      <c r="U416" s="56">
        <f>IF(AC416="Cancelled",0,O416*R416)</f>
        <v/>
      </c>
      <c r="V416" s="56">
        <f>IF(AC416="Cancelled",0,ROUND(P416*S416,2))</f>
        <v/>
      </c>
      <c r="W416" s="56" t="inlineStr">
        <is>
          <t>Yes</t>
        </is>
      </c>
      <c r="X416" s="56" t="n">
        <v>16.94</v>
      </c>
      <c r="Y416" s="56">
        <f>IF(AC416="Cancelled",0,T416+U416+V416+Q416+X416)</f>
        <v/>
      </c>
      <c r="Z416" s="56">
        <f>IF(AC416="Cancelled",-Q416,S416-Y416)</f>
        <v/>
      </c>
      <c r="AA416" s="56">
        <f>IF(OR(AC416="Cancelled",S416=0),0,Z416/S416)</f>
        <v/>
      </c>
      <c r="AB416" s="56">
        <f>IFERROR(IF(Q416=0,0,S416/Q416),0)</f>
        <v/>
      </c>
      <c r="AC416" s="56" t="inlineStr">
        <is>
          <t>Refunded</t>
        </is>
      </c>
      <c r="AD416" s="56">
        <f>IF(Z416&lt;=0,"Low Profit",IF(Z416&gt;=50,"HighProfit","Medium Profit"))</f>
        <v/>
      </c>
      <c r="AE416" s="56">
        <f>TEXT(B416,"mmmm")</f>
        <v/>
      </c>
    </row>
    <row r="417" ht="14.25" customHeight="1" s="57">
      <c r="A417" s="56" t="inlineStr">
        <is>
          <t>ORD-00246</t>
        </is>
      </c>
      <c r="B417" s="116" t="n">
        <v>46066</v>
      </c>
      <c r="C417" s="56" t="n">
        <v>2026</v>
      </c>
      <c r="D417" s="56" t="n">
        <v>2</v>
      </c>
      <c r="E417" s="56" t="inlineStr">
        <is>
          <t>UAE</t>
        </is>
      </c>
      <c r="F417" s="56" t="inlineStr">
        <is>
          <t>Sharjah</t>
        </is>
      </c>
      <c r="G417" s="56" t="inlineStr">
        <is>
          <t>TikTok Ads</t>
        </is>
      </c>
      <c r="H417" s="56" t="inlineStr">
        <is>
          <t>Launch Test</t>
        </is>
      </c>
      <c r="I417" s="56" t="inlineStr">
        <is>
          <t>P005</t>
        </is>
      </c>
      <c r="J417" s="56" t="inlineStr">
        <is>
          <t>Mini Printer</t>
        </is>
      </c>
      <c r="K417" s="56" t="inlineStr">
        <is>
          <t>Electronics</t>
        </is>
      </c>
      <c r="L417" s="56" t="inlineStr">
        <is>
          <t>Shenzhen Print Tech</t>
        </is>
      </c>
      <c r="M417" s="56" t="n">
        <v>59.37</v>
      </c>
      <c r="N417" s="56" t="n">
        <v>22.55</v>
      </c>
      <c r="O417" s="56" t="n">
        <v>6.45</v>
      </c>
      <c r="P417" s="56" t="n">
        <v>0.03</v>
      </c>
      <c r="Q417" s="56" t="n">
        <v>5.25</v>
      </c>
      <c r="R417" s="56" t="n">
        <v>1</v>
      </c>
      <c r="S417" s="56">
        <f>IF(AC417="Cancelled",0,M417*R417)</f>
        <v/>
      </c>
      <c r="T417" s="56">
        <f>IF(AC417="Cancelled",0,N417*R417)</f>
        <v/>
      </c>
      <c r="U417" s="56">
        <f>IF(AC417="Cancelled",0,O417*R417)</f>
        <v/>
      </c>
      <c r="V417" s="56">
        <f>IF(AC417="Cancelled",0,ROUND(P417*S417,2))</f>
        <v/>
      </c>
      <c r="W417" s="56" t="inlineStr">
        <is>
          <t>No</t>
        </is>
      </c>
      <c r="X417" s="56" t="n">
        <v>0</v>
      </c>
      <c r="Y417" s="56">
        <f>IF(AC417="Cancelled",0,T417+U417+V417+Q417+X417)</f>
        <v/>
      </c>
      <c r="Z417" s="56">
        <f>IF(AC417="Cancelled",-Q417,S417-Y417)</f>
        <v/>
      </c>
      <c r="AA417" s="56">
        <f>IF(OR(AC417="Cancelled",S417=0),0,Z417/S417)</f>
        <v/>
      </c>
      <c r="AB417" s="56">
        <f>IFERROR(IF(Q417=0,0,S417/Q417),0)</f>
        <v/>
      </c>
      <c r="AC417" s="56" t="inlineStr">
        <is>
          <t>Delivered</t>
        </is>
      </c>
      <c r="AD417" s="56">
        <f>IF(Z417&lt;=0,"Low Profit",IF(Z417&gt;=50,"HighProfit","Medium Profit"))</f>
        <v/>
      </c>
      <c r="AE417" s="56">
        <f>TEXT(B417,"mmmm")</f>
        <v/>
      </c>
    </row>
    <row r="418" ht="14.25" customHeight="1" s="57">
      <c r="A418" s="56" t="inlineStr">
        <is>
          <t>ORD-00500</t>
        </is>
      </c>
      <c r="B418" s="116" t="n">
        <v>46066</v>
      </c>
      <c r="C418" s="56" t="n">
        <v>2026</v>
      </c>
      <c r="D418" s="56" t="n">
        <v>2</v>
      </c>
      <c r="E418" s="56" t="inlineStr">
        <is>
          <t>Saudi Arabia</t>
        </is>
      </c>
      <c r="F418" s="56" t="inlineStr">
        <is>
          <t>Riyadh</t>
        </is>
      </c>
      <c r="G418" s="56" t="inlineStr">
        <is>
          <t>Meta Ads</t>
        </is>
      </c>
      <c r="H418" s="56" t="inlineStr">
        <is>
          <t>Bundle Promo</t>
        </is>
      </c>
      <c r="I418" s="56" t="inlineStr">
        <is>
          <t>P007</t>
        </is>
      </c>
      <c r="J418" s="56" t="inlineStr">
        <is>
          <t>Pet Grooming Glove</t>
        </is>
      </c>
      <c r="K418" s="56" t="inlineStr">
        <is>
          <t>Pets</t>
        </is>
      </c>
      <c r="L418" s="56" t="inlineStr">
        <is>
          <t>Yiwu Pet Products</t>
        </is>
      </c>
      <c r="M418" s="56" t="n">
        <v>21.89</v>
      </c>
      <c r="N418" s="56" t="n">
        <v>3.69</v>
      </c>
      <c r="O418" s="56" t="n">
        <v>2.74</v>
      </c>
      <c r="P418" s="56" t="n">
        <v>0.03</v>
      </c>
      <c r="Q418" s="56" t="n">
        <v>2.21</v>
      </c>
      <c r="R418" s="56" t="n">
        <v>1</v>
      </c>
      <c r="S418" s="56">
        <f>IF(AC418="Cancelled",0,M418*R418)</f>
        <v/>
      </c>
      <c r="T418" s="56">
        <f>IF(AC418="Cancelled",0,N418*R418)</f>
        <v/>
      </c>
      <c r="U418" s="56">
        <f>IF(AC418="Cancelled",0,O418*R418)</f>
        <v/>
      </c>
      <c r="V418" s="56">
        <f>IF(AC418="Cancelled",0,ROUND(P418*S418,2))</f>
        <v/>
      </c>
      <c r="W418" s="56" t="inlineStr">
        <is>
          <t>No</t>
        </is>
      </c>
      <c r="X418" s="56" t="n">
        <v>0</v>
      </c>
      <c r="Y418" s="56">
        <f>IF(AC418="Cancelled",0,T418+U418+V418+Q418+X418)</f>
        <v/>
      </c>
      <c r="Z418" s="56">
        <f>IF(AC418="Cancelled",-Q418,S418-Y418)</f>
        <v/>
      </c>
      <c r="AA418" s="56">
        <f>IF(OR(AC418="Cancelled",S418=0),0,Z418/S418)</f>
        <v/>
      </c>
      <c r="AB418" s="56">
        <f>IFERROR(IF(Q418=0,0,S418/Q418),0)</f>
        <v/>
      </c>
      <c r="AC418" s="56" t="inlineStr">
        <is>
          <t>Delivered</t>
        </is>
      </c>
      <c r="AD418" s="56">
        <f>IF(Z418&lt;=0,"Low Profit",IF(Z418&gt;=50,"HighProfit","Medium Profit"))</f>
        <v/>
      </c>
      <c r="AE418" s="56">
        <f>TEXT(B418,"mmmm")</f>
        <v/>
      </c>
    </row>
    <row r="419" ht="14.25" customHeight="1" s="57">
      <c r="A419" s="56" t="inlineStr">
        <is>
          <t>ORD-00201</t>
        </is>
      </c>
      <c r="B419" s="116" t="n">
        <v>46067</v>
      </c>
      <c r="C419" s="56" t="n">
        <v>2026</v>
      </c>
      <c r="D419" s="56" t="n">
        <v>2</v>
      </c>
      <c r="E419" s="56" t="inlineStr">
        <is>
          <t>Qatar</t>
        </is>
      </c>
      <c r="F419" s="56" t="inlineStr">
        <is>
          <t>Doha</t>
        </is>
      </c>
      <c r="G419" s="56" t="inlineStr">
        <is>
          <t>Meta Ads</t>
        </is>
      </c>
      <c r="H419" s="56" t="inlineStr">
        <is>
          <t>Retargeting</t>
        </is>
      </c>
      <c r="I419" s="56" t="inlineStr">
        <is>
          <t>P002</t>
        </is>
      </c>
      <c r="J419" s="56" t="inlineStr">
        <is>
          <t>Phone Case</t>
        </is>
      </c>
      <c r="K419" s="56" t="inlineStr">
        <is>
          <t>Accessories</t>
        </is>
      </c>
      <c r="L419" s="56" t="inlineStr">
        <is>
          <t>Guangzhou Cases Ltd.</t>
        </is>
      </c>
      <c r="M419" s="56" t="n">
        <v>13.49</v>
      </c>
      <c r="N419" s="56" t="n">
        <v>2.02</v>
      </c>
      <c r="O419" s="56" t="n">
        <v>2.01</v>
      </c>
      <c r="P419" s="56" t="n">
        <v>0.03</v>
      </c>
      <c r="Q419" s="56" t="n">
        <v>6.86</v>
      </c>
      <c r="R419" s="56" t="n">
        <v>2</v>
      </c>
      <c r="S419" s="56">
        <f>IF(AC419="Cancelled",0,M419*R419)</f>
        <v/>
      </c>
      <c r="T419" s="56">
        <f>IF(AC419="Cancelled",0,N419*R419)</f>
        <v/>
      </c>
      <c r="U419" s="56">
        <f>IF(AC419="Cancelled",0,O419*R419)</f>
        <v/>
      </c>
      <c r="V419" s="56">
        <f>IF(AC419="Cancelled",0,ROUND(P419*S419,2))</f>
        <v/>
      </c>
      <c r="W419" s="56" t="inlineStr">
        <is>
          <t>No</t>
        </is>
      </c>
      <c r="X419" s="56" t="n">
        <v>0</v>
      </c>
      <c r="Y419" s="56">
        <f>IF(AC419="Cancelled",0,T419+U419+V419+Q419+X419)</f>
        <v/>
      </c>
      <c r="Z419" s="56">
        <f>IF(AC419="Cancelled",-Q419,S419-Y419)</f>
        <v/>
      </c>
      <c r="AA419" s="56">
        <f>IF(OR(AC419="Cancelled",S419=0),0,Z419/S419)</f>
        <v/>
      </c>
      <c r="AB419" s="56">
        <f>IFERROR(IF(Q419=0,0,S419/Q419),0)</f>
        <v/>
      </c>
      <c r="AC419" s="56" t="inlineStr">
        <is>
          <t>Delivered</t>
        </is>
      </c>
      <c r="AD419" s="56">
        <f>IF(Z419&lt;=0,"Low Profit",IF(Z419&gt;=50,"HighProfit","Medium Profit"))</f>
        <v/>
      </c>
      <c r="AE419" s="56">
        <f>TEXT(B419,"mmmm")</f>
        <v/>
      </c>
    </row>
    <row r="420" ht="14.25" customHeight="1" s="57">
      <c r="A420" s="56" t="inlineStr">
        <is>
          <t>ORD-00257</t>
        </is>
      </c>
      <c r="B420" s="116" t="n">
        <v>46067</v>
      </c>
      <c r="C420" s="56" t="n">
        <v>2026</v>
      </c>
      <c r="D420" s="56" t="n">
        <v>2</v>
      </c>
      <c r="E420" s="56" t="inlineStr">
        <is>
          <t>UAE</t>
        </is>
      </c>
      <c r="F420" s="56" t="inlineStr">
        <is>
          <t>Sharjah</t>
        </is>
      </c>
      <c r="G420" s="56" t="inlineStr">
        <is>
          <t>Google Ads</t>
        </is>
      </c>
      <c r="H420" s="56" t="inlineStr">
        <is>
          <t>Summer Sale</t>
        </is>
      </c>
      <c r="I420" s="56" t="inlineStr">
        <is>
          <t>P003</t>
        </is>
      </c>
      <c r="J420" s="56" t="inlineStr">
        <is>
          <t>LED Strip Lights</t>
        </is>
      </c>
      <c r="K420" s="56" t="inlineStr">
        <is>
          <t>Home Decor</t>
        </is>
      </c>
      <c r="L420" s="56" t="inlineStr">
        <is>
          <t>Yiwu Lighting Factory</t>
        </is>
      </c>
      <c r="M420" s="56" t="n">
        <v>27.85</v>
      </c>
      <c r="N420" s="56" t="n">
        <v>5.8</v>
      </c>
      <c r="O420" s="56" t="n">
        <v>3.76</v>
      </c>
      <c r="P420" s="56" t="n">
        <v>0.03</v>
      </c>
      <c r="Q420" s="56" t="n">
        <v>6.25</v>
      </c>
      <c r="R420" s="56" t="n">
        <v>1</v>
      </c>
      <c r="S420" s="56">
        <f>IF(AC420="Cancelled",0,M420*R420)</f>
        <v/>
      </c>
      <c r="T420" s="56">
        <f>IF(AC420="Cancelled",0,N420*R420)</f>
        <v/>
      </c>
      <c r="U420" s="56">
        <f>IF(AC420="Cancelled",0,O420*R420)</f>
        <v/>
      </c>
      <c r="V420" s="56">
        <f>IF(AC420="Cancelled",0,ROUND(P420*S420,2))</f>
        <v/>
      </c>
      <c r="W420" s="56" t="inlineStr">
        <is>
          <t>No</t>
        </is>
      </c>
      <c r="X420" s="56" t="n">
        <v>0</v>
      </c>
      <c r="Y420" s="56">
        <f>IF(AC420="Cancelled",0,T420+U420+V420+Q420+X420)</f>
        <v/>
      </c>
      <c r="Z420" s="56">
        <f>IF(AC420="Cancelled",-Q420,S420-Y420)</f>
        <v/>
      </c>
      <c r="AA420" s="56">
        <f>IF(OR(AC420="Cancelled",S420=0),0,Z420/S420)</f>
        <v/>
      </c>
      <c r="AB420" s="56">
        <f>IFERROR(IF(Q420=0,0,S420/Q420),0)</f>
        <v/>
      </c>
      <c r="AC420" s="56" t="inlineStr">
        <is>
          <t>Delivered</t>
        </is>
      </c>
      <c r="AD420" s="56">
        <f>IF(Z420&lt;=0,"Low Profit",IF(Z420&gt;=50,"HighProfit","Medium Profit"))</f>
        <v/>
      </c>
      <c r="AE420" s="56">
        <f>TEXT(B420,"mmmm")</f>
        <v/>
      </c>
    </row>
    <row r="421" ht="14.25" customHeight="1" s="57">
      <c r="A421" s="56" t="inlineStr">
        <is>
          <t>ORD-00461</t>
        </is>
      </c>
      <c r="B421" s="116" t="n">
        <v>46067</v>
      </c>
      <c r="C421" s="56" t="n">
        <v>2026</v>
      </c>
      <c r="D421" s="56" t="n">
        <v>2</v>
      </c>
      <c r="E421" s="56" t="inlineStr">
        <is>
          <t>Oman</t>
        </is>
      </c>
      <c r="F421" s="56" t="inlineStr">
        <is>
          <t>Muscat</t>
        </is>
      </c>
      <c r="G421" s="56" t="inlineStr">
        <is>
          <t>Meta Ads</t>
        </is>
      </c>
      <c r="H421" s="56" t="inlineStr">
        <is>
          <t>Bundle Promo</t>
        </is>
      </c>
      <c r="I421" s="56" t="inlineStr">
        <is>
          <t>P008</t>
        </is>
      </c>
      <c r="J421" s="56" t="inlineStr">
        <is>
          <t>Portable Blender</t>
        </is>
      </c>
      <c r="K421" s="56" t="inlineStr">
        <is>
          <t>Kitchen</t>
        </is>
      </c>
      <c r="L421" s="56" t="inlineStr">
        <is>
          <t>Foshan Appliances</t>
        </is>
      </c>
      <c r="M421" s="56" t="n">
        <v>54.27</v>
      </c>
      <c r="N421" s="56" t="n">
        <v>16.37</v>
      </c>
      <c r="O421" s="56" t="n">
        <v>5.64</v>
      </c>
      <c r="P421" s="56" t="n">
        <v>0.03</v>
      </c>
      <c r="Q421" s="56" t="n">
        <v>6.77</v>
      </c>
      <c r="R421" s="56" t="n">
        <v>1</v>
      </c>
      <c r="S421" s="56">
        <f>IF(AC421="Cancelled",0,M421*R421)</f>
        <v/>
      </c>
      <c r="T421" s="56">
        <f>IF(AC421="Cancelled",0,N421*R421)</f>
        <v/>
      </c>
      <c r="U421" s="56">
        <f>IF(AC421="Cancelled",0,O421*R421)</f>
        <v/>
      </c>
      <c r="V421" s="56">
        <f>IF(AC421="Cancelled",0,ROUND(P421*S421,2))</f>
        <v/>
      </c>
      <c r="W421" s="56" t="inlineStr">
        <is>
          <t>No</t>
        </is>
      </c>
      <c r="X421" s="56" t="n">
        <v>0</v>
      </c>
      <c r="Y421" s="56">
        <f>IF(AC421="Cancelled",0,T421+U421+V421+Q421+X421)</f>
        <v/>
      </c>
      <c r="Z421" s="56">
        <f>IF(AC421="Cancelled",-Q421,S421-Y421)</f>
        <v/>
      </c>
      <c r="AA421" s="56">
        <f>IF(OR(AC421="Cancelled",S421=0),0,Z421/S421)</f>
        <v/>
      </c>
      <c r="AB421" s="56">
        <f>IFERROR(IF(Q421=0,0,S421/Q421),0)</f>
        <v/>
      </c>
      <c r="AC421" s="56" t="inlineStr">
        <is>
          <t>Delivered</t>
        </is>
      </c>
      <c r="AD421" s="56">
        <f>IF(Z421&lt;=0,"Low Profit",IF(Z421&gt;=50,"HighProfit","Medium Profit"))</f>
        <v/>
      </c>
      <c r="AE421" s="56">
        <f>TEXT(B421,"mmmm")</f>
        <v/>
      </c>
    </row>
    <row r="422" ht="14.25" customHeight="1" s="57">
      <c r="A422" s="56" t="inlineStr">
        <is>
          <t>ORD-00066</t>
        </is>
      </c>
      <c r="B422" s="116" t="n">
        <v>46068</v>
      </c>
      <c r="C422" s="56" t="n">
        <v>2026</v>
      </c>
      <c r="D422" s="56" t="n">
        <v>2</v>
      </c>
      <c r="E422" s="56" t="inlineStr">
        <is>
          <t>UAE</t>
        </is>
      </c>
      <c r="F422" s="56" t="inlineStr">
        <is>
          <t>Dubai</t>
        </is>
      </c>
      <c r="G422" s="56" t="inlineStr">
        <is>
          <t>Influencer</t>
        </is>
      </c>
      <c r="H422" s="56" t="inlineStr">
        <is>
          <t>New Creative A/B</t>
        </is>
      </c>
      <c r="I422" s="56" t="inlineStr">
        <is>
          <t>P010</t>
        </is>
      </c>
      <c r="J422" s="56" t="inlineStr">
        <is>
          <t>Smart Water Bottle</t>
        </is>
      </c>
      <c r="K422" s="56" t="inlineStr">
        <is>
          <t>Lifestyle</t>
        </is>
      </c>
      <c r="L422" s="56" t="inlineStr">
        <is>
          <t>Shenzhen Smart Home</t>
        </is>
      </c>
      <c r="M422" s="56" t="n">
        <v>35.47</v>
      </c>
      <c r="N422" s="56" t="n">
        <v>9.75</v>
      </c>
      <c r="O422" s="56" t="n">
        <v>4.32</v>
      </c>
      <c r="P422" s="56" t="n">
        <v>0.03</v>
      </c>
      <c r="Q422" s="56" t="n">
        <v>21.19</v>
      </c>
      <c r="R422" s="56" t="n">
        <v>3</v>
      </c>
      <c r="S422" s="56">
        <f>IF(AC422="Cancelled",0,M422*R422)</f>
        <v/>
      </c>
      <c r="T422" s="56">
        <f>IF(AC422="Cancelled",0,N422*R422)</f>
        <v/>
      </c>
      <c r="U422" s="56">
        <f>IF(AC422="Cancelled",0,O422*R422)</f>
        <v/>
      </c>
      <c r="V422" s="56">
        <f>IF(AC422="Cancelled",0,ROUND(P422*S422,2))</f>
        <v/>
      </c>
      <c r="W422" s="56" t="inlineStr">
        <is>
          <t>No</t>
        </is>
      </c>
      <c r="X422" s="56" t="n">
        <v>0</v>
      </c>
      <c r="Y422" s="56">
        <f>IF(AC422="Cancelled",0,T422+U422+V422+Q422+X422)</f>
        <v/>
      </c>
      <c r="Z422" s="56">
        <f>IF(AC422="Cancelled",-Q422,S422-Y422)</f>
        <v/>
      </c>
      <c r="AA422" s="56">
        <f>IF(OR(AC422="Cancelled",S422=0),0,Z422/S422)</f>
        <v/>
      </c>
      <c r="AB422" s="56">
        <f>IFERROR(IF(Q422=0,0,S422/Q422),0)</f>
        <v/>
      </c>
      <c r="AC422" s="56" t="inlineStr">
        <is>
          <t>Delivered</t>
        </is>
      </c>
      <c r="AD422" s="56">
        <f>IF(Z422&lt;=0,"Low Profit",IF(Z422&gt;=50,"HighProfit","Medium Profit"))</f>
        <v/>
      </c>
      <c r="AE422" s="56">
        <f>TEXT(B422,"mmmm")</f>
        <v/>
      </c>
    </row>
    <row r="423" ht="14.25" customHeight="1" s="57">
      <c r="A423" s="56" t="inlineStr">
        <is>
          <t>ORD-00416</t>
        </is>
      </c>
      <c r="B423" s="116" t="n">
        <v>46070</v>
      </c>
      <c r="C423" s="56" t="n">
        <v>2026</v>
      </c>
      <c r="D423" s="56" t="n">
        <v>2</v>
      </c>
      <c r="E423" s="56" t="inlineStr">
        <is>
          <t>UAE</t>
        </is>
      </c>
      <c r="F423" s="56" t="inlineStr">
        <is>
          <t>Dubai</t>
        </is>
      </c>
      <c r="G423" s="56" t="inlineStr">
        <is>
          <t>Meta Ads</t>
        </is>
      </c>
      <c r="H423" s="56" t="inlineStr">
        <is>
          <t>Bundle Promo</t>
        </is>
      </c>
      <c r="I423" s="56" t="inlineStr">
        <is>
          <t>P008</t>
        </is>
      </c>
      <c r="J423" s="56" t="inlineStr">
        <is>
          <t>Portable Blender</t>
        </is>
      </c>
      <c r="K423" s="56" t="inlineStr">
        <is>
          <t>Kitchen</t>
        </is>
      </c>
      <c r="L423" s="56" t="inlineStr">
        <is>
          <t>Foshan Appliances</t>
        </is>
      </c>
      <c r="M423" s="56" t="n">
        <v>54.78</v>
      </c>
      <c r="N423" s="56" t="n">
        <v>15.4</v>
      </c>
      <c r="O423" s="56" t="n">
        <v>5.62</v>
      </c>
      <c r="P423" s="56" t="n">
        <v>0.03</v>
      </c>
      <c r="Q423" s="56" t="n">
        <v>6.27</v>
      </c>
      <c r="R423" s="56" t="n">
        <v>1</v>
      </c>
      <c r="S423" s="56">
        <f>IF(AC423="Cancelled",0,M423*R423)</f>
        <v/>
      </c>
      <c r="T423" s="56">
        <f>IF(AC423="Cancelled",0,N423*R423)</f>
        <v/>
      </c>
      <c r="U423" s="56">
        <f>IF(AC423="Cancelled",0,O423*R423)</f>
        <v/>
      </c>
      <c r="V423" s="56">
        <f>IF(AC423="Cancelled",0,ROUND(P423*S423,2))</f>
        <v/>
      </c>
      <c r="W423" s="56" t="inlineStr">
        <is>
          <t>No</t>
        </is>
      </c>
      <c r="X423" s="56" t="n">
        <v>0</v>
      </c>
      <c r="Y423" s="56">
        <f>IF(AC423="Cancelled",0,T423+U423+V423+Q423+X423)</f>
        <v/>
      </c>
      <c r="Z423" s="56">
        <f>IF(AC423="Cancelled",-Q423,S423-Y423)</f>
        <v/>
      </c>
      <c r="AA423" s="56">
        <f>IF(OR(AC423="Cancelled",S423=0),0,Z423/S423)</f>
        <v/>
      </c>
      <c r="AB423" s="56">
        <f>IFERROR(IF(Q423=0,0,S423/Q423),0)</f>
        <v/>
      </c>
      <c r="AC423" s="56" t="inlineStr">
        <is>
          <t>Delivered</t>
        </is>
      </c>
      <c r="AD423" s="56">
        <f>IF(Z423&lt;=0,"Low Profit",IF(Z423&gt;=50,"HighProfit","Medium Profit"))</f>
        <v/>
      </c>
      <c r="AE423" s="56">
        <f>TEXT(B423,"mmmm")</f>
        <v/>
      </c>
    </row>
    <row r="424" ht="14.25" customHeight="1" s="57">
      <c r="A424" s="56" t="inlineStr">
        <is>
          <t>ORD-00048</t>
        </is>
      </c>
      <c r="B424" s="116" t="n">
        <v>46071</v>
      </c>
      <c r="C424" s="56" t="n">
        <v>2026</v>
      </c>
      <c r="D424" s="56" t="n">
        <v>2</v>
      </c>
      <c r="E424" s="56" t="inlineStr">
        <is>
          <t>Saudi Arabia</t>
        </is>
      </c>
      <c r="F424" s="56" t="inlineStr">
        <is>
          <t>Jeddah</t>
        </is>
      </c>
      <c r="G424" s="56" t="inlineStr">
        <is>
          <t>TikTok Ads</t>
        </is>
      </c>
      <c r="H424" s="56" t="inlineStr">
        <is>
          <t>Retargeting</t>
        </is>
      </c>
      <c r="I424" s="56" t="inlineStr">
        <is>
          <t>P008</t>
        </is>
      </c>
      <c r="J424" s="56" t="inlineStr">
        <is>
          <t>Portable Blender</t>
        </is>
      </c>
      <c r="K424" s="56" t="inlineStr">
        <is>
          <t>Kitchen</t>
        </is>
      </c>
      <c r="L424" s="56" t="inlineStr">
        <is>
          <t>Foshan Appliances</t>
        </is>
      </c>
      <c r="M424" s="56" t="n">
        <v>51.92</v>
      </c>
      <c r="N424" s="56" t="n">
        <v>16.33</v>
      </c>
      <c r="O424" s="56" t="n">
        <v>6.21</v>
      </c>
      <c r="P424" s="56" t="n">
        <v>0.03</v>
      </c>
      <c r="Q424" s="56" t="n">
        <v>14.94</v>
      </c>
      <c r="R424" s="56" t="n">
        <v>2</v>
      </c>
      <c r="S424" s="56">
        <f>IF(AC424="Cancelled",0,M424*R424)</f>
        <v/>
      </c>
      <c r="T424" s="56">
        <f>IF(AC424="Cancelled",0,N424*R424)</f>
        <v/>
      </c>
      <c r="U424" s="56">
        <f>IF(AC424="Cancelled",0,O424*R424)</f>
        <v/>
      </c>
      <c r="V424" s="56">
        <f>IF(AC424="Cancelled",0,ROUND(P424*S424,2))</f>
        <v/>
      </c>
      <c r="W424" s="56" t="inlineStr">
        <is>
          <t>No</t>
        </is>
      </c>
      <c r="X424" s="56" t="n">
        <v>0</v>
      </c>
      <c r="Y424" s="56">
        <f>IF(AC424="Cancelled",0,T424+U424+V424+Q424+X424)</f>
        <v/>
      </c>
      <c r="Z424" s="56">
        <f>IF(AC424="Cancelled",-Q424,S424-Y424)</f>
        <v/>
      </c>
      <c r="AA424" s="56">
        <f>IF(OR(AC424="Cancelled",S424=0),0,Z424/S424)</f>
        <v/>
      </c>
      <c r="AB424" s="56">
        <f>IFERROR(IF(Q424=0,0,S424/Q424),0)</f>
        <v/>
      </c>
      <c r="AC424" s="56" t="inlineStr">
        <is>
          <t>Delivered</t>
        </is>
      </c>
      <c r="AD424" s="56">
        <f>IF(Z424&lt;=0,"Low Profit",IF(Z424&gt;=50,"HighProfit","Medium Profit"))</f>
        <v/>
      </c>
      <c r="AE424" s="56">
        <f>TEXT(B424,"mmmm")</f>
        <v/>
      </c>
    </row>
    <row r="425" ht="14.25" customHeight="1" s="57">
      <c r="A425" s="56" t="inlineStr">
        <is>
          <t>ORD-00271</t>
        </is>
      </c>
      <c r="B425" s="116" t="n">
        <v>46071</v>
      </c>
      <c r="C425" s="56" t="n">
        <v>2026</v>
      </c>
      <c r="D425" s="56" t="n">
        <v>2</v>
      </c>
      <c r="E425" s="56" t="inlineStr">
        <is>
          <t>UAE</t>
        </is>
      </c>
      <c r="F425" s="56" t="inlineStr">
        <is>
          <t>Abu Dhabi</t>
        </is>
      </c>
      <c r="G425" s="56" t="inlineStr">
        <is>
          <t>Meta Ads</t>
        </is>
      </c>
      <c r="H425" s="56" t="inlineStr">
        <is>
          <t>New Creative A/B</t>
        </is>
      </c>
      <c r="I425" s="56" t="inlineStr">
        <is>
          <t>P003</t>
        </is>
      </c>
      <c r="J425" s="56" t="inlineStr">
        <is>
          <t>LED Strip Lights</t>
        </is>
      </c>
      <c r="K425" s="56" t="inlineStr">
        <is>
          <t>Home Decor</t>
        </is>
      </c>
      <c r="L425" s="56" t="inlineStr">
        <is>
          <t>Yiwu Lighting Factory</t>
        </is>
      </c>
      <c r="M425" s="56" t="n">
        <v>25.93</v>
      </c>
      <c r="N425" s="56" t="n">
        <v>5.75</v>
      </c>
      <c r="O425" s="56" t="n">
        <v>3.77</v>
      </c>
      <c r="P425" s="56" t="n">
        <v>0.03</v>
      </c>
      <c r="Q425" s="56" t="n">
        <v>5.08</v>
      </c>
      <c r="R425" s="56" t="n">
        <v>1</v>
      </c>
      <c r="S425" s="56">
        <f>IF(AC425="Cancelled",0,M425*R425)</f>
        <v/>
      </c>
      <c r="T425" s="56">
        <f>IF(AC425="Cancelled",0,N425*R425)</f>
        <v/>
      </c>
      <c r="U425" s="56">
        <f>IF(AC425="Cancelled",0,O425*R425)</f>
        <v/>
      </c>
      <c r="V425" s="56">
        <f>IF(AC425="Cancelled",0,ROUND(P425*S425,2))</f>
        <v/>
      </c>
      <c r="W425" s="56" t="inlineStr">
        <is>
          <t>No</t>
        </is>
      </c>
      <c r="X425" s="56" t="n">
        <v>0</v>
      </c>
      <c r="Y425" s="56">
        <f>IF(AC425="Cancelled",0,T425+U425+V425+Q425+X425)</f>
        <v/>
      </c>
      <c r="Z425" s="56">
        <f>IF(AC425="Cancelled",-Q425,S425-Y425)</f>
        <v/>
      </c>
      <c r="AA425" s="56">
        <f>IF(OR(AC425="Cancelled",S425=0),0,Z425/S425)</f>
        <v/>
      </c>
      <c r="AB425" s="56">
        <f>IFERROR(IF(Q425=0,0,S425/Q425),0)</f>
        <v/>
      </c>
      <c r="AC425" s="56" t="inlineStr">
        <is>
          <t>Delivered</t>
        </is>
      </c>
      <c r="AD425" s="56">
        <f>IF(Z425&lt;=0,"Low Profit",IF(Z425&gt;=50,"HighProfit","Medium Profit"))</f>
        <v/>
      </c>
      <c r="AE425" s="56">
        <f>TEXT(B425,"mmmm")</f>
        <v/>
      </c>
    </row>
    <row r="426" ht="14.25" customHeight="1" s="57">
      <c r="A426" s="56" t="inlineStr">
        <is>
          <t>ORD-00420</t>
        </is>
      </c>
      <c r="B426" s="116" t="n">
        <v>46071</v>
      </c>
      <c r="C426" s="56" t="n">
        <v>2026</v>
      </c>
      <c r="D426" s="56" t="n">
        <v>2</v>
      </c>
      <c r="E426" s="56" t="inlineStr">
        <is>
          <t>Saudi Arabia</t>
        </is>
      </c>
      <c r="F426" s="56" t="inlineStr">
        <is>
          <t>Jeddah</t>
        </is>
      </c>
      <c r="G426" s="56" t="inlineStr">
        <is>
          <t>Google Ads</t>
        </is>
      </c>
      <c r="H426" s="56" t="inlineStr">
        <is>
          <t>Launch Test</t>
        </is>
      </c>
      <c r="I426" s="56" t="inlineStr">
        <is>
          <t>P001</t>
        </is>
      </c>
      <c r="J426" s="56" t="inlineStr">
        <is>
          <t>Wireless Earbuds</t>
        </is>
      </c>
      <c r="K426" s="56" t="inlineStr">
        <is>
          <t>Electronics</t>
        </is>
      </c>
      <c r="L426" s="56" t="inlineStr">
        <is>
          <t>Shenzhen Audio Co.</t>
        </is>
      </c>
      <c r="M426" s="56" t="n">
        <v>40.53</v>
      </c>
      <c r="N426" s="56" t="n">
        <v>8.359999999999999</v>
      </c>
      <c r="O426" s="56" t="n">
        <v>3.78</v>
      </c>
      <c r="P426" s="56" t="n">
        <v>0.03</v>
      </c>
      <c r="Q426" s="56" t="n">
        <v>4.65</v>
      </c>
      <c r="R426" s="56" t="n">
        <v>1</v>
      </c>
      <c r="S426" s="56">
        <f>IF(AC426="Cancelled",0,M426*R426)</f>
        <v/>
      </c>
      <c r="T426" s="56">
        <f>IF(AC426="Cancelled",0,N426*R426)</f>
        <v/>
      </c>
      <c r="U426" s="56">
        <f>IF(AC426="Cancelled",0,O426*R426)</f>
        <v/>
      </c>
      <c r="V426" s="56">
        <f>IF(AC426="Cancelled",0,ROUND(P426*S426,2))</f>
        <v/>
      </c>
      <c r="W426" s="56" t="inlineStr">
        <is>
          <t>Yes</t>
        </is>
      </c>
      <c r="X426" s="56" t="n">
        <v>32.78</v>
      </c>
      <c r="Y426" s="56">
        <f>IF(AC426="Cancelled",0,T426+U426+V426+Q426+X426)</f>
        <v/>
      </c>
      <c r="Z426" s="56">
        <f>IF(AC426="Cancelled",-Q426,S426-Y426)</f>
        <v/>
      </c>
      <c r="AA426" s="56">
        <f>IF(OR(AC426="Cancelled",S426=0),0,Z426/S426)</f>
        <v/>
      </c>
      <c r="AB426" s="56">
        <f>IFERROR(IF(Q426=0,0,S426/Q426),0)</f>
        <v/>
      </c>
      <c r="AC426" s="56" t="inlineStr">
        <is>
          <t>Refunded</t>
        </is>
      </c>
      <c r="AD426" s="56">
        <f>IF(Z426&lt;=0,"Low Profit",IF(Z426&gt;=50,"HighProfit","Medium Profit"))</f>
        <v/>
      </c>
      <c r="AE426" s="56">
        <f>TEXT(B426,"mmmm")</f>
        <v/>
      </c>
    </row>
    <row r="427" ht="14.25" customHeight="1" s="57">
      <c r="A427" s="56" t="inlineStr">
        <is>
          <t>ORD-00041</t>
        </is>
      </c>
      <c r="B427" s="116" t="n">
        <v>46072</v>
      </c>
      <c r="C427" s="56" t="n">
        <v>2026</v>
      </c>
      <c r="D427" s="56" t="n">
        <v>2</v>
      </c>
      <c r="E427" s="56" t="inlineStr">
        <is>
          <t>Saudi Arabia</t>
        </is>
      </c>
      <c r="F427" s="56" t="inlineStr">
        <is>
          <t>Jeddah</t>
        </is>
      </c>
      <c r="G427" s="56" t="inlineStr">
        <is>
          <t>Google Ads</t>
        </is>
      </c>
      <c r="H427" s="56" t="inlineStr">
        <is>
          <t>New Creative A/B</t>
        </is>
      </c>
      <c r="I427" s="56" t="inlineStr">
        <is>
          <t>P001</t>
        </is>
      </c>
      <c r="J427" s="56" t="inlineStr">
        <is>
          <t>Wireless Earbuds</t>
        </is>
      </c>
      <c r="K427" s="56" t="inlineStr">
        <is>
          <t>Electronics</t>
        </is>
      </c>
      <c r="L427" s="56" t="inlineStr">
        <is>
          <t>Shenzhen Audio Co.</t>
        </is>
      </c>
      <c r="M427" s="56" t="n">
        <v>39.75</v>
      </c>
      <c r="N427" s="56" t="n">
        <v>8.640000000000001</v>
      </c>
      <c r="O427" s="56" t="n">
        <v>4.31</v>
      </c>
      <c r="P427" s="56" t="n">
        <v>0.03</v>
      </c>
      <c r="Q427" s="56" t="n">
        <v>14.04</v>
      </c>
      <c r="R427" s="56" t="n">
        <v>2</v>
      </c>
      <c r="S427" s="56">
        <f>IF(AC427="Cancelled",0,M427*R427)</f>
        <v/>
      </c>
      <c r="T427" s="56">
        <f>IF(AC427="Cancelled",0,N427*R427)</f>
        <v/>
      </c>
      <c r="U427" s="56">
        <f>IF(AC427="Cancelled",0,O427*R427)</f>
        <v/>
      </c>
      <c r="V427" s="56">
        <f>IF(AC427="Cancelled",0,ROUND(P427*S427,2))</f>
        <v/>
      </c>
      <c r="W427" s="56" t="inlineStr">
        <is>
          <t>No</t>
        </is>
      </c>
      <c r="X427" s="56" t="n">
        <v>0</v>
      </c>
      <c r="Y427" s="56">
        <f>IF(AC427="Cancelled",0,T427+U427+V427+Q427+X427)</f>
        <v/>
      </c>
      <c r="Z427" s="56">
        <f>IF(AC427="Cancelled",-Q427,S427-Y427)</f>
        <v/>
      </c>
      <c r="AA427" s="56">
        <f>IF(OR(AC427="Cancelled",S427=0),0,Z427/S427)</f>
        <v/>
      </c>
      <c r="AB427" s="56">
        <f>IFERROR(IF(Q427=0,0,S427/Q427),0)</f>
        <v/>
      </c>
      <c r="AC427" s="56" t="inlineStr">
        <is>
          <t>Delivered</t>
        </is>
      </c>
      <c r="AD427" s="56">
        <f>IF(Z427&lt;=0,"Low Profit",IF(Z427&gt;=50,"HighProfit","Medium Profit"))</f>
        <v/>
      </c>
      <c r="AE427" s="56">
        <f>TEXT(B427,"mmmm")</f>
        <v/>
      </c>
    </row>
    <row r="428" ht="14.25" customHeight="1" s="57">
      <c r="A428" s="56" t="inlineStr">
        <is>
          <t>ORD-00353</t>
        </is>
      </c>
      <c r="B428" s="116" t="n">
        <v>46072</v>
      </c>
      <c r="C428" s="56" t="n">
        <v>2026</v>
      </c>
      <c r="D428" s="56" t="n">
        <v>2</v>
      </c>
      <c r="E428" s="56" t="inlineStr">
        <is>
          <t>Kuwait</t>
        </is>
      </c>
      <c r="F428" s="56" t="inlineStr">
        <is>
          <t>Kuwait City</t>
        </is>
      </c>
      <c r="G428" s="56" t="inlineStr">
        <is>
          <t>Google Ads</t>
        </is>
      </c>
      <c r="H428" s="56" t="inlineStr">
        <is>
          <t>Summer Sale</t>
        </is>
      </c>
      <c r="I428" s="56" t="inlineStr">
        <is>
          <t>P005</t>
        </is>
      </c>
      <c r="J428" s="56" t="inlineStr">
        <is>
          <t>Mini Printer</t>
        </is>
      </c>
      <c r="K428" s="56" t="inlineStr">
        <is>
          <t>Electronics</t>
        </is>
      </c>
      <c r="L428" s="56" t="inlineStr">
        <is>
          <t>Shenzhen Print Tech</t>
        </is>
      </c>
      <c r="M428" s="56" t="n">
        <v>63.64</v>
      </c>
      <c r="N428" s="56" t="n">
        <v>21.3</v>
      </c>
      <c r="O428" s="56" t="n">
        <v>7.99</v>
      </c>
      <c r="P428" s="56" t="n">
        <v>0.03</v>
      </c>
      <c r="Q428" s="56" t="n">
        <v>1.03</v>
      </c>
      <c r="R428" s="56" t="n">
        <v>1</v>
      </c>
      <c r="S428" s="56">
        <f>IF(AC428="Cancelled",0,M428*R428)</f>
        <v/>
      </c>
      <c r="T428" s="56">
        <f>IF(AC428="Cancelled",0,N428*R428)</f>
        <v/>
      </c>
      <c r="U428" s="56">
        <f>IF(AC428="Cancelled",0,O428*R428)</f>
        <v/>
      </c>
      <c r="V428" s="56">
        <f>IF(AC428="Cancelled",0,ROUND(P428*S428,2))</f>
        <v/>
      </c>
      <c r="W428" s="56" t="inlineStr">
        <is>
          <t>No</t>
        </is>
      </c>
      <c r="X428" s="56" t="n">
        <v>0</v>
      </c>
      <c r="Y428" s="56">
        <f>IF(AC428="Cancelled",0,T428+U428+V428+Q428+X428)</f>
        <v/>
      </c>
      <c r="Z428" s="56">
        <f>IF(AC428="Cancelled",-Q428,S428-Y428)</f>
        <v/>
      </c>
      <c r="AA428" s="56">
        <f>IF(OR(AC428="Cancelled",S428=0),0,Z428/S428)</f>
        <v/>
      </c>
      <c r="AB428" s="56">
        <f>IFERROR(IF(Q428=0,0,S428/Q428),0)</f>
        <v/>
      </c>
      <c r="AC428" s="56" t="inlineStr">
        <is>
          <t>Delivered</t>
        </is>
      </c>
      <c r="AD428" s="56">
        <f>IF(Z428&lt;=0,"Low Profit",IF(Z428&gt;=50,"HighProfit","Medium Profit"))</f>
        <v/>
      </c>
      <c r="AE428" s="56">
        <f>TEXT(B428,"mmmm")</f>
        <v/>
      </c>
    </row>
    <row r="429" ht="14.25" customHeight="1" s="57">
      <c r="A429" s="56" t="inlineStr">
        <is>
          <t>ORD-00098</t>
        </is>
      </c>
      <c r="B429" s="116" t="n">
        <v>46073</v>
      </c>
      <c r="C429" s="56" t="n">
        <v>2026</v>
      </c>
      <c r="D429" s="56" t="n">
        <v>2</v>
      </c>
      <c r="E429" s="56" t="inlineStr">
        <is>
          <t>Kuwait</t>
        </is>
      </c>
      <c r="F429" s="56" t="inlineStr">
        <is>
          <t>Kuwait City</t>
        </is>
      </c>
      <c r="G429" s="56" t="inlineStr">
        <is>
          <t>Influencer</t>
        </is>
      </c>
      <c r="H429" s="56" t="inlineStr">
        <is>
          <t>New Creative A/B</t>
        </is>
      </c>
      <c r="I429" s="56" t="inlineStr">
        <is>
          <t>P002</t>
        </is>
      </c>
      <c r="J429" s="56" t="inlineStr">
        <is>
          <t>Phone Case</t>
        </is>
      </c>
      <c r="K429" s="56" t="inlineStr">
        <is>
          <t>Accessories</t>
        </is>
      </c>
      <c r="L429" s="56" t="inlineStr">
        <is>
          <t>Guangzhou Cases Ltd.</t>
        </is>
      </c>
      <c r="M429" s="56" t="n">
        <v>13.65</v>
      </c>
      <c r="N429" s="56" t="n">
        <v>1.92</v>
      </c>
      <c r="O429" s="56" t="n">
        <v>1.99</v>
      </c>
      <c r="P429" s="56" t="n">
        <v>0.03</v>
      </c>
      <c r="Q429" s="56" t="n">
        <v>7.38</v>
      </c>
      <c r="R429" s="56" t="n">
        <v>1</v>
      </c>
      <c r="S429" s="56">
        <f>IF(AC429="Cancelled",0,M429*R429)</f>
        <v/>
      </c>
      <c r="T429" s="56">
        <f>IF(AC429="Cancelled",0,N429*R429)</f>
        <v/>
      </c>
      <c r="U429" s="56">
        <f>IF(AC429="Cancelled",0,O429*R429)</f>
        <v/>
      </c>
      <c r="V429" s="56">
        <f>IF(AC429="Cancelled",0,ROUND(P429*S429,2))</f>
        <v/>
      </c>
      <c r="W429" s="56" t="inlineStr">
        <is>
          <t>No</t>
        </is>
      </c>
      <c r="X429" s="56" t="n">
        <v>0</v>
      </c>
      <c r="Y429" s="56">
        <f>IF(AC429="Cancelled",0,T429+U429+V429+Q429+X429)</f>
        <v/>
      </c>
      <c r="Z429" s="56">
        <f>IF(AC429="Cancelled",-Q429,S429-Y429)</f>
        <v/>
      </c>
      <c r="AA429" s="56">
        <f>IF(OR(AC429="Cancelled",S429=0),0,Z429/S429)</f>
        <v/>
      </c>
      <c r="AB429" s="56">
        <f>IFERROR(IF(Q429=0,0,S429/Q429),0)</f>
        <v/>
      </c>
      <c r="AC429" s="56" t="inlineStr">
        <is>
          <t>Delivered</t>
        </is>
      </c>
      <c r="AD429" s="56">
        <f>IF(Z429&lt;=0,"Low Profit",IF(Z429&gt;=50,"HighProfit","Medium Profit"))</f>
        <v/>
      </c>
      <c r="AE429" s="56">
        <f>TEXT(B429,"mmmm")</f>
        <v/>
      </c>
    </row>
    <row r="430" ht="14.25" customHeight="1" s="57">
      <c r="A430" s="56" t="inlineStr">
        <is>
          <t>ORD-00473</t>
        </is>
      </c>
      <c r="B430" s="116" t="n">
        <v>46073</v>
      </c>
      <c r="C430" s="56" t="n">
        <v>2026</v>
      </c>
      <c r="D430" s="56" t="n">
        <v>2</v>
      </c>
      <c r="E430" s="56" t="inlineStr">
        <is>
          <t>Saudi Arabia</t>
        </is>
      </c>
      <c r="F430" s="56" t="inlineStr">
        <is>
          <t>Jeddah</t>
        </is>
      </c>
      <c r="G430" s="56" t="inlineStr">
        <is>
          <t>TikTok Ads</t>
        </is>
      </c>
      <c r="H430" s="56" t="inlineStr">
        <is>
          <t>Retargeting</t>
        </is>
      </c>
      <c r="I430" s="56" t="inlineStr">
        <is>
          <t>P007</t>
        </is>
      </c>
      <c r="J430" s="56" t="inlineStr">
        <is>
          <t>Pet Grooming Glove</t>
        </is>
      </c>
      <c r="K430" s="56" t="inlineStr">
        <is>
          <t>Pets</t>
        </is>
      </c>
      <c r="L430" s="56" t="inlineStr">
        <is>
          <t>Yiwu Pet Products</t>
        </is>
      </c>
      <c r="M430" s="56" t="n">
        <v>19.09</v>
      </c>
      <c r="N430" s="56" t="n">
        <v>3.69</v>
      </c>
      <c r="O430" s="56" t="n">
        <v>2.44</v>
      </c>
      <c r="P430" s="56" t="n">
        <v>0.03</v>
      </c>
      <c r="Q430" s="56" t="n">
        <v>18.17</v>
      </c>
      <c r="R430" s="56" t="n">
        <v>2</v>
      </c>
      <c r="S430" s="56">
        <f>IF(AC430="Cancelled",0,M430*R430)</f>
        <v/>
      </c>
      <c r="T430" s="56">
        <f>IF(AC430="Cancelled",0,N430*R430)</f>
        <v/>
      </c>
      <c r="U430" s="56">
        <f>IF(AC430="Cancelled",0,O430*R430)</f>
        <v/>
      </c>
      <c r="V430" s="56">
        <f>IF(AC430="Cancelled",0,ROUND(P430*S430,2))</f>
        <v/>
      </c>
      <c r="W430" s="56" t="inlineStr">
        <is>
          <t>No</t>
        </is>
      </c>
      <c r="X430" s="56" t="n">
        <v>0</v>
      </c>
      <c r="Y430" s="56">
        <f>IF(AC430="Cancelled",0,T430+U430+V430+Q430+X430)</f>
        <v/>
      </c>
      <c r="Z430" s="56">
        <f>IF(AC430="Cancelled",-Q430,S430-Y430)</f>
        <v/>
      </c>
      <c r="AA430" s="56">
        <f>IF(OR(AC430="Cancelled",S430=0),0,Z430/S430)</f>
        <v/>
      </c>
      <c r="AB430" s="56">
        <f>IFERROR(IF(Q430=0,0,S430/Q430),0)</f>
        <v/>
      </c>
      <c r="AC430" s="56" t="inlineStr">
        <is>
          <t>Delivered</t>
        </is>
      </c>
      <c r="AD430" s="56">
        <f>IF(Z430&lt;=0,"Low Profit",IF(Z430&gt;=50,"HighProfit","Medium Profit"))</f>
        <v/>
      </c>
      <c r="AE430" s="56">
        <f>TEXT(B430,"mmmm")</f>
        <v/>
      </c>
    </row>
    <row r="431" ht="14.25" customHeight="1" s="57">
      <c r="A431" s="56" t="inlineStr">
        <is>
          <t>ORD-00304</t>
        </is>
      </c>
      <c r="B431" s="116" t="n">
        <v>46074</v>
      </c>
      <c r="C431" s="56" t="n">
        <v>2026</v>
      </c>
      <c r="D431" s="56" t="n">
        <v>2</v>
      </c>
      <c r="E431" s="56" t="inlineStr">
        <is>
          <t>Saudi Arabia</t>
        </is>
      </c>
      <c r="F431" s="56" t="inlineStr">
        <is>
          <t>Riyadh</t>
        </is>
      </c>
      <c r="G431" s="56" t="inlineStr">
        <is>
          <t>Organic Search</t>
        </is>
      </c>
      <c r="H431" s="56" t="inlineStr">
        <is>
          <t>Summer Sale</t>
        </is>
      </c>
      <c r="I431" s="56" t="inlineStr">
        <is>
          <t>P010</t>
        </is>
      </c>
      <c r="J431" s="56" t="inlineStr">
        <is>
          <t>Smart Water Bottle</t>
        </is>
      </c>
      <c r="K431" s="56" t="inlineStr">
        <is>
          <t>Lifestyle</t>
        </is>
      </c>
      <c r="L431" s="56" t="inlineStr">
        <is>
          <t>Shenzhen Smart Home</t>
        </is>
      </c>
      <c r="M431" s="56" t="n">
        <v>36.67</v>
      </c>
      <c r="N431" s="56" t="n">
        <v>9.539999999999999</v>
      </c>
      <c r="O431" s="56" t="n">
        <v>4.49</v>
      </c>
      <c r="P431" s="56" t="n">
        <v>0.03</v>
      </c>
      <c r="Q431" s="56" t="n">
        <v>0</v>
      </c>
      <c r="R431" s="56" t="n">
        <v>3</v>
      </c>
      <c r="S431" s="56">
        <f>IF(AC431="Cancelled",0,M431*R431)</f>
        <v/>
      </c>
      <c r="T431" s="56">
        <f>IF(AC431="Cancelled",0,N431*R431)</f>
        <v/>
      </c>
      <c r="U431" s="56">
        <f>IF(AC431="Cancelled",0,O431*R431)</f>
        <v/>
      </c>
      <c r="V431" s="56">
        <f>IF(AC431="Cancelled",0,ROUND(P431*S431,2))</f>
        <v/>
      </c>
      <c r="W431" s="56" t="inlineStr">
        <is>
          <t>No</t>
        </is>
      </c>
      <c r="X431" s="56" t="n">
        <v>0</v>
      </c>
      <c r="Y431" s="56">
        <f>IF(AC431="Cancelled",0,T431+U431+V431+Q431+X431)</f>
        <v/>
      </c>
      <c r="Z431" s="56">
        <f>IF(AC431="Cancelled",-Q431,S431-Y431)</f>
        <v/>
      </c>
      <c r="AA431" s="56">
        <f>IF(OR(AC431="Cancelled",S431=0),0,Z431/S431)</f>
        <v/>
      </c>
      <c r="AB431" s="56">
        <f>IFERROR(IF(Q431=0,0,S431/Q431),0)</f>
        <v/>
      </c>
      <c r="AC431" s="56" t="inlineStr">
        <is>
          <t>Delivered</t>
        </is>
      </c>
      <c r="AD431" s="56">
        <f>IF(Z431&lt;=0,"Low Profit",IF(Z431&gt;=50,"HighProfit","Medium Profit"))</f>
        <v/>
      </c>
      <c r="AE431" s="56">
        <f>TEXT(B431,"mmmm")</f>
        <v/>
      </c>
    </row>
    <row r="432" ht="14.25" customHeight="1" s="57">
      <c r="A432" s="56" t="inlineStr">
        <is>
          <t>ORD-00131</t>
        </is>
      </c>
      <c r="B432" s="116" t="n">
        <v>46075</v>
      </c>
      <c r="C432" s="56" t="n">
        <v>2026</v>
      </c>
      <c r="D432" s="56" t="n">
        <v>2</v>
      </c>
      <c r="E432" s="56" t="inlineStr">
        <is>
          <t>UAE</t>
        </is>
      </c>
      <c r="F432" s="56" t="inlineStr">
        <is>
          <t>Dubai</t>
        </is>
      </c>
      <c r="G432" s="56" t="inlineStr">
        <is>
          <t>Google Ads</t>
        </is>
      </c>
      <c r="H432" s="56" t="inlineStr">
        <is>
          <t>Launch Test</t>
        </is>
      </c>
      <c r="I432" s="56" t="inlineStr">
        <is>
          <t>P004</t>
        </is>
      </c>
      <c r="J432" s="56" t="inlineStr">
        <is>
          <t>Beauty Tool</t>
        </is>
      </c>
      <c r="K432" s="56" t="inlineStr">
        <is>
          <t>Beauty</t>
        </is>
      </c>
      <c r="L432" s="56" t="inlineStr">
        <is>
          <t>Ningbo Beauty Supply</t>
        </is>
      </c>
      <c r="M432" s="56" t="n">
        <v>28.35</v>
      </c>
      <c r="N432" s="56" t="n">
        <v>7.19</v>
      </c>
      <c r="O432" s="56" t="n">
        <v>4.6</v>
      </c>
      <c r="P432" s="56" t="n">
        <v>0.03</v>
      </c>
      <c r="Q432" s="56" t="n">
        <v>18.08</v>
      </c>
      <c r="R432" s="56" t="n">
        <v>2</v>
      </c>
      <c r="S432" s="56">
        <f>IF(AC432="Cancelled",0,M432*R432)</f>
        <v/>
      </c>
      <c r="T432" s="56">
        <f>IF(AC432="Cancelled",0,N432*R432)</f>
        <v/>
      </c>
      <c r="U432" s="56">
        <f>IF(AC432="Cancelled",0,O432*R432)</f>
        <v/>
      </c>
      <c r="V432" s="56">
        <f>IF(AC432="Cancelled",0,ROUND(P432*S432,2))</f>
        <v/>
      </c>
      <c r="W432" s="56" t="inlineStr">
        <is>
          <t>No</t>
        </is>
      </c>
      <c r="X432" s="56" t="n">
        <v>0</v>
      </c>
      <c r="Y432" s="56">
        <f>IF(AC432="Cancelled",0,T432+U432+V432+Q432+X432)</f>
        <v/>
      </c>
      <c r="Z432" s="56">
        <f>IF(AC432="Cancelled",-Q432,S432-Y432)</f>
        <v/>
      </c>
      <c r="AA432" s="56">
        <f>IF(OR(AC432="Cancelled",S432=0),0,Z432/S432)</f>
        <v/>
      </c>
      <c r="AB432" s="56">
        <f>IFERROR(IF(Q432=0,0,S432/Q432),0)</f>
        <v/>
      </c>
      <c r="AC432" s="56" t="inlineStr">
        <is>
          <t>Delivered</t>
        </is>
      </c>
      <c r="AD432" s="56">
        <f>IF(Z432&lt;=0,"Low Profit",IF(Z432&gt;=50,"HighProfit","Medium Profit"))</f>
        <v/>
      </c>
      <c r="AE432" s="56">
        <f>TEXT(B432,"mmmm")</f>
        <v/>
      </c>
    </row>
    <row r="433" ht="14.25" customHeight="1" s="57">
      <c r="A433" s="56" t="inlineStr">
        <is>
          <t>ORD-00239</t>
        </is>
      </c>
      <c r="B433" s="116" t="n">
        <v>46075</v>
      </c>
      <c r="C433" s="56" t="n">
        <v>2026</v>
      </c>
      <c r="D433" s="56" t="n">
        <v>2</v>
      </c>
      <c r="E433" s="56" t="inlineStr">
        <is>
          <t>Kuwait</t>
        </is>
      </c>
      <c r="F433" s="56" t="inlineStr">
        <is>
          <t>Kuwait City</t>
        </is>
      </c>
      <c r="G433" s="56" t="inlineStr">
        <is>
          <t>Meta Ads</t>
        </is>
      </c>
      <c r="H433" s="56" t="inlineStr">
        <is>
          <t>Retargeting</t>
        </is>
      </c>
      <c r="I433" s="56" t="inlineStr">
        <is>
          <t>P005</t>
        </is>
      </c>
      <c r="J433" s="56" t="inlineStr">
        <is>
          <t>Mini Printer</t>
        </is>
      </c>
      <c r="K433" s="56" t="inlineStr">
        <is>
          <t>Electronics</t>
        </is>
      </c>
      <c r="L433" s="56" t="inlineStr">
        <is>
          <t>Shenzhen Print Tech</t>
        </is>
      </c>
      <c r="M433" s="56" t="n">
        <v>66.40000000000001</v>
      </c>
      <c r="N433" s="56" t="n">
        <v>22.96</v>
      </c>
      <c r="O433" s="56" t="n">
        <v>7.46</v>
      </c>
      <c r="P433" s="56" t="n">
        <v>0.03</v>
      </c>
      <c r="Q433" s="56" t="n">
        <v>9</v>
      </c>
      <c r="R433" s="56" t="n">
        <v>1</v>
      </c>
      <c r="S433" s="56">
        <f>IF(AC433="Cancelled",0,M433*R433)</f>
        <v/>
      </c>
      <c r="T433" s="56">
        <f>IF(AC433="Cancelled",0,N433*R433)</f>
        <v/>
      </c>
      <c r="U433" s="56">
        <f>IF(AC433="Cancelled",0,O433*R433)</f>
        <v/>
      </c>
      <c r="V433" s="56">
        <f>IF(AC433="Cancelled",0,ROUND(P433*S433,2))</f>
        <v/>
      </c>
      <c r="W433" s="56" t="inlineStr">
        <is>
          <t>No</t>
        </is>
      </c>
      <c r="X433" s="56" t="n">
        <v>0</v>
      </c>
      <c r="Y433" s="56">
        <f>IF(AC433="Cancelled",0,T433+U433+V433+Q433+X433)</f>
        <v/>
      </c>
      <c r="Z433" s="56">
        <f>IF(AC433="Cancelled",-Q433,S433-Y433)</f>
        <v/>
      </c>
      <c r="AA433" s="56">
        <f>IF(OR(AC433="Cancelled",S433=0),0,Z433/S433)</f>
        <v/>
      </c>
      <c r="AB433" s="56">
        <f>IFERROR(IF(Q433=0,0,S433/Q433),0)</f>
        <v/>
      </c>
      <c r="AC433" s="56" t="inlineStr">
        <is>
          <t>Delivered</t>
        </is>
      </c>
      <c r="AD433" s="56">
        <f>IF(Z433&lt;=0,"Low Profit",IF(Z433&gt;=50,"HighProfit","Medium Profit"))</f>
        <v/>
      </c>
      <c r="AE433" s="56">
        <f>TEXT(B433,"mmmm")</f>
        <v/>
      </c>
    </row>
    <row r="434" ht="14.25" customHeight="1" s="57">
      <c r="A434" s="56" t="inlineStr">
        <is>
          <t>ORD-00349</t>
        </is>
      </c>
      <c r="B434" s="116" t="n">
        <v>46075</v>
      </c>
      <c r="C434" s="56" t="n">
        <v>2026</v>
      </c>
      <c r="D434" s="56" t="n">
        <v>2</v>
      </c>
      <c r="E434" s="56" t="inlineStr">
        <is>
          <t>UAE</t>
        </is>
      </c>
      <c r="F434" s="56" t="inlineStr">
        <is>
          <t>Sharjah</t>
        </is>
      </c>
      <c r="G434" s="56" t="inlineStr">
        <is>
          <t>Email</t>
        </is>
      </c>
      <c r="H434" s="56" t="inlineStr">
        <is>
          <t>Retargeting</t>
        </is>
      </c>
      <c r="I434" s="56" t="inlineStr">
        <is>
          <t>P007</t>
        </is>
      </c>
      <c r="J434" s="56" t="inlineStr">
        <is>
          <t>Pet Grooming Glove</t>
        </is>
      </c>
      <c r="K434" s="56" t="inlineStr">
        <is>
          <t>Pets</t>
        </is>
      </c>
      <c r="L434" s="56" t="inlineStr">
        <is>
          <t>Yiwu Pet Products</t>
        </is>
      </c>
      <c r="M434" s="56" t="n">
        <v>20.88</v>
      </c>
      <c r="N434" s="56" t="n">
        <v>3.49</v>
      </c>
      <c r="O434" s="56" t="n">
        <v>2.84</v>
      </c>
      <c r="P434" s="56" t="n">
        <v>0.03</v>
      </c>
      <c r="Q434" s="56" t="n">
        <v>19.99</v>
      </c>
      <c r="R434" s="56" t="n">
        <v>2</v>
      </c>
      <c r="S434" s="56">
        <f>IF(AC434="Cancelled",0,M434*R434)</f>
        <v/>
      </c>
      <c r="T434" s="56">
        <f>IF(AC434="Cancelled",0,N434*R434)</f>
        <v/>
      </c>
      <c r="U434" s="56">
        <f>IF(AC434="Cancelled",0,O434*R434)</f>
        <v/>
      </c>
      <c r="V434" s="56">
        <f>IF(AC434="Cancelled",0,ROUND(P434*S434,2))</f>
        <v/>
      </c>
      <c r="W434" s="56" t="inlineStr">
        <is>
          <t>No</t>
        </is>
      </c>
      <c r="X434" s="56" t="n">
        <v>0</v>
      </c>
      <c r="Y434" s="56">
        <f>IF(AC434="Cancelled",0,T434+U434+V434+Q434+X434)</f>
        <v/>
      </c>
      <c r="Z434" s="56">
        <f>IF(AC434="Cancelled",-Q434,S434-Y434)</f>
        <v/>
      </c>
      <c r="AA434" s="56">
        <f>IF(OR(AC434="Cancelled",S434=0),0,Z434/S434)</f>
        <v/>
      </c>
      <c r="AB434" s="56">
        <f>IFERROR(IF(Q434=0,0,S434/Q434),0)</f>
        <v/>
      </c>
      <c r="AC434" s="56" t="inlineStr">
        <is>
          <t>Delivered</t>
        </is>
      </c>
      <c r="AD434" s="56">
        <f>IF(Z434&lt;=0,"Low Profit",IF(Z434&gt;=50,"HighProfit","Medium Profit"))</f>
        <v/>
      </c>
      <c r="AE434" s="56">
        <f>TEXT(B434,"mmmm")</f>
        <v/>
      </c>
    </row>
    <row r="435" ht="14.25" customHeight="1" s="57">
      <c r="A435" s="56" t="inlineStr">
        <is>
          <t>ORD-00281</t>
        </is>
      </c>
      <c r="B435" s="116" t="n">
        <v>46076</v>
      </c>
      <c r="C435" s="56" t="n">
        <v>2026</v>
      </c>
      <c r="D435" s="56" t="n">
        <v>2</v>
      </c>
      <c r="E435" s="56" t="inlineStr">
        <is>
          <t>UAE</t>
        </is>
      </c>
      <c r="F435" s="56" t="inlineStr">
        <is>
          <t>Dubai</t>
        </is>
      </c>
      <c r="G435" s="56" t="inlineStr">
        <is>
          <t>TikTok Ads</t>
        </is>
      </c>
      <c r="H435" s="56" t="inlineStr">
        <is>
          <t>Retargeting</t>
        </is>
      </c>
      <c r="I435" s="56" t="inlineStr">
        <is>
          <t>P006</t>
        </is>
      </c>
      <c r="J435" s="56" t="inlineStr">
        <is>
          <t>Posture Corrector</t>
        </is>
      </c>
      <c r="K435" s="56" t="inlineStr">
        <is>
          <t>Fitness</t>
        </is>
      </c>
      <c r="L435" s="56" t="inlineStr">
        <is>
          <t>Hangzhou Health Gear</t>
        </is>
      </c>
      <c r="M435" s="56" t="n">
        <v>33.22</v>
      </c>
      <c r="N435" s="56" t="n">
        <v>9.69</v>
      </c>
      <c r="O435" s="56" t="n">
        <v>4.5</v>
      </c>
      <c r="P435" s="56" t="n">
        <v>0.03</v>
      </c>
      <c r="Q435" s="56" t="n">
        <v>5.26</v>
      </c>
      <c r="R435" s="56" t="n">
        <v>1</v>
      </c>
      <c r="S435" s="56">
        <f>IF(AC435="Cancelled",0,M435*R435)</f>
        <v/>
      </c>
      <c r="T435" s="56">
        <f>IF(AC435="Cancelled",0,N435*R435)</f>
        <v/>
      </c>
      <c r="U435" s="56">
        <f>IF(AC435="Cancelled",0,O435*R435)</f>
        <v/>
      </c>
      <c r="V435" s="56">
        <f>IF(AC435="Cancelled",0,ROUND(P435*S435,2))</f>
        <v/>
      </c>
      <c r="W435" s="56" t="inlineStr">
        <is>
          <t>No</t>
        </is>
      </c>
      <c r="X435" s="56" t="n">
        <v>0</v>
      </c>
      <c r="Y435" s="56">
        <f>IF(AC435="Cancelled",0,T435+U435+V435+Q435+X435)</f>
        <v/>
      </c>
      <c r="Z435" s="56">
        <f>IF(AC435="Cancelled",-Q435,S435-Y435)</f>
        <v/>
      </c>
      <c r="AA435" s="56">
        <f>IF(OR(AC435="Cancelled",S435=0),0,Z435/S435)</f>
        <v/>
      </c>
      <c r="AB435" s="56">
        <f>IFERROR(IF(Q435=0,0,S435/Q435),0)</f>
        <v/>
      </c>
      <c r="AC435" s="56" t="inlineStr">
        <is>
          <t>Delivered</t>
        </is>
      </c>
      <c r="AD435" s="56">
        <f>IF(Z435&lt;=0,"Low Profit",IF(Z435&gt;=50,"HighProfit","Medium Profit"))</f>
        <v/>
      </c>
      <c r="AE435" s="56">
        <f>TEXT(B435,"mmmm")</f>
        <v/>
      </c>
    </row>
    <row r="436" ht="14.25" customHeight="1" s="57">
      <c r="A436" s="56" t="inlineStr">
        <is>
          <t>ORD-00483</t>
        </is>
      </c>
      <c r="B436" s="116" t="n">
        <v>46076</v>
      </c>
      <c r="C436" s="56" t="n">
        <v>2026</v>
      </c>
      <c r="D436" s="56" t="n">
        <v>2</v>
      </c>
      <c r="E436" s="56" t="inlineStr">
        <is>
          <t>UAE</t>
        </is>
      </c>
      <c r="F436" s="56" t="inlineStr">
        <is>
          <t>Sharjah</t>
        </is>
      </c>
      <c r="G436" s="56" t="inlineStr">
        <is>
          <t>Organic Search</t>
        </is>
      </c>
      <c r="H436" s="56" t="inlineStr">
        <is>
          <t>New Creative A/B</t>
        </is>
      </c>
      <c r="I436" s="56" t="inlineStr">
        <is>
          <t>P005</t>
        </is>
      </c>
      <c r="J436" s="56" t="inlineStr">
        <is>
          <t>Mini Printer</t>
        </is>
      </c>
      <c r="K436" s="56" t="inlineStr">
        <is>
          <t>Electronics</t>
        </is>
      </c>
      <c r="L436" s="56" t="inlineStr">
        <is>
          <t>Shenzhen Print Tech</t>
        </is>
      </c>
      <c r="M436" s="56" t="n">
        <v>58.84</v>
      </c>
      <c r="N436" s="56" t="n">
        <v>22.99</v>
      </c>
      <c r="O436" s="56" t="n">
        <v>6.31</v>
      </c>
      <c r="P436" s="56" t="n">
        <v>0.03</v>
      </c>
      <c r="Q436" s="56" t="n">
        <v>0</v>
      </c>
      <c r="R436" s="56" t="n">
        <v>2</v>
      </c>
      <c r="S436" s="56">
        <f>IF(AC436="Cancelled",0,M436*R436)</f>
        <v/>
      </c>
      <c r="T436" s="56">
        <f>IF(AC436="Cancelled",0,N436*R436)</f>
        <v/>
      </c>
      <c r="U436" s="56">
        <f>IF(AC436="Cancelled",0,O436*R436)</f>
        <v/>
      </c>
      <c r="V436" s="56">
        <f>IF(AC436="Cancelled",0,ROUND(P436*S436,2))</f>
        <v/>
      </c>
      <c r="W436" s="56" t="inlineStr">
        <is>
          <t>No</t>
        </is>
      </c>
      <c r="X436" s="56" t="n">
        <v>0</v>
      </c>
      <c r="Y436" s="56">
        <f>IF(AC436="Cancelled",0,T436+U436+V436+Q436+X436)</f>
        <v/>
      </c>
      <c r="Z436" s="56">
        <f>IF(AC436="Cancelled",-Q436,S436-Y436)</f>
        <v/>
      </c>
      <c r="AA436" s="56">
        <f>IF(OR(AC436="Cancelled",S436=0),0,Z436/S436)</f>
        <v/>
      </c>
      <c r="AB436" s="56">
        <f>IFERROR(IF(Q436=0,0,S436/Q436),0)</f>
        <v/>
      </c>
      <c r="AC436" s="56" t="inlineStr">
        <is>
          <t>Cancelled</t>
        </is>
      </c>
      <c r="AD436" s="56">
        <f>IF(Z436&lt;=0,"Low Profit",IF(Z436&gt;=50,"HighProfit","Medium Profit"))</f>
        <v/>
      </c>
      <c r="AE436" s="56">
        <f>TEXT(B436,"mmmm")</f>
        <v/>
      </c>
    </row>
    <row r="437" ht="14.25" customHeight="1" s="57">
      <c r="A437" s="56" t="inlineStr">
        <is>
          <t>ORD-00370</t>
        </is>
      </c>
      <c r="B437" s="116" t="n">
        <v>46077</v>
      </c>
      <c r="C437" s="56" t="n">
        <v>2026</v>
      </c>
      <c r="D437" s="56" t="n">
        <v>2</v>
      </c>
      <c r="E437" s="56" t="inlineStr">
        <is>
          <t>UAE</t>
        </is>
      </c>
      <c r="F437" s="56" t="inlineStr">
        <is>
          <t>Abu Dhabi</t>
        </is>
      </c>
      <c r="G437" s="56" t="inlineStr">
        <is>
          <t>Meta Ads</t>
        </is>
      </c>
      <c r="H437" s="56" t="inlineStr">
        <is>
          <t>Launch Test</t>
        </is>
      </c>
      <c r="I437" s="56" t="inlineStr">
        <is>
          <t>P007</t>
        </is>
      </c>
      <c r="J437" s="56" t="inlineStr">
        <is>
          <t>Pet Grooming Glove</t>
        </is>
      </c>
      <c r="K437" s="56" t="inlineStr">
        <is>
          <t>Pets</t>
        </is>
      </c>
      <c r="L437" s="56" t="inlineStr">
        <is>
          <t>Yiwu Pet Products</t>
        </is>
      </c>
      <c r="M437" s="56" t="n">
        <v>18.7</v>
      </c>
      <c r="N437" s="56" t="n">
        <v>3.57</v>
      </c>
      <c r="O437" s="56" t="n">
        <v>2.72</v>
      </c>
      <c r="P437" s="56" t="n">
        <v>0.03</v>
      </c>
      <c r="Q437" s="56" t="n">
        <v>5.43</v>
      </c>
      <c r="R437" s="56" t="n">
        <v>1</v>
      </c>
      <c r="S437" s="56">
        <f>IF(AC437="Cancelled",0,M437*R437)</f>
        <v/>
      </c>
      <c r="T437" s="56">
        <f>IF(AC437="Cancelled",0,N437*R437)</f>
        <v/>
      </c>
      <c r="U437" s="56">
        <f>IF(AC437="Cancelled",0,O437*R437)</f>
        <v/>
      </c>
      <c r="V437" s="56">
        <f>IF(AC437="Cancelled",0,ROUND(P437*S437,2))</f>
        <v/>
      </c>
      <c r="W437" s="56" t="inlineStr">
        <is>
          <t>No</t>
        </is>
      </c>
      <c r="X437" s="56" t="n">
        <v>0</v>
      </c>
      <c r="Y437" s="56">
        <f>IF(AC437="Cancelled",0,T437+U437+V437+Q437+X437)</f>
        <v/>
      </c>
      <c r="Z437" s="56">
        <f>IF(AC437="Cancelled",-Q437,S437-Y437)</f>
        <v/>
      </c>
      <c r="AA437" s="56">
        <f>IF(OR(AC437="Cancelled",S437=0),0,Z437/S437)</f>
        <v/>
      </c>
      <c r="AB437" s="56">
        <f>IFERROR(IF(Q437=0,0,S437/Q437),0)</f>
        <v/>
      </c>
      <c r="AC437" s="56" t="inlineStr">
        <is>
          <t>Delivered</t>
        </is>
      </c>
      <c r="AD437" s="56">
        <f>IF(Z437&lt;=0,"Low Profit",IF(Z437&gt;=50,"HighProfit","Medium Profit"))</f>
        <v/>
      </c>
      <c r="AE437" s="56">
        <f>TEXT(B437,"mmmm")</f>
        <v/>
      </c>
    </row>
    <row r="438" ht="14.25" customHeight="1" s="57">
      <c r="A438" s="56" t="inlineStr">
        <is>
          <t>ORD-00470</t>
        </is>
      </c>
      <c r="B438" s="116" t="n">
        <v>46077</v>
      </c>
      <c r="C438" s="56" t="n">
        <v>2026</v>
      </c>
      <c r="D438" s="56" t="n">
        <v>2</v>
      </c>
      <c r="E438" s="56" t="inlineStr">
        <is>
          <t>Saudi Arabia</t>
        </is>
      </c>
      <c r="F438" s="56" t="inlineStr">
        <is>
          <t>Riyadh</t>
        </is>
      </c>
      <c r="G438" s="56" t="inlineStr">
        <is>
          <t>Google Ads</t>
        </is>
      </c>
      <c r="H438" s="56" t="inlineStr">
        <is>
          <t>Bundle Promo</t>
        </is>
      </c>
      <c r="I438" s="56" t="inlineStr">
        <is>
          <t>P007</t>
        </is>
      </c>
      <c r="J438" s="56" t="inlineStr">
        <is>
          <t>Pet Grooming Glove</t>
        </is>
      </c>
      <c r="K438" s="56" t="inlineStr">
        <is>
          <t>Pets</t>
        </is>
      </c>
      <c r="L438" s="56" t="inlineStr">
        <is>
          <t>Yiwu Pet Products</t>
        </is>
      </c>
      <c r="M438" s="56" t="n">
        <v>20.26</v>
      </c>
      <c r="N438" s="56" t="n">
        <v>3.64</v>
      </c>
      <c r="O438" s="56" t="n">
        <v>2.77</v>
      </c>
      <c r="P438" s="56" t="n">
        <v>0.03</v>
      </c>
      <c r="Q438" s="56" t="n">
        <v>13.93</v>
      </c>
      <c r="R438" s="56" t="n">
        <v>2</v>
      </c>
      <c r="S438" s="56">
        <f>IF(AC438="Cancelled",0,M438*R438)</f>
        <v/>
      </c>
      <c r="T438" s="56">
        <f>IF(AC438="Cancelled",0,N438*R438)</f>
        <v/>
      </c>
      <c r="U438" s="56">
        <f>IF(AC438="Cancelled",0,O438*R438)</f>
        <v/>
      </c>
      <c r="V438" s="56">
        <f>IF(AC438="Cancelled",0,ROUND(P438*S438,2))</f>
        <v/>
      </c>
      <c r="W438" s="56" t="inlineStr">
        <is>
          <t>No</t>
        </is>
      </c>
      <c r="X438" s="56" t="n">
        <v>0</v>
      </c>
      <c r="Y438" s="56">
        <f>IF(AC438="Cancelled",0,T438+U438+V438+Q438+X438)</f>
        <v/>
      </c>
      <c r="Z438" s="56">
        <f>IF(AC438="Cancelled",-Q438,S438-Y438)</f>
        <v/>
      </c>
      <c r="AA438" s="56">
        <f>IF(OR(AC438="Cancelled",S438=0),0,Z438/S438)</f>
        <v/>
      </c>
      <c r="AB438" s="56">
        <f>IFERROR(IF(Q438=0,0,S438/Q438),0)</f>
        <v/>
      </c>
      <c r="AC438" s="56" t="inlineStr">
        <is>
          <t>Delivered</t>
        </is>
      </c>
      <c r="AD438" s="56">
        <f>IF(Z438&lt;=0,"Low Profit",IF(Z438&gt;=50,"HighProfit","Medium Profit"))</f>
        <v/>
      </c>
      <c r="AE438" s="56">
        <f>TEXT(B438,"mmmm")</f>
        <v/>
      </c>
    </row>
    <row r="439" ht="14.25" customHeight="1" s="57">
      <c r="A439" s="56" t="inlineStr">
        <is>
          <t>ORD-00106</t>
        </is>
      </c>
      <c r="B439" s="116" t="n">
        <v>46078</v>
      </c>
      <c r="C439" s="56" t="n">
        <v>2026</v>
      </c>
      <c r="D439" s="56" t="n">
        <v>2</v>
      </c>
      <c r="E439" s="56" t="inlineStr">
        <is>
          <t>Saudi Arabia</t>
        </is>
      </c>
      <c r="F439" s="56" t="inlineStr">
        <is>
          <t>Riyadh</t>
        </is>
      </c>
      <c r="G439" s="56" t="inlineStr">
        <is>
          <t>Email</t>
        </is>
      </c>
      <c r="H439" s="56" t="inlineStr">
        <is>
          <t>Summer Sale</t>
        </is>
      </c>
      <c r="I439" s="56" t="inlineStr">
        <is>
          <t>P001</t>
        </is>
      </c>
      <c r="J439" s="56" t="inlineStr">
        <is>
          <t>Wireless Earbuds</t>
        </is>
      </c>
      <c r="K439" s="56" t="inlineStr">
        <is>
          <t>Electronics</t>
        </is>
      </c>
      <c r="L439" s="56" t="inlineStr">
        <is>
          <t>Shenzhen Audio Co.</t>
        </is>
      </c>
      <c r="M439" s="56" t="n">
        <v>42.37</v>
      </c>
      <c r="N439" s="56" t="n">
        <v>8.15</v>
      </c>
      <c r="O439" s="56" t="n">
        <v>4.21</v>
      </c>
      <c r="P439" s="56" t="n">
        <v>0.03</v>
      </c>
      <c r="Q439" s="56" t="n">
        <v>19.88</v>
      </c>
      <c r="R439" s="56" t="n">
        <v>2</v>
      </c>
      <c r="S439" s="56">
        <f>IF(AC439="Cancelled",0,M439*R439)</f>
        <v/>
      </c>
      <c r="T439" s="56">
        <f>IF(AC439="Cancelled",0,N439*R439)</f>
        <v/>
      </c>
      <c r="U439" s="56">
        <f>IF(AC439="Cancelled",0,O439*R439)</f>
        <v/>
      </c>
      <c r="V439" s="56">
        <f>IF(AC439="Cancelled",0,ROUND(P439*S439,2))</f>
        <v/>
      </c>
      <c r="W439" s="56" t="inlineStr">
        <is>
          <t>No</t>
        </is>
      </c>
      <c r="X439" s="56" t="n">
        <v>0</v>
      </c>
      <c r="Y439" s="56">
        <f>IF(AC439="Cancelled",0,T439+U439+V439+Q439+X439)</f>
        <v/>
      </c>
      <c r="Z439" s="56">
        <f>IF(AC439="Cancelled",-Q439,S439-Y439)</f>
        <v/>
      </c>
      <c r="AA439" s="56">
        <f>IF(OR(AC439="Cancelled",S439=0),0,Z439/S439)</f>
        <v/>
      </c>
      <c r="AB439" s="56">
        <f>IFERROR(IF(Q439=0,0,S439/Q439),0)</f>
        <v/>
      </c>
      <c r="AC439" s="56" t="inlineStr">
        <is>
          <t>Delivered</t>
        </is>
      </c>
      <c r="AD439" s="56">
        <f>IF(Z439&lt;=0,"Low Profit",IF(Z439&gt;=50,"HighProfit","Medium Profit"))</f>
        <v/>
      </c>
      <c r="AE439" s="56">
        <f>TEXT(B439,"mmmm")</f>
        <v/>
      </c>
    </row>
    <row r="440" ht="14.25" customHeight="1" s="57">
      <c r="A440" s="56" t="inlineStr">
        <is>
          <t>ORD-00118</t>
        </is>
      </c>
      <c r="B440" s="116" t="n">
        <v>46078</v>
      </c>
      <c r="C440" s="56" t="n">
        <v>2026</v>
      </c>
      <c r="D440" s="56" t="n">
        <v>2</v>
      </c>
      <c r="E440" s="56" t="inlineStr">
        <is>
          <t>UAE</t>
        </is>
      </c>
      <c r="F440" s="56" t="inlineStr">
        <is>
          <t>Dubai</t>
        </is>
      </c>
      <c r="G440" s="56" t="inlineStr">
        <is>
          <t>Email</t>
        </is>
      </c>
      <c r="H440" s="56" t="inlineStr">
        <is>
          <t>Retargeting</t>
        </is>
      </c>
      <c r="I440" s="56" t="inlineStr">
        <is>
          <t>P007</t>
        </is>
      </c>
      <c r="J440" s="56" t="inlineStr">
        <is>
          <t>Pet Grooming Glove</t>
        </is>
      </c>
      <c r="K440" s="56" t="inlineStr">
        <is>
          <t>Pets</t>
        </is>
      </c>
      <c r="L440" s="56" t="inlineStr">
        <is>
          <t>Yiwu Pet Products</t>
        </is>
      </c>
      <c r="M440" s="56" t="n">
        <v>18.99</v>
      </c>
      <c r="N440" s="56" t="n">
        <v>3.46</v>
      </c>
      <c r="O440" s="56" t="n">
        <v>2.26</v>
      </c>
      <c r="P440" s="56" t="n">
        <v>0.03</v>
      </c>
      <c r="Q440" s="56" t="n">
        <v>8.99</v>
      </c>
      <c r="R440" s="56" t="n">
        <v>1</v>
      </c>
      <c r="S440" s="56">
        <f>IF(AC440="Cancelled",0,M440*R440)</f>
        <v/>
      </c>
      <c r="T440" s="56">
        <f>IF(AC440="Cancelled",0,N440*R440)</f>
        <v/>
      </c>
      <c r="U440" s="56">
        <f>IF(AC440="Cancelled",0,O440*R440)</f>
        <v/>
      </c>
      <c r="V440" s="56">
        <f>IF(AC440="Cancelled",0,ROUND(P440*S440,2))</f>
        <v/>
      </c>
      <c r="W440" s="56" t="inlineStr">
        <is>
          <t>No</t>
        </is>
      </c>
      <c r="X440" s="56" t="n">
        <v>0</v>
      </c>
      <c r="Y440" s="56">
        <f>IF(AC440="Cancelled",0,T440+U440+V440+Q440+X440)</f>
        <v/>
      </c>
      <c r="Z440" s="56">
        <f>IF(AC440="Cancelled",-Q440,S440-Y440)</f>
        <v/>
      </c>
      <c r="AA440" s="56">
        <f>IF(OR(AC440="Cancelled",S440=0),0,Z440/S440)</f>
        <v/>
      </c>
      <c r="AB440" s="56">
        <f>IFERROR(IF(Q440=0,0,S440/Q440),0)</f>
        <v/>
      </c>
      <c r="AC440" s="56" t="inlineStr">
        <is>
          <t>Delivered</t>
        </is>
      </c>
      <c r="AD440" s="56">
        <f>IF(Z440&lt;=0,"Low Profit",IF(Z440&gt;=50,"HighProfit","Medium Profit"))</f>
        <v/>
      </c>
      <c r="AE440" s="56">
        <f>TEXT(B440,"mmmm")</f>
        <v/>
      </c>
    </row>
    <row r="441" ht="14.25" customHeight="1" s="57">
      <c r="A441" s="56" t="inlineStr">
        <is>
          <t>ORD-00019</t>
        </is>
      </c>
      <c r="B441" s="116" t="n">
        <v>46079</v>
      </c>
      <c r="C441" s="56" t="n">
        <v>2026</v>
      </c>
      <c r="D441" s="56" t="n">
        <v>2</v>
      </c>
      <c r="E441" s="56" t="inlineStr">
        <is>
          <t>Saudi Arabia</t>
        </is>
      </c>
      <c r="F441" s="56" t="inlineStr">
        <is>
          <t>Jeddah</t>
        </is>
      </c>
      <c r="G441" s="56" t="inlineStr">
        <is>
          <t>Meta Ads</t>
        </is>
      </c>
      <c r="H441" s="56" t="inlineStr">
        <is>
          <t>Bundle Promo</t>
        </is>
      </c>
      <c r="I441" s="56" t="inlineStr">
        <is>
          <t>P001</t>
        </is>
      </c>
      <c r="J441" s="56" t="inlineStr">
        <is>
          <t>Wireless Earbuds</t>
        </is>
      </c>
      <c r="K441" s="56" t="inlineStr">
        <is>
          <t>Electronics</t>
        </is>
      </c>
      <c r="L441" s="56" t="inlineStr">
        <is>
          <t>Shenzhen Audio Co.</t>
        </is>
      </c>
      <c r="M441" s="56" t="n">
        <v>37.69</v>
      </c>
      <c r="N441" s="56" t="n">
        <v>8.9</v>
      </c>
      <c r="O441" s="56" t="n">
        <v>4.07</v>
      </c>
      <c r="P441" s="56" t="n">
        <v>0.03</v>
      </c>
      <c r="Q441" s="56" t="n">
        <v>3.79</v>
      </c>
      <c r="R441" s="56" t="n">
        <v>1</v>
      </c>
      <c r="S441" s="56">
        <f>IF(AC441="Cancelled",0,M441*R441)</f>
        <v/>
      </c>
      <c r="T441" s="56">
        <f>IF(AC441="Cancelled",0,N441*R441)</f>
        <v/>
      </c>
      <c r="U441" s="56">
        <f>IF(AC441="Cancelled",0,O441*R441)</f>
        <v/>
      </c>
      <c r="V441" s="56">
        <f>IF(AC441="Cancelled",0,ROUND(P441*S441,2))</f>
        <v/>
      </c>
      <c r="W441" s="56" t="inlineStr">
        <is>
          <t>No</t>
        </is>
      </c>
      <c r="X441" s="56" t="n">
        <v>0</v>
      </c>
      <c r="Y441" s="56">
        <f>IF(AC441="Cancelled",0,T441+U441+V441+Q441+X441)</f>
        <v/>
      </c>
      <c r="Z441" s="56">
        <f>IF(AC441="Cancelled",-Q441,S441-Y441)</f>
        <v/>
      </c>
      <c r="AA441" s="56">
        <f>IF(OR(AC441="Cancelled",S441=0),0,Z441/S441)</f>
        <v/>
      </c>
      <c r="AB441" s="56">
        <f>IFERROR(IF(Q441=0,0,S441/Q441),0)</f>
        <v/>
      </c>
      <c r="AC441" s="56" t="inlineStr">
        <is>
          <t>Delivered</t>
        </is>
      </c>
      <c r="AD441" s="56">
        <f>IF(Z441&lt;=0,"Low Profit",IF(Z441&gt;=50,"HighProfit","Medium Profit"))</f>
        <v/>
      </c>
      <c r="AE441" s="56">
        <f>TEXT(B441,"mmmm")</f>
        <v/>
      </c>
    </row>
    <row r="442" ht="14.25" customHeight="1" s="57">
      <c r="A442" s="56" t="inlineStr">
        <is>
          <t>ORD-00130</t>
        </is>
      </c>
      <c r="B442" s="116" t="n">
        <v>46079</v>
      </c>
      <c r="C442" s="56" t="n">
        <v>2026</v>
      </c>
      <c r="D442" s="56" t="n">
        <v>2</v>
      </c>
      <c r="E442" s="56" t="inlineStr">
        <is>
          <t>Qatar</t>
        </is>
      </c>
      <c r="F442" s="56" t="inlineStr">
        <is>
          <t>Doha</t>
        </is>
      </c>
      <c r="G442" s="56" t="inlineStr">
        <is>
          <t>Meta Ads</t>
        </is>
      </c>
      <c r="H442" s="56" t="inlineStr">
        <is>
          <t>Launch Test</t>
        </is>
      </c>
      <c r="I442" s="56" t="inlineStr">
        <is>
          <t>P002</t>
        </is>
      </c>
      <c r="J442" s="56" t="inlineStr">
        <is>
          <t>Phone Case</t>
        </is>
      </c>
      <c r="K442" s="56" t="inlineStr">
        <is>
          <t>Accessories</t>
        </is>
      </c>
      <c r="L442" s="56" t="inlineStr">
        <is>
          <t>Guangzhou Cases Ltd.</t>
        </is>
      </c>
      <c r="M442" s="56" t="n">
        <v>16.33</v>
      </c>
      <c r="N442" s="56" t="n">
        <v>1.94</v>
      </c>
      <c r="O442" s="56" t="n">
        <v>2.11</v>
      </c>
      <c r="P442" s="56" t="n">
        <v>0.03</v>
      </c>
      <c r="Q442" s="56" t="n">
        <v>8.720000000000001</v>
      </c>
      <c r="R442" s="56" t="n">
        <v>1</v>
      </c>
      <c r="S442" s="56">
        <f>IF(AC442="Cancelled",0,M442*R442)</f>
        <v/>
      </c>
      <c r="T442" s="56">
        <f>IF(AC442="Cancelled",0,N442*R442)</f>
        <v/>
      </c>
      <c r="U442" s="56">
        <f>IF(AC442="Cancelled",0,O442*R442)</f>
        <v/>
      </c>
      <c r="V442" s="56">
        <f>IF(AC442="Cancelled",0,ROUND(P442*S442,2))</f>
        <v/>
      </c>
      <c r="W442" s="56" t="inlineStr">
        <is>
          <t>No</t>
        </is>
      </c>
      <c r="X442" s="56" t="n">
        <v>0</v>
      </c>
      <c r="Y442" s="56">
        <f>IF(AC442="Cancelled",0,T442+U442+V442+Q442+X442)</f>
        <v/>
      </c>
      <c r="Z442" s="56">
        <f>IF(AC442="Cancelled",-Q442,S442-Y442)</f>
        <v/>
      </c>
      <c r="AA442" s="56">
        <f>IF(OR(AC442="Cancelled",S442=0),0,Z442/S442)</f>
        <v/>
      </c>
      <c r="AB442" s="56">
        <f>IFERROR(IF(Q442=0,0,S442/Q442),0)</f>
        <v/>
      </c>
      <c r="AC442" s="56" t="inlineStr">
        <is>
          <t>Delivered</t>
        </is>
      </c>
      <c r="AD442" s="56">
        <f>IF(Z442&lt;=0,"Low Profit",IF(Z442&gt;=50,"HighProfit","Medium Profit"))</f>
        <v/>
      </c>
      <c r="AE442" s="56">
        <f>TEXT(B442,"mmmm")</f>
        <v/>
      </c>
    </row>
    <row r="443" ht="14.25" customHeight="1" s="57">
      <c r="A443" s="56" t="inlineStr">
        <is>
          <t>ORD-00179</t>
        </is>
      </c>
      <c r="B443" s="116" t="n">
        <v>46079</v>
      </c>
      <c r="C443" s="56" t="n">
        <v>2026</v>
      </c>
      <c r="D443" s="56" t="n">
        <v>2</v>
      </c>
      <c r="E443" s="56" t="inlineStr">
        <is>
          <t>UAE</t>
        </is>
      </c>
      <c r="F443" s="56" t="inlineStr">
        <is>
          <t>Abu Dhabi</t>
        </is>
      </c>
      <c r="G443" s="56" t="inlineStr">
        <is>
          <t>Meta Ads</t>
        </is>
      </c>
      <c r="H443" s="56" t="inlineStr">
        <is>
          <t>Retargeting</t>
        </is>
      </c>
      <c r="I443" s="56" t="inlineStr">
        <is>
          <t>P003</t>
        </is>
      </c>
      <c r="J443" s="56" t="inlineStr">
        <is>
          <t>LED Strip Lights</t>
        </is>
      </c>
      <c r="K443" s="56" t="inlineStr">
        <is>
          <t>Home Decor</t>
        </is>
      </c>
      <c r="L443" s="56" t="inlineStr">
        <is>
          <t>Yiwu Lighting Factory</t>
        </is>
      </c>
      <c r="M443" s="56" t="n">
        <v>27.34</v>
      </c>
      <c r="N443" s="56" t="n">
        <v>5.9</v>
      </c>
      <c r="O443" s="56" t="n">
        <v>3.94</v>
      </c>
      <c r="P443" s="56" t="n">
        <v>0.03</v>
      </c>
      <c r="Q443" s="56" t="n">
        <v>7.77</v>
      </c>
      <c r="R443" s="56" t="n">
        <v>1</v>
      </c>
      <c r="S443" s="56">
        <f>IF(AC443="Cancelled",0,M443*R443)</f>
        <v/>
      </c>
      <c r="T443" s="56">
        <f>IF(AC443="Cancelled",0,N443*R443)</f>
        <v/>
      </c>
      <c r="U443" s="56">
        <f>IF(AC443="Cancelled",0,O443*R443)</f>
        <v/>
      </c>
      <c r="V443" s="56">
        <f>IF(AC443="Cancelled",0,ROUND(P443*S443,2))</f>
        <v/>
      </c>
      <c r="W443" s="56" t="inlineStr">
        <is>
          <t>No</t>
        </is>
      </c>
      <c r="X443" s="56" t="n">
        <v>0</v>
      </c>
      <c r="Y443" s="56">
        <f>IF(AC443="Cancelled",0,T443+U443+V443+Q443+X443)</f>
        <v/>
      </c>
      <c r="Z443" s="56">
        <f>IF(AC443="Cancelled",-Q443,S443-Y443)</f>
        <v/>
      </c>
      <c r="AA443" s="56">
        <f>IF(OR(AC443="Cancelled",S443=0),0,Z443/S443)</f>
        <v/>
      </c>
      <c r="AB443" s="56">
        <f>IFERROR(IF(Q443=0,0,S443/Q443),0)</f>
        <v/>
      </c>
      <c r="AC443" s="56" t="inlineStr">
        <is>
          <t>Delivered</t>
        </is>
      </c>
      <c r="AD443" s="56">
        <f>IF(Z443&lt;=0,"Low Profit",IF(Z443&gt;=50,"HighProfit","Medium Profit"))</f>
        <v/>
      </c>
      <c r="AE443" s="56">
        <f>TEXT(B443,"mmmm")</f>
        <v/>
      </c>
    </row>
    <row r="444" ht="14.25" customHeight="1" s="57">
      <c r="A444" s="56" t="inlineStr">
        <is>
          <t>ORD-00218</t>
        </is>
      </c>
      <c r="B444" s="116" t="n">
        <v>46079</v>
      </c>
      <c r="C444" s="56" t="n">
        <v>2026</v>
      </c>
      <c r="D444" s="56" t="n">
        <v>2</v>
      </c>
      <c r="E444" s="56" t="inlineStr">
        <is>
          <t>UAE</t>
        </is>
      </c>
      <c r="F444" s="56" t="inlineStr">
        <is>
          <t>Sharjah</t>
        </is>
      </c>
      <c r="G444" s="56" t="inlineStr">
        <is>
          <t>Meta Ads</t>
        </is>
      </c>
      <c r="H444" s="56" t="inlineStr">
        <is>
          <t>Retargeting</t>
        </is>
      </c>
      <c r="I444" s="56" t="inlineStr">
        <is>
          <t>P008</t>
        </is>
      </c>
      <c r="J444" s="56" t="inlineStr">
        <is>
          <t>Portable Blender</t>
        </is>
      </c>
      <c r="K444" s="56" t="inlineStr">
        <is>
          <t>Kitchen</t>
        </is>
      </c>
      <c r="L444" s="56" t="inlineStr">
        <is>
          <t>Foshan Appliances</t>
        </is>
      </c>
      <c r="M444" s="56" t="n">
        <v>52.38</v>
      </c>
      <c r="N444" s="56" t="n">
        <v>16.71</v>
      </c>
      <c r="O444" s="56" t="n">
        <v>6.62</v>
      </c>
      <c r="P444" s="56" t="n">
        <v>0.03</v>
      </c>
      <c r="Q444" s="56" t="n">
        <v>5.66</v>
      </c>
      <c r="R444" s="56" t="n">
        <v>1</v>
      </c>
      <c r="S444" s="56">
        <f>IF(AC444="Cancelled",0,M444*R444)</f>
        <v/>
      </c>
      <c r="T444" s="56">
        <f>IF(AC444="Cancelled",0,N444*R444)</f>
        <v/>
      </c>
      <c r="U444" s="56">
        <f>IF(AC444="Cancelled",0,O444*R444)</f>
        <v/>
      </c>
      <c r="V444" s="56">
        <f>IF(AC444="Cancelled",0,ROUND(P444*S444,2))</f>
        <v/>
      </c>
      <c r="W444" s="56" t="inlineStr">
        <is>
          <t>No</t>
        </is>
      </c>
      <c r="X444" s="56" t="n">
        <v>0</v>
      </c>
      <c r="Y444" s="56">
        <f>IF(AC444="Cancelled",0,T444+U444+V444+Q444+X444)</f>
        <v/>
      </c>
      <c r="Z444" s="56">
        <f>IF(AC444="Cancelled",-Q444,S444-Y444)</f>
        <v/>
      </c>
      <c r="AA444" s="56">
        <f>IF(OR(AC444="Cancelled",S444=0),0,Z444/S444)</f>
        <v/>
      </c>
      <c r="AB444" s="56">
        <f>IFERROR(IF(Q444=0,0,S444/Q444),0)</f>
        <v/>
      </c>
      <c r="AC444" s="56" t="inlineStr">
        <is>
          <t>Delivered</t>
        </is>
      </c>
      <c r="AD444" s="56">
        <f>IF(Z444&lt;=0,"Low Profit",IF(Z444&gt;=50,"HighProfit","Medium Profit"))</f>
        <v/>
      </c>
      <c r="AE444" s="56">
        <f>TEXT(B444,"mmmm")</f>
        <v/>
      </c>
    </row>
    <row r="445" ht="14.25" customHeight="1" s="57">
      <c r="A445" s="56" t="inlineStr">
        <is>
          <t>ORD-00012</t>
        </is>
      </c>
      <c r="B445" s="116" t="n">
        <v>46082</v>
      </c>
      <c r="C445" s="56" t="n">
        <v>2026</v>
      </c>
      <c r="D445" s="56" t="n">
        <v>3</v>
      </c>
      <c r="E445" s="56" t="inlineStr">
        <is>
          <t>Oman</t>
        </is>
      </c>
      <c r="F445" s="56" t="inlineStr">
        <is>
          <t>Muscat</t>
        </is>
      </c>
      <c r="G445" s="56" t="inlineStr">
        <is>
          <t>Google Ads</t>
        </is>
      </c>
      <c r="H445" s="56" t="inlineStr">
        <is>
          <t>Bundle Promo</t>
        </is>
      </c>
      <c r="I445" s="56" t="inlineStr">
        <is>
          <t>P001</t>
        </is>
      </c>
      <c r="J445" s="56" t="inlineStr">
        <is>
          <t>Wireless Earbuds</t>
        </is>
      </c>
      <c r="K445" s="56" t="inlineStr">
        <is>
          <t>Electronics</t>
        </is>
      </c>
      <c r="L445" s="56" t="inlineStr">
        <is>
          <t>Shenzhen Audio Co.</t>
        </is>
      </c>
      <c r="M445" s="56" t="n">
        <v>36.81</v>
      </c>
      <c r="N445" s="56" t="n">
        <v>8.199999999999999</v>
      </c>
      <c r="O445" s="56" t="n">
        <v>4.05</v>
      </c>
      <c r="P445" s="56" t="n">
        <v>0.03</v>
      </c>
      <c r="Q445" s="56" t="n">
        <v>10.43</v>
      </c>
      <c r="R445" s="56" t="n">
        <v>1</v>
      </c>
      <c r="S445" s="56">
        <f>IF(AC445="Cancelled",0,M445*R445)</f>
        <v/>
      </c>
      <c r="T445" s="56">
        <f>IF(AC445="Cancelled",0,N445*R445)</f>
        <v/>
      </c>
      <c r="U445" s="56">
        <f>IF(AC445="Cancelled",0,O445*R445)</f>
        <v/>
      </c>
      <c r="V445" s="56">
        <f>IF(AC445="Cancelled",0,ROUND(P445*S445,2))</f>
        <v/>
      </c>
      <c r="W445" s="56" t="inlineStr">
        <is>
          <t>No</t>
        </is>
      </c>
      <c r="X445" s="56" t="n">
        <v>0</v>
      </c>
      <c r="Y445" s="56">
        <f>IF(AC445="Cancelled",0,T445+U445+V445+Q445+X445)</f>
        <v/>
      </c>
      <c r="Z445" s="56">
        <f>IF(AC445="Cancelled",-Q445,S445-Y445)</f>
        <v/>
      </c>
      <c r="AA445" s="56">
        <f>IF(OR(AC445="Cancelled",S445=0),0,Z445/S445)</f>
        <v/>
      </c>
      <c r="AB445" s="56">
        <f>IFERROR(IF(Q445=0,0,S445/Q445),0)</f>
        <v/>
      </c>
      <c r="AC445" s="56" t="inlineStr">
        <is>
          <t>Delivered</t>
        </is>
      </c>
      <c r="AD445" s="56">
        <f>IF(Z445&lt;=0,"Low Profit",IF(Z445&gt;=50,"HighProfit","Medium Profit"))</f>
        <v/>
      </c>
      <c r="AE445" s="56">
        <f>TEXT(B445,"mmmm")</f>
        <v/>
      </c>
    </row>
    <row r="446" ht="14.25" customHeight="1" s="57">
      <c r="A446" s="56" t="inlineStr">
        <is>
          <t>ORD-00092</t>
        </is>
      </c>
      <c r="B446" s="116" t="n">
        <v>46084</v>
      </c>
      <c r="C446" s="56" t="n">
        <v>2026</v>
      </c>
      <c r="D446" s="56" t="n">
        <v>3</v>
      </c>
      <c r="E446" s="56" t="inlineStr">
        <is>
          <t>Qatar</t>
        </is>
      </c>
      <c r="F446" s="56" t="inlineStr">
        <is>
          <t>Doha</t>
        </is>
      </c>
      <c r="G446" s="56" t="inlineStr">
        <is>
          <t>Organic Search</t>
        </is>
      </c>
      <c r="H446" s="56" t="inlineStr">
        <is>
          <t>Bundle Promo</t>
        </is>
      </c>
      <c r="I446" s="56" t="inlineStr">
        <is>
          <t>P009</t>
        </is>
      </c>
      <c r="J446" s="56" t="inlineStr">
        <is>
          <t>Car Vacuum Cleaner</t>
        </is>
      </c>
      <c r="K446" s="56" t="inlineStr">
        <is>
          <t>Automotive</t>
        </is>
      </c>
      <c r="L446" s="56" t="inlineStr">
        <is>
          <t>Dongguan Auto Tools</t>
        </is>
      </c>
      <c r="M446" s="56" t="n">
        <v>40.84</v>
      </c>
      <c r="N446" s="56" t="n">
        <v>13.9</v>
      </c>
      <c r="O446" s="56" t="n">
        <v>7.28</v>
      </c>
      <c r="P446" s="56" t="n">
        <v>0.03</v>
      </c>
      <c r="Q446" s="56" t="n">
        <v>0</v>
      </c>
      <c r="R446" s="56" t="n">
        <v>3</v>
      </c>
      <c r="S446" s="56">
        <f>IF(AC446="Cancelled",0,M446*R446)</f>
        <v/>
      </c>
      <c r="T446" s="56">
        <f>IF(AC446="Cancelled",0,N446*R446)</f>
        <v/>
      </c>
      <c r="U446" s="56">
        <f>IF(AC446="Cancelled",0,O446*R446)</f>
        <v/>
      </c>
      <c r="V446" s="56">
        <f>IF(AC446="Cancelled",0,ROUND(P446*S446,2))</f>
        <v/>
      </c>
      <c r="W446" s="56" t="inlineStr">
        <is>
          <t>No</t>
        </is>
      </c>
      <c r="X446" s="56" t="n">
        <v>0</v>
      </c>
      <c r="Y446" s="56">
        <f>IF(AC446="Cancelled",0,T446+U446+V446+Q446+X446)</f>
        <v/>
      </c>
      <c r="Z446" s="56">
        <f>IF(AC446="Cancelled",-Q446,S446-Y446)</f>
        <v/>
      </c>
      <c r="AA446" s="56">
        <f>IF(OR(AC446="Cancelled",S446=0),0,Z446/S446)</f>
        <v/>
      </c>
      <c r="AB446" s="56">
        <f>IFERROR(IF(Q446=0,0,S446/Q446),0)</f>
        <v/>
      </c>
      <c r="AC446" s="56" t="inlineStr">
        <is>
          <t>Delivered</t>
        </is>
      </c>
      <c r="AD446" s="56">
        <f>IF(Z446&lt;=0,"Low Profit",IF(Z446&gt;=50,"HighProfit","Medium Profit"))</f>
        <v/>
      </c>
      <c r="AE446" s="56">
        <f>TEXT(B446,"mmmm")</f>
        <v/>
      </c>
    </row>
    <row r="447" ht="14.25" customHeight="1" s="57">
      <c r="A447" s="56" t="inlineStr">
        <is>
          <t>ORD-00410</t>
        </is>
      </c>
      <c r="B447" s="116" t="n">
        <v>46084</v>
      </c>
      <c r="C447" s="56" t="n">
        <v>2026</v>
      </c>
      <c r="D447" s="56" t="n">
        <v>3</v>
      </c>
      <c r="E447" s="56" t="inlineStr">
        <is>
          <t>Saudi Arabia</t>
        </is>
      </c>
      <c r="F447" s="56" t="inlineStr">
        <is>
          <t>Jeddah</t>
        </is>
      </c>
      <c r="G447" s="56" t="inlineStr">
        <is>
          <t>Email</t>
        </is>
      </c>
      <c r="H447" s="56" t="inlineStr">
        <is>
          <t>Retargeting</t>
        </is>
      </c>
      <c r="I447" s="56" t="inlineStr">
        <is>
          <t>P008</t>
        </is>
      </c>
      <c r="J447" s="56" t="inlineStr">
        <is>
          <t>Portable Blender</t>
        </is>
      </c>
      <c r="K447" s="56" t="inlineStr">
        <is>
          <t>Kitchen</t>
        </is>
      </c>
      <c r="L447" s="56" t="inlineStr">
        <is>
          <t>Foshan Appliances</t>
        </is>
      </c>
      <c r="M447" s="56" t="n">
        <v>54.48</v>
      </c>
      <c r="N447" s="56" t="n">
        <v>17.14</v>
      </c>
      <c r="O447" s="56" t="n">
        <v>6.16</v>
      </c>
      <c r="P447" s="56" t="n">
        <v>0.03</v>
      </c>
      <c r="Q447" s="56" t="n">
        <v>6.11</v>
      </c>
      <c r="R447" s="56" t="n">
        <v>1</v>
      </c>
      <c r="S447" s="56">
        <f>IF(AC447="Cancelled",0,M447*R447)</f>
        <v/>
      </c>
      <c r="T447" s="56">
        <f>IF(AC447="Cancelled",0,N447*R447)</f>
        <v/>
      </c>
      <c r="U447" s="56">
        <f>IF(AC447="Cancelled",0,O447*R447)</f>
        <v/>
      </c>
      <c r="V447" s="56">
        <f>IF(AC447="Cancelled",0,ROUND(P447*S447,2))</f>
        <v/>
      </c>
      <c r="W447" s="56" t="inlineStr">
        <is>
          <t>No</t>
        </is>
      </c>
      <c r="X447" s="56" t="n">
        <v>0</v>
      </c>
      <c r="Y447" s="56">
        <f>IF(AC447="Cancelled",0,T447+U447+V447+Q447+X447)</f>
        <v/>
      </c>
      <c r="Z447" s="56">
        <f>IF(AC447="Cancelled",-Q447,S447-Y447)</f>
        <v/>
      </c>
      <c r="AA447" s="56">
        <f>IF(OR(AC447="Cancelled",S447=0),0,Z447/S447)</f>
        <v/>
      </c>
      <c r="AB447" s="56">
        <f>IFERROR(IF(Q447=0,0,S447/Q447),0)</f>
        <v/>
      </c>
      <c r="AC447" s="56" t="inlineStr">
        <is>
          <t>Delivered</t>
        </is>
      </c>
      <c r="AD447" s="56">
        <f>IF(Z447&lt;=0,"Low Profit",IF(Z447&gt;=50,"HighProfit","Medium Profit"))</f>
        <v/>
      </c>
      <c r="AE447" s="56">
        <f>TEXT(B447,"mmmm")</f>
        <v/>
      </c>
    </row>
    <row r="448" ht="14.25" customHeight="1" s="57">
      <c r="A448" s="56" t="inlineStr">
        <is>
          <t>ORD-00188</t>
        </is>
      </c>
      <c r="B448" s="116" t="n">
        <v>46085</v>
      </c>
      <c r="C448" s="56" t="n">
        <v>2026</v>
      </c>
      <c r="D448" s="56" t="n">
        <v>3</v>
      </c>
      <c r="E448" s="56" t="inlineStr">
        <is>
          <t>UAE</t>
        </is>
      </c>
      <c r="F448" s="56" t="inlineStr">
        <is>
          <t>Sharjah</t>
        </is>
      </c>
      <c r="G448" s="56" t="inlineStr">
        <is>
          <t>Meta Ads</t>
        </is>
      </c>
      <c r="H448" s="56" t="inlineStr">
        <is>
          <t>Bundle Promo</t>
        </is>
      </c>
      <c r="I448" s="56" t="inlineStr">
        <is>
          <t>P007</t>
        </is>
      </c>
      <c r="J448" s="56" t="inlineStr">
        <is>
          <t>Pet Grooming Glove</t>
        </is>
      </c>
      <c r="K448" s="56" t="inlineStr">
        <is>
          <t>Pets</t>
        </is>
      </c>
      <c r="L448" s="56" t="inlineStr">
        <is>
          <t>Yiwu Pet Products</t>
        </is>
      </c>
      <c r="M448" s="56" t="n">
        <v>18.3</v>
      </c>
      <c r="N448" s="56" t="n">
        <v>3.37</v>
      </c>
      <c r="O448" s="56" t="n">
        <v>2.84</v>
      </c>
      <c r="P448" s="56" t="n">
        <v>0.03</v>
      </c>
      <c r="Q448" s="56" t="n">
        <v>7.66</v>
      </c>
      <c r="R448" s="56" t="n">
        <v>1</v>
      </c>
      <c r="S448" s="56">
        <f>IF(AC448="Cancelled",0,M448*R448)</f>
        <v/>
      </c>
      <c r="T448" s="56">
        <f>IF(AC448="Cancelled",0,N448*R448)</f>
        <v/>
      </c>
      <c r="U448" s="56">
        <f>IF(AC448="Cancelled",0,O448*R448)</f>
        <v/>
      </c>
      <c r="V448" s="56">
        <f>IF(AC448="Cancelled",0,ROUND(P448*S448,2))</f>
        <v/>
      </c>
      <c r="W448" s="56" t="inlineStr">
        <is>
          <t>No</t>
        </is>
      </c>
      <c r="X448" s="56" t="n">
        <v>0</v>
      </c>
      <c r="Y448" s="56">
        <f>IF(AC448="Cancelled",0,T448+U448+V448+Q448+X448)</f>
        <v/>
      </c>
      <c r="Z448" s="56">
        <f>IF(AC448="Cancelled",-Q448,S448-Y448)</f>
        <v/>
      </c>
      <c r="AA448" s="56">
        <f>IF(OR(AC448="Cancelled",S448=0),0,Z448/S448)</f>
        <v/>
      </c>
      <c r="AB448" s="56">
        <f>IFERROR(IF(Q448=0,0,S448/Q448),0)</f>
        <v/>
      </c>
      <c r="AC448" s="56" t="inlineStr">
        <is>
          <t>Delivered</t>
        </is>
      </c>
      <c r="AD448" s="56">
        <f>IF(Z448&lt;=0,"Low Profit",IF(Z448&gt;=50,"HighProfit","Medium Profit"))</f>
        <v/>
      </c>
      <c r="AE448" s="56">
        <f>TEXT(B448,"mmmm")</f>
        <v/>
      </c>
    </row>
    <row r="449" ht="14.25" customHeight="1" s="57">
      <c r="A449" s="56" t="inlineStr">
        <is>
          <t>ORD-00227</t>
        </is>
      </c>
      <c r="B449" s="116" t="n">
        <v>46087</v>
      </c>
      <c r="C449" s="56" t="n">
        <v>2026</v>
      </c>
      <c r="D449" s="56" t="n">
        <v>3</v>
      </c>
      <c r="E449" s="56" t="inlineStr">
        <is>
          <t>Saudi Arabia</t>
        </is>
      </c>
      <c r="F449" s="56" t="inlineStr">
        <is>
          <t>Jeddah</t>
        </is>
      </c>
      <c r="G449" s="56" t="inlineStr">
        <is>
          <t>TikTok Ads</t>
        </is>
      </c>
      <c r="H449" s="56" t="inlineStr">
        <is>
          <t>Retargeting</t>
        </is>
      </c>
      <c r="I449" s="56" t="inlineStr">
        <is>
          <t>P005</t>
        </is>
      </c>
      <c r="J449" s="56" t="inlineStr">
        <is>
          <t>Mini Printer</t>
        </is>
      </c>
      <c r="K449" s="56" t="inlineStr">
        <is>
          <t>Electronics</t>
        </is>
      </c>
      <c r="L449" s="56" t="inlineStr">
        <is>
          <t>Shenzhen Print Tech</t>
        </is>
      </c>
      <c r="M449" s="56" t="n">
        <v>65.16</v>
      </c>
      <c r="N449" s="56" t="n">
        <v>22.87</v>
      </c>
      <c r="O449" s="56" t="n">
        <v>7.7</v>
      </c>
      <c r="P449" s="56" t="n">
        <v>0.03</v>
      </c>
      <c r="Q449" s="56" t="n">
        <v>9.6</v>
      </c>
      <c r="R449" s="56" t="n">
        <v>1</v>
      </c>
      <c r="S449" s="56">
        <f>IF(AC449="Cancelled",0,M449*R449)</f>
        <v/>
      </c>
      <c r="T449" s="56">
        <f>IF(AC449="Cancelled",0,N449*R449)</f>
        <v/>
      </c>
      <c r="U449" s="56">
        <f>IF(AC449="Cancelled",0,O449*R449)</f>
        <v/>
      </c>
      <c r="V449" s="56">
        <f>IF(AC449="Cancelled",0,ROUND(P449*S449,2))</f>
        <v/>
      </c>
      <c r="W449" s="56" t="inlineStr">
        <is>
          <t>No</t>
        </is>
      </c>
      <c r="X449" s="56" t="n">
        <v>0</v>
      </c>
      <c r="Y449" s="56">
        <f>IF(AC449="Cancelled",0,T449+U449+V449+Q449+X449)</f>
        <v/>
      </c>
      <c r="Z449" s="56">
        <f>IF(AC449="Cancelled",-Q449,S449-Y449)</f>
        <v/>
      </c>
      <c r="AA449" s="56">
        <f>IF(OR(AC449="Cancelled",S449=0),0,Z449/S449)</f>
        <v/>
      </c>
      <c r="AB449" s="56">
        <f>IFERROR(IF(Q449=0,0,S449/Q449),0)</f>
        <v/>
      </c>
      <c r="AC449" s="56" t="inlineStr">
        <is>
          <t>Delivered</t>
        </is>
      </c>
      <c r="AD449" s="56">
        <f>IF(Z449&lt;=0,"Low Profit",IF(Z449&gt;=50,"HighProfit","Medium Profit"))</f>
        <v/>
      </c>
      <c r="AE449" s="56">
        <f>TEXT(B449,"mmmm")</f>
        <v/>
      </c>
    </row>
    <row r="450" ht="14.25" customHeight="1" s="57">
      <c r="A450" s="56" t="inlineStr">
        <is>
          <t>ORD-00260</t>
        </is>
      </c>
      <c r="B450" s="116" t="n">
        <v>46087</v>
      </c>
      <c r="C450" s="56" t="n">
        <v>2026</v>
      </c>
      <c r="D450" s="56" t="n">
        <v>3</v>
      </c>
      <c r="E450" s="56" t="inlineStr">
        <is>
          <t>Qatar</t>
        </is>
      </c>
      <c r="F450" s="56" t="inlineStr">
        <is>
          <t>Doha</t>
        </is>
      </c>
      <c r="G450" s="56" t="inlineStr">
        <is>
          <t>TikTok Ads</t>
        </is>
      </c>
      <c r="H450" s="56" t="inlineStr">
        <is>
          <t>Retargeting</t>
        </is>
      </c>
      <c r="I450" s="56" t="inlineStr">
        <is>
          <t>P002</t>
        </is>
      </c>
      <c r="J450" s="56" t="inlineStr">
        <is>
          <t>Phone Case</t>
        </is>
      </c>
      <c r="K450" s="56" t="inlineStr">
        <is>
          <t>Accessories</t>
        </is>
      </c>
      <c r="L450" s="56" t="inlineStr">
        <is>
          <t>Guangzhou Cases Ltd.</t>
        </is>
      </c>
      <c r="M450" s="56" t="n">
        <v>16.37</v>
      </c>
      <c r="N450" s="56" t="n">
        <v>1.97</v>
      </c>
      <c r="O450" s="56" t="n">
        <v>1.94</v>
      </c>
      <c r="P450" s="56" t="n">
        <v>0.03</v>
      </c>
      <c r="Q450" s="56" t="n">
        <v>6.64</v>
      </c>
      <c r="R450" s="56" t="n">
        <v>1</v>
      </c>
      <c r="S450" s="56">
        <f>IF(AC450="Cancelled",0,M450*R450)</f>
        <v/>
      </c>
      <c r="T450" s="56">
        <f>IF(AC450="Cancelled",0,N450*R450)</f>
        <v/>
      </c>
      <c r="U450" s="56">
        <f>IF(AC450="Cancelled",0,O450*R450)</f>
        <v/>
      </c>
      <c r="V450" s="56">
        <f>IF(AC450="Cancelled",0,ROUND(P450*S450,2))</f>
        <v/>
      </c>
      <c r="W450" s="56" t="inlineStr">
        <is>
          <t>No</t>
        </is>
      </c>
      <c r="X450" s="56" t="n">
        <v>0</v>
      </c>
      <c r="Y450" s="56">
        <f>IF(AC450="Cancelled",0,T450+U450+V450+Q450+X450)</f>
        <v/>
      </c>
      <c r="Z450" s="56">
        <f>IF(AC450="Cancelled",-Q450,S450-Y450)</f>
        <v/>
      </c>
      <c r="AA450" s="56">
        <f>IF(OR(AC450="Cancelled",S450=0),0,Z450/S450)</f>
        <v/>
      </c>
      <c r="AB450" s="56">
        <f>IFERROR(IF(Q450=0,0,S450/Q450),0)</f>
        <v/>
      </c>
      <c r="AC450" s="56" t="inlineStr">
        <is>
          <t>Delivered</t>
        </is>
      </c>
      <c r="AD450" s="56">
        <f>IF(Z450&lt;=0,"Low Profit",IF(Z450&gt;=50,"HighProfit","Medium Profit"))</f>
        <v/>
      </c>
      <c r="AE450" s="56">
        <f>TEXT(B450,"mmmm")</f>
        <v/>
      </c>
    </row>
    <row r="451" ht="14.25" customHeight="1" s="57">
      <c r="A451" s="56" t="inlineStr">
        <is>
          <t>ORD-00284</t>
        </is>
      </c>
      <c r="B451" s="116" t="n">
        <v>46088</v>
      </c>
      <c r="C451" s="56" t="n">
        <v>2026</v>
      </c>
      <c r="D451" s="56" t="n">
        <v>3</v>
      </c>
      <c r="E451" s="56" t="inlineStr">
        <is>
          <t>Saudi Arabia</t>
        </is>
      </c>
      <c r="F451" s="56" t="inlineStr">
        <is>
          <t>Jeddah</t>
        </is>
      </c>
      <c r="G451" s="56" t="inlineStr">
        <is>
          <t>TikTok Ads</t>
        </is>
      </c>
      <c r="H451" s="56" t="inlineStr">
        <is>
          <t>Retargeting</t>
        </is>
      </c>
      <c r="I451" s="56" t="inlineStr">
        <is>
          <t>P006</t>
        </is>
      </c>
      <c r="J451" s="56" t="inlineStr">
        <is>
          <t>Posture Corrector</t>
        </is>
      </c>
      <c r="K451" s="56" t="inlineStr">
        <is>
          <t>Fitness</t>
        </is>
      </c>
      <c r="L451" s="56" t="inlineStr">
        <is>
          <t>Hangzhou Health Gear</t>
        </is>
      </c>
      <c r="M451" s="56" t="n">
        <v>31.53</v>
      </c>
      <c r="N451" s="56" t="n">
        <v>9.42</v>
      </c>
      <c r="O451" s="56" t="n">
        <v>3.83</v>
      </c>
      <c r="P451" s="56" t="n">
        <v>0.03</v>
      </c>
      <c r="Q451" s="56" t="n">
        <v>3.72</v>
      </c>
      <c r="R451" s="56" t="n">
        <v>1</v>
      </c>
      <c r="S451" s="56">
        <f>IF(AC451="Cancelled",0,M451*R451)</f>
        <v/>
      </c>
      <c r="T451" s="56">
        <f>IF(AC451="Cancelled",0,N451*R451)</f>
        <v/>
      </c>
      <c r="U451" s="56">
        <f>IF(AC451="Cancelled",0,O451*R451)</f>
        <v/>
      </c>
      <c r="V451" s="56">
        <f>IF(AC451="Cancelled",0,ROUND(P451*S451,2))</f>
        <v/>
      </c>
      <c r="W451" s="56" t="inlineStr">
        <is>
          <t>No</t>
        </is>
      </c>
      <c r="X451" s="56" t="n">
        <v>0</v>
      </c>
      <c r="Y451" s="56">
        <f>IF(AC451="Cancelled",0,T451+U451+V451+Q451+X451)</f>
        <v/>
      </c>
      <c r="Z451" s="56">
        <f>IF(AC451="Cancelled",-Q451,S451-Y451)</f>
        <v/>
      </c>
      <c r="AA451" s="56">
        <f>IF(OR(AC451="Cancelled",S451=0),0,Z451/S451)</f>
        <v/>
      </c>
      <c r="AB451" s="56">
        <f>IFERROR(IF(Q451=0,0,S451/Q451),0)</f>
        <v/>
      </c>
      <c r="AC451" s="56" t="inlineStr">
        <is>
          <t>Delivered</t>
        </is>
      </c>
      <c r="AD451" s="56">
        <f>IF(Z451&lt;=0,"Low Profit",IF(Z451&gt;=50,"HighProfit","Medium Profit"))</f>
        <v/>
      </c>
      <c r="AE451" s="56">
        <f>TEXT(B451,"mmmm")</f>
        <v/>
      </c>
    </row>
    <row r="452" ht="14.25" customHeight="1" s="57">
      <c r="A452" s="56" t="inlineStr">
        <is>
          <t>ORD-00368</t>
        </is>
      </c>
      <c r="B452" s="116" t="n">
        <v>46089</v>
      </c>
      <c r="C452" s="56" t="n">
        <v>2026</v>
      </c>
      <c r="D452" s="56" t="n">
        <v>3</v>
      </c>
      <c r="E452" s="56" t="inlineStr">
        <is>
          <t>UAE</t>
        </is>
      </c>
      <c r="F452" s="56" t="inlineStr">
        <is>
          <t>Dubai</t>
        </is>
      </c>
      <c r="G452" s="56" t="inlineStr">
        <is>
          <t>Meta Ads</t>
        </is>
      </c>
      <c r="H452" s="56" t="inlineStr">
        <is>
          <t>New Creative A/B</t>
        </is>
      </c>
      <c r="I452" s="56" t="inlineStr">
        <is>
          <t>P007</t>
        </is>
      </c>
      <c r="J452" s="56" t="inlineStr">
        <is>
          <t>Pet Grooming Glove</t>
        </is>
      </c>
      <c r="K452" s="56" t="inlineStr">
        <is>
          <t>Pets</t>
        </is>
      </c>
      <c r="L452" s="56" t="inlineStr">
        <is>
          <t>Yiwu Pet Products</t>
        </is>
      </c>
      <c r="M452" s="56" t="n">
        <v>20.61</v>
      </c>
      <c r="N452" s="56" t="n">
        <v>3.52</v>
      </c>
      <c r="O452" s="56" t="n">
        <v>2.27</v>
      </c>
      <c r="P452" s="56" t="n">
        <v>0.03</v>
      </c>
      <c r="Q452" s="56" t="n">
        <v>3.38</v>
      </c>
      <c r="R452" s="56" t="n">
        <v>1</v>
      </c>
      <c r="S452" s="56">
        <f>IF(AC452="Cancelled",0,M452*R452)</f>
        <v/>
      </c>
      <c r="T452" s="56">
        <f>IF(AC452="Cancelled",0,N452*R452)</f>
        <v/>
      </c>
      <c r="U452" s="56">
        <f>IF(AC452="Cancelled",0,O452*R452)</f>
        <v/>
      </c>
      <c r="V452" s="56">
        <f>IF(AC452="Cancelled",0,ROUND(P452*S452,2))</f>
        <v/>
      </c>
      <c r="W452" s="56" t="inlineStr">
        <is>
          <t>No</t>
        </is>
      </c>
      <c r="X452" s="56" t="n">
        <v>0</v>
      </c>
      <c r="Y452" s="56">
        <f>IF(AC452="Cancelled",0,T452+U452+V452+Q452+X452)</f>
        <v/>
      </c>
      <c r="Z452" s="56">
        <f>IF(AC452="Cancelled",-Q452,S452-Y452)</f>
        <v/>
      </c>
      <c r="AA452" s="56">
        <f>IF(OR(AC452="Cancelled",S452=0),0,Z452/S452)</f>
        <v/>
      </c>
      <c r="AB452" s="56">
        <f>IFERROR(IF(Q452=0,0,S452/Q452),0)</f>
        <v/>
      </c>
      <c r="AC452" s="56" t="inlineStr">
        <is>
          <t>Delivered</t>
        </is>
      </c>
      <c r="AD452" s="56">
        <f>IF(Z452&lt;=0,"Low Profit",IF(Z452&gt;=50,"HighProfit","Medium Profit"))</f>
        <v/>
      </c>
      <c r="AE452" s="56">
        <f>TEXT(B452,"mmmm")</f>
        <v/>
      </c>
    </row>
    <row r="453" ht="14.25" customHeight="1" s="57">
      <c r="A453" s="56" t="inlineStr">
        <is>
          <t>ORD-00141</t>
        </is>
      </c>
      <c r="B453" s="116" t="n">
        <v>46092</v>
      </c>
      <c r="C453" s="56" t="n">
        <v>2026</v>
      </c>
      <c r="D453" s="56" t="n">
        <v>3</v>
      </c>
      <c r="E453" s="56" t="inlineStr">
        <is>
          <t>Qatar</t>
        </is>
      </c>
      <c r="F453" s="56" t="inlineStr">
        <is>
          <t>Doha</t>
        </is>
      </c>
      <c r="G453" s="56" t="inlineStr">
        <is>
          <t>Google Ads</t>
        </is>
      </c>
      <c r="H453" s="56" t="inlineStr">
        <is>
          <t>Retargeting</t>
        </is>
      </c>
      <c r="I453" s="56" t="inlineStr">
        <is>
          <t>P010</t>
        </is>
      </c>
      <c r="J453" s="56" t="inlineStr">
        <is>
          <t>Smart Water Bottle</t>
        </is>
      </c>
      <c r="K453" s="56" t="inlineStr">
        <is>
          <t>Lifestyle</t>
        </is>
      </c>
      <c r="L453" s="56" t="inlineStr">
        <is>
          <t>Shenzhen Smart Home</t>
        </is>
      </c>
      <c r="M453" s="56" t="n">
        <v>36.88</v>
      </c>
      <c r="N453" s="56" t="n">
        <v>10.32</v>
      </c>
      <c r="O453" s="56" t="n">
        <v>3.82</v>
      </c>
      <c r="P453" s="56" t="n">
        <v>0.03</v>
      </c>
      <c r="Q453" s="56" t="n">
        <v>8.800000000000001</v>
      </c>
      <c r="R453" s="56" t="n">
        <v>1</v>
      </c>
      <c r="S453" s="56">
        <f>IF(AC453="Cancelled",0,M453*R453)</f>
        <v/>
      </c>
      <c r="T453" s="56">
        <f>IF(AC453="Cancelled",0,N453*R453)</f>
        <v/>
      </c>
      <c r="U453" s="56">
        <f>IF(AC453="Cancelled",0,O453*R453)</f>
        <v/>
      </c>
      <c r="V453" s="56">
        <f>IF(AC453="Cancelled",0,ROUND(P453*S453,2))</f>
        <v/>
      </c>
      <c r="W453" s="56" t="inlineStr">
        <is>
          <t>Yes</t>
        </is>
      </c>
      <c r="X453" s="56" t="n">
        <v>21.52</v>
      </c>
      <c r="Y453" s="56">
        <f>IF(AC453="Cancelled",0,T453+U453+V453+Q453+X453)</f>
        <v/>
      </c>
      <c r="Z453" s="56">
        <f>IF(AC453="Cancelled",-Q453,S453-Y453)</f>
        <v/>
      </c>
      <c r="AA453" s="56">
        <f>IF(OR(AC453="Cancelled",S453=0),0,Z453/S453)</f>
        <v/>
      </c>
      <c r="AB453" s="56">
        <f>IFERROR(IF(Q453=0,0,S453/Q453),0)</f>
        <v/>
      </c>
      <c r="AC453" s="56" t="inlineStr">
        <is>
          <t>Refunded</t>
        </is>
      </c>
      <c r="AD453" s="56">
        <f>IF(Z453&lt;=0,"Low Profit",IF(Z453&gt;=50,"HighProfit","Medium Profit"))</f>
        <v/>
      </c>
      <c r="AE453" s="56">
        <f>TEXT(B453,"mmmm")</f>
        <v/>
      </c>
    </row>
    <row r="454" ht="14.25" customHeight="1" s="57">
      <c r="A454" s="56" t="inlineStr">
        <is>
          <t>ORD-00321</t>
        </is>
      </c>
      <c r="B454" s="116" t="n">
        <v>46092</v>
      </c>
      <c r="C454" s="56" t="n">
        <v>2026</v>
      </c>
      <c r="D454" s="56" t="n">
        <v>3</v>
      </c>
      <c r="E454" s="56" t="inlineStr">
        <is>
          <t>UAE</t>
        </is>
      </c>
      <c r="F454" s="56" t="inlineStr">
        <is>
          <t>Abu Dhabi</t>
        </is>
      </c>
      <c r="G454" s="56" t="inlineStr">
        <is>
          <t>Meta Ads</t>
        </is>
      </c>
      <c r="H454" s="56" t="inlineStr">
        <is>
          <t>Summer Sale</t>
        </is>
      </c>
      <c r="I454" s="56" t="inlineStr">
        <is>
          <t>P008</t>
        </is>
      </c>
      <c r="J454" s="56" t="inlineStr">
        <is>
          <t>Portable Blender</t>
        </is>
      </c>
      <c r="K454" s="56" t="inlineStr">
        <is>
          <t>Kitchen</t>
        </is>
      </c>
      <c r="L454" s="56" t="inlineStr">
        <is>
          <t>Foshan Appliances</t>
        </is>
      </c>
      <c r="M454" s="56" t="n">
        <v>46.93</v>
      </c>
      <c r="N454" s="56" t="n">
        <v>15.82</v>
      </c>
      <c r="O454" s="56" t="n">
        <v>5.58</v>
      </c>
      <c r="P454" s="56" t="n">
        <v>0.03</v>
      </c>
      <c r="Q454" s="56" t="n">
        <v>3.01</v>
      </c>
      <c r="R454" s="56" t="n">
        <v>3</v>
      </c>
      <c r="S454" s="56">
        <f>IF(AC454="Cancelled",0,M454*R454)</f>
        <v/>
      </c>
      <c r="T454" s="56">
        <f>IF(AC454="Cancelled",0,N454*R454)</f>
        <v/>
      </c>
      <c r="U454" s="56">
        <f>IF(AC454="Cancelled",0,O454*R454)</f>
        <v/>
      </c>
      <c r="V454" s="56">
        <f>IF(AC454="Cancelled",0,ROUND(P454*S454,2))</f>
        <v/>
      </c>
      <c r="W454" s="56" t="inlineStr">
        <is>
          <t>No</t>
        </is>
      </c>
      <c r="X454" s="56" t="n">
        <v>0</v>
      </c>
      <c r="Y454" s="56">
        <f>IF(AC454="Cancelled",0,T454+U454+V454+Q454+X454)</f>
        <v/>
      </c>
      <c r="Z454" s="56">
        <f>IF(AC454="Cancelled",-Q454,S454-Y454)</f>
        <v/>
      </c>
      <c r="AA454" s="56">
        <f>IF(OR(AC454="Cancelled",S454=0),0,Z454/S454)</f>
        <v/>
      </c>
      <c r="AB454" s="56">
        <f>IFERROR(IF(Q454=0,0,S454/Q454),0)</f>
        <v/>
      </c>
      <c r="AC454" s="56" t="inlineStr">
        <is>
          <t>Delivered</t>
        </is>
      </c>
      <c r="AD454" s="56">
        <f>IF(Z454&lt;=0,"Low Profit",IF(Z454&gt;=50,"HighProfit","Medium Profit"))</f>
        <v/>
      </c>
      <c r="AE454" s="56">
        <f>TEXT(B454,"mmmm")</f>
        <v/>
      </c>
    </row>
    <row r="455" ht="14.25" customHeight="1" s="57">
      <c r="A455" s="56" t="inlineStr">
        <is>
          <t>ORD-00359</t>
        </is>
      </c>
      <c r="B455" s="116" t="n">
        <v>46092</v>
      </c>
      <c r="C455" s="56" t="n">
        <v>2026</v>
      </c>
      <c r="D455" s="56" t="n">
        <v>3</v>
      </c>
      <c r="E455" s="56" t="inlineStr">
        <is>
          <t>Saudi Arabia</t>
        </is>
      </c>
      <c r="F455" s="56" t="inlineStr">
        <is>
          <t>Jeddah</t>
        </is>
      </c>
      <c r="G455" s="56" t="inlineStr">
        <is>
          <t>TikTok Ads</t>
        </is>
      </c>
      <c r="H455" s="56" t="inlineStr">
        <is>
          <t>Retargeting</t>
        </is>
      </c>
      <c r="I455" s="56" t="inlineStr">
        <is>
          <t>P005</t>
        </is>
      </c>
      <c r="J455" s="56" t="inlineStr">
        <is>
          <t>Mini Printer</t>
        </is>
      </c>
      <c r="K455" s="56" t="inlineStr">
        <is>
          <t>Electronics</t>
        </is>
      </c>
      <c r="L455" s="56" t="inlineStr">
        <is>
          <t>Shenzhen Print Tech</t>
        </is>
      </c>
      <c r="M455" s="56" t="n">
        <v>64.68000000000001</v>
      </c>
      <c r="N455" s="56" t="n">
        <v>23.18</v>
      </c>
      <c r="O455" s="56" t="n">
        <v>6.51</v>
      </c>
      <c r="P455" s="56" t="n">
        <v>0.03</v>
      </c>
      <c r="Q455" s="56" t="n">
        <v>24.8</v>
      </c>
      <c r="R455" s="56" t="n">
        <v>3</v>
      </c>
      <c r="S455" s="56">
        <f>IF(AC455="Cancelled",0,M455*R455)</f>
        <v/>
      </c>
      <c r="T455" s="56">
        <f>IF(AC455="Cancelled",0,N455*R455)</f>
        <v/>
      </c>
      <c r="U455" s="56">
        <f>IF(AC455="Cancelled",0,O455*R455)</f>
        <v/>
      </c>
      <c r="V455" s="56">
        <f>IF(AC455="Cancelled",0,ROUND(P455*S455,2))</f>
        <v/>
      </c>
      <c r="W455" s="56" t="inlineStr">
        <is>
          <t>No</t>
        </is>
      </c>
      <c r="X455" s="56" t="n">
        <v>0</v>
      </c>
      <c r="Y455" s="56">
        <f>IF(AC455="Cancelled",0,T455+U455+V455+Q455+X455)</f>
        <v/>
      </c>
      <c r="Z455" s="56">
        <f>IF(AC455="Cancelled",-Q455,S455-Y455)</f>
        <v/>
      </c>
      <c r="AA455" s="56">
        <f>IF(OR(AC455="Cancelled",S455=0),0,Z455/S455)</f>
        <v/>
      </c>
      <c r="AB455" s="56">
        <f>IFERROR(IF(Q455=0,0,S455/Q455),0)</f>
        <v/>
      </c>
      <c r="AC455" s="56" t="inlineStr">
        <is>
          <t>Delivered</t>
        </is>
      </c>
      <c r="AD455" s="56">
        <f>IF(Z455&lt;=0,"Low Profit",IF(Z455&gt;=50,"HighProfit","Medium Profit"))</f>
        <v/>
      </c>
      <c r="AE455" s="56">
        <f>TEXT(B455,"mmmm")</f>
        <v/>
      </c>
    </row>
    <row r="456" ht="14.25" customHeight="1" s="57">
      <c r="A456" s="56" t="inlineStr">
        <is>
          <t>ORD-00409</t>
        </is>
      </c>
      <c r="B456" s="116" t="n">
        <v>46092</v>
      </c>
      <c r="C456" s="56" t="n">
        <v>2026</v>
      </c>
      <c r="D456" s="56" t="n">
        <v>3</v>
      </c>
      <c r="E456" s="56" t="inlineStr">
        <is>
          <t>Kuwait</t>
        </is>
      </c>
      <c r="F456" s="56" t="inlineStr">
        <is>
          <t>Kuwait City</t>
        </is>
      </c>
      <c r="G456" s="56" t="inlineStr">
        <is>
          <t>Google Ads</t>
        </is>
      </c>
      <c r="H456" s="56" t="inlineStr">
        <is>
          <t>Bundle Promo</t>
        </is>
      </c>
      <c r="I456" s="56" t="inlineStr">
        <is>
          <t>P001</t>
        </is>
      </c>
      <c r="J456" s="56" t="inlineStr">
        <is>
          <t>Wireless Earbuds</t>
        </is>
      </c>
      <c r="K456" s="56" t="inlineStr">
        <is>
          <t>Electronics</t>
        </is>
      </c>
      <c r="L456" s="56" t="inlineStr">
        <is>
          <t>Shenzhen Audio Co.</t>
        </is>
      </c>
      <c r="M456" s="56" t="n">
        <v>37.74</v>
      </c>
      <c r="N456" s="56" t="n">
        <v>8.81</v>
      </c>
      <c r="O456" s="56" t="n">
        <v>4.31</v>
      </c>
      <c r="P456" s="56" t="n">
        <v>0.03</v>
      </c>
      <c r="Q456" s="56" t="n">
        <v>17.49</v>
      </c>
      <c r="R456" s="56" t="n">
        <v>2</v>
      </c>
      <c r="S456" s="56">
        <f>IF(AC456="Cancelled",0,M456*R456)</f>
        <v/>
      </c>
      <c r="T456" s="56">
        <f>IF(AC456="Cancelled",0,N456*R456)</f>
        <v/>
      </c>
      <c r="U456" s="56">
        <f>IF(AC456="Cancelled",0,O456*R456)</f>
        <v/>
      </c>
      <c r="V456" s="56">
        <f>IF(AC456="Cancelled",0,ROUND(P456*S456,2))</f>
        <v/>
      </c>
      <c r="W456" s="56" t="inlineStr">
        <is>
          <t>No</t>
        </is>
      </c>
      <c r="X456" s="56" t="n">
        <v>0</v>
      </c>
      <c r="Y456" s="56">
        <f>IF(AC456="Cancelled",0,T456+U456+V456+Q456+X456)</f>
        <v/>
      </c>
      <c r="Z456" s="56">
        <f>IF(AC456="Cancelled",-Q456,S456-Y456)</f>
        <v/>
      </c>
      <c r="AA456" s="56">
        <f>IF(OR(AC456="Cancelled",S456=0),0,Z456/S456)</f>
        <v/>
      </c>
      <c r="AB456" s="56">
        <f>IFERROR(IF(Q456=0,0,S456/Q456),0)</f>
        <v/>
      </c>
      <c r="AC456" s="56" t="inlineStr">
        <is>
          <t>Delivered</t>
        </is>
      </c>
      <c r="AD456" s="56">
        <f>IF(Z456&lt;=0,"Low Profit",IF(Z456&gt;=50,"HighProfit","Medium Profit"))</f>
        <v/>
      </c>
      <c r="AE456" s="56">
        <f>TEXT(B456,"mmmm")</f>
        <v/>
      </c>
    </row>
    <row r="457" ht="14.25" customHeight="1" s="57">
      <c r="A457" s="56" t="inlineStr">
        <is>
          <t>ORD-00493</t>
        </is>
      </c>
      <c r="B457" s="116" t="n">
        <v>46093</v>
      </c>
      <c r="C457" s="56" t="n">
        <v>2026</v>
      </c>
      <c r="D457" s="56" t="n">
        <v>3</v>
      </c>
      <c r="E457" s="56" t="inlineStr">
        <is>
          <t>UAE</t>
        </is>
      </c>
      <c r="F457" s="56" t="inlineStr">
        <is>
          <t>Abu Dhabi</t>
        </is>
      </c>
      <c r="G457" s="56" t="inlineStr">
        <is>
          <t>Google Ads</t>
        </is>
      </c>
      <c r="H457" s="56" t="inlineStr">
        <is>
          <t>Bundle Promo</t>
        </is>
      </c>
      <c r="I457" s="56" t="inlineStr">
        <is>
          <t>P003</t>
        </is>
      </c>
      <c r="J457" s="56" t="inlineStr">
        <is>
          <t>LED Strip Lights</t>
        </is>
      </c>
      <c r="K457" s="56" t="inlineStr">
        <is>
          <t>Home Decor</t>
        </is>
      </c>
      <c r="L457" s="56" t="inlineStr">
        <is>
          <t>Yiwu Lighting Factory</t>
        </is>
      </c>
      <c r="M457" s="56" t="n">
        <v>25.91</v>
      </c>
      <c r="N457" s="56" t="n">
        <v>5.9</v>
      </c>
      <c r="O457" s="56" t="n">
        <v>3.77</v>
      </c>
      <c r="P457" s="56" t="n">
        <v>0.03</v>
      </c>
      <c r="Q457" s="56" t="n">
        <v>7.43</v>
      </c>
      <c r="R457" s="56" t="n">
        <v>2</v>
      </c>
      <c r="S457" s="56">
        <f>IF(AC457="Cancelled",0,M457*R457)</f>
        <v/>
      </c>
      <c r="T457" s="56">
        <f>IF(AC457="Cancelled",0,N457*R457)</f>
        <v/>
      </c>
      <c r="U457" s="56">
        <f>IF(AC457="Cancelled",0,O457*R457)</f>
        <v/>
      </c>
      <c r="V457" s="56">
        <f>IF(AC457="Cancelled",0,ROUND(P457*S457,2))</f>
        <v/>
      </c>
      <c r="W457" s="56" t="inlineStr">
        <is>
          <t>No</t>
        </is>
      </c>
      <c r="X457" s="56" t="n">
        <v>0</v>
      </c>
      <c r="Y457" s="56">
        <f>IF(AC457="Cancelled",0,T457+U457+V457+Q457+X457)</f>
        <v/>
      </c>
      <c r="Z457" s="56">
        <f>IF(AC457="Cancelled",-Q457,S457-Y457)</f>
        <v/>
      </c>
      <c r="AA457" s="56">
        <f>IF(OR(AC457="Cancelled",S457=0),0,Z457/S457)</f>
        <v/>
      </c>
      <c r="AB457" s="56">
        <f>IFERROR(IF(Q457=0,0,S457/Q457),0)</f>
        <v/>
      </c>
      <c r="AC457" s="56" t="inlineStr">
        <is>
          <t>Delivered</t>
        </is>
      </c>
      <c r="AD457" s="56">
        <f>IF(Z457&lt;=0,"Low Profit",IF(Z457&gt;=50,"HighProfit","Medium Profit"))</f>
        <v/>
      </c>
      <c r="AE457" s="56">
        <f>TEXT(B457,"mmmm")</f>
        <v/>
      </c>
    </row>
    <row r="458" ht="14.25" customHeight="1" s="57">
      <c r="A458" s="56" t="inlineStr">
        <is>
          <t>ORD-00282</t>
        </is>
      </c>
      <c r="B458" s="116" t="n">
        <v>46096</v>
      </c>
      <c r="C458" s="56" t="n">
        <v>2026</v>
      </c>
      <c r="D458" s="56" t="n">
        <v>3</v>
      </c>
      <c r="E458" s="56" t="inlineStr">
        <is>
          <t>Saudi Arabia</t>
        </is>
      </c>
      <c r="F458" s="56" t="inlineStr">
        <is>
          <t>Jeddah</t>
        </is>
      </c>
      <c r="G458" s="56" t="inlineStr">
        <is>
          <t>Google Ads</t>
        </is>
      </c>
      <c r="H458" s="56" t="inlineStr">
        <is>
          <t>Summer Sale</t>
        </is>
      </c>
      <c r="I458" s="56" t="inlineStr">
        <is>
          <t>P010</t>
        </is>
      </c>
      <c r="J458" s="56" t="inlineStr">
        <is>
          <t>Smart Water Bottle</t>
        </is>
      </c>
      <c r="K458" s="56" t="inlineStr">
        <is>
          <t>Lifestyle</t>
        </is>
      </c>
      <c r="L458" s="56" t="inlineStr">
        <is>
          <t>Shenzhen Smart Home</t>
        </is>
      </c>
      <c r="M458" s="56" t="n">
        <v>33.95</v>
      </c>
      <c r="N458" s="56" t="n">
        <v>10.78</v>
      </c>
      <c r="O458" s="56" t="n">
        <v>3.86</v>
      </c>
      <c r="P458" s="56" t="n">
        <v>0.03</v>
      </c>
      <c r="Q458" s="56" t="n">
        <v>4.2</v>
      </c>
      <c r="R458" s="56" t="n">
        <v>1</v>
      </c>
      <c r="S458" s="56">
        <f>IF(AC458="Cancelled",0,M458*R458)</f>
        <v/>
      </c>
      <c r="T458" s="56">
        <f>IF(AC458="Cancelled",0,N458*R458)</f>
        <v/>
      </c>
      <c r="U458" s="56">
        <f>IF(AC458="Cancelled",0,O458*R458)</f>
        <v/>
      </c>
      <c r="V458" s="56">
        <f>IF(AC458="Cancelled",0,ROUND(P458*S458,2))</f>
        <v/>
      </c>
      <c r="W458" s="56" t="inlineStr">
        <is>
          <t>No</t>
        </is>
      </c>
      <c r="X458" s="56" t="n">
        <v>0</v>
      </c>
      <c r="Y458" s="56">
        <f>IF(AC458="Cancelled",0,T458+U458+V458+Q458+X458)</f>
        <v/>
      </c>
      <c r="Z458" s="56">
        <f>IF(AC458="Cancelled",-Q458,S458-Y458)</f>
        <v/>
      </c>
      <c r="AA458" s="56">
        <f>IF(OR(AC458="Cancelled",S458=0),0,Z458/S458)</f>
        <v/>
      </c>
      <c r="AB458" s="56">
        <f>IFERROR(IF(Q458=0,0,S458/Q458),0)</f>
        <v/>
      </c>
      <c r="AC458" s="56" t="inlineStr">
        <is>
          <t>Delivered</t>
        </is>
      </c>
      <c r="AD458" s="56">
        <f>IF(Z458&lt;=0,"Low Profit",IF(Z458&gt;=50,"HighProfit","Medium Profit"))</f>
        <v/>
      </c>
      <c r="AE458" s="56">
        <f>TEXT(B458,"mmmm")</f>
        <v/>
      </c>
    </row>
    <row r="459" ht="14.25" customHeight="1" s="57">
      <c r="A459" s="56" t="inlineStr">
        <is>
          <t>ORD-00477</t>
        </is>
      </c>
      <c r="B459" s="116" t="n">
        <v>46099</v>
      </c>
      <c r="C459" s="56" t="n">
        <v>2026</v>
      </c>
      <c r="D459" s="56" t="n">
        <v>3</v>
      </c>
      <c r="E459" s="56" t="inlineStr">
        <is>
          <t>Kuwait</t>
        </is>
      </c>
      <c r="F459" s="56" t="inlineStr">
        <is>
          <t>Kuwait City</t>
        </is>
      </c>
      <c r="G459" s="56" t="inlineStr">
        <is>
          <t>TikTok Ads</t>
        </is>
      </c>
      <c r="H459" s="56" t="inlineStr">
        <is>
          <t>New Creative A/B</t>
        </is>
      </c>
      <c r="I459" s="56" t="inlineStr">
        <is>
          <t>P004</t>
        </is>
      </c>
      <c r="J459" s="56" t="inlineStr">
        <is>
          <t>Beauty Tool</t>
        </is>
      </c>
      <c r="K459" s="56" t="inlineStr">
        <is>
          <t>Beauty</t>
        </is>
      </c>
      <c r="L459" s="56" t="inlineStr">
        <is>
          <t>Ningbo Beauty Supply</t>
        </is>
      </c>
      <c r="M459" s="56" t="n">
        <v>31.08</v>
      </c>
      <c r="N459" s="56" t="n">
        <v>7.33</v>
      </c>
      <c r="O459" s="56" t="n">
        <v>4.66</v>
      </c>
      <c r="P459" s="56" t="n">
        <v>0.03</v>
      </c>
      <c r="Q459" s="56" t="n">
        <v>26.99</v>
      </c>
      <c r="R459" s="56" t="n">
        <v>3</v>
      </c>
      <c r="S459" s="56">
        <f>IF(AC459="Cancelled",0,M459*R459)</f>
        <v/>
      </c>
      <c r="T459" s="56">
        <f>IF(AC459="Cancelled",0,N459*R459)</f>
        <v/>
      </c>
      <c r="U459" s="56">
        <f>IF(AC459="Cancelled",0,O459*R459)</f>
        <v/>
      </c>
      <c r="V459" s="56">
        <f>IF(AC459="Cancelled",0,ROUND(P459*S459,2))</f>
        <v/>
      </c>
      <c r="W459" s="56" t="inlineStr">
        <is>
          <t>No</t>
        </is>
      </c>
      <c r="X459" s="56" t="n">
        <v>0</v>
      </c>
      <c r="Y459" s="56">
        <f>IF(AC459="Cancelled",0,T459+U459+V459+Q459+X459)</f>
        <v/>
      </c>
      <c r="Z459" s="56">
        <f>IF(AC459="Cancelled",-Q459,S459-Y459)</f>
        <v/>
      </c>
      <c r="AA459" s="56">
        <f>IF(OR(AC459="Cancelled",S459=0),0,Z459/S459)</f>
        <v/>
      </c>
      <c r="AB459" s="56">
        <f>IFERROR(IF(Q459=0,0,S459/Q459),0)</f>
        <v/>
      </c>
      <c r="AC459" s="56" t="inlineStr">
        <is>
          <t>Delivered</t>
        </is>
      </c>
      <c r="AD459" s="56">
        <f>IF(Z459&lt;=0,"Low Profit",IF(Z459&gt;=50,"HighProfit","Medium Profit"))</f>
        <v/>
      </c>
      <c r="AE459" s="56">
        <f>TEXT(B459,"mmmm")</f>
        <v/>
      </c>
    </row>
    <row r="460" ht="14.25" customHeight="1" s="57">
      <c r="A460" s="56" t="inlineStr">
        <is>
          <t>ORD-00299</t>
        </is>
      </c>
      <c r="B460" s="116" t="n">
        <v>46100</v>
      </c>
      <c r="C460" s="56" t="n">
        <v>2026</v>
      </c>
      <c r="D460" s="56" t="n">
        <v>3</v>
      </c>
      <c r="E460" s="56" t="inlineStr">
        <is>
          <t>Saudi Arabia</t>
        </is>
      </c>
      <c r="F460" s="56" t="inlineStr">
        <is>
          <t>Riyadh</t>
        </is>
      </c>
      <c r="G460" s="56" t="inlineStr">
        <is>
          <t>Meta Ads</t>
        </is>
      </c>
      <c r="H460" s="56" t="inlineStr">
        <is>
          <t>Bundle Promo</t>
        </is>
      </c>
      <c r="I460" s="56" t="inlineStr">
        <is>
          <t>P004</t>
        </is>
      </c>
      <c r="J460" s="56" t="inlineStr">
        <is>
          <t>Beauty Tool</t>
        </is>
      </c>
      <c r="K460" s="56" t="inlineStr">
        <is>
          <t>Beauty</t>
        </is>
      </c>
      <c r="L460" s="56" t="inlineStr">
        <is>
          <t>Ningbo Beauty Supply</t>
        </is>
      </c>
      <c r="M460" s="56" t="n">
        <v>29.04</v>
      </c>
      <c r="N460" s="56" t="n">
        <v>7.2</v>
      </c>
      <c r="O460" s="56" t="n">
        <v>4.72</v>
      </c>
      <c r="P460" s="56" t="n">
        <v>0.03</v>
      </c>
      <c r="Q460" s="56" t="n">
        <v>6.48</v>
      </c>
      <c r="R460" s="56" t="n">
        <v>1</v>
      </c>
      <c r="S460" s="56">
        <f>IF(AC460="Cancelled",0,M460*R460)</f>
        <v/>
      </c>
      <c r="T460" s="56">
        <f>IF(AC460="Cancelled",0,N460*R460)</f>
        <v/>
      </c>
      <c r="U460" s="56">
        <f>IF(AC460="Cancelled",0,O460*R460)</f>
        <v/>
      </c>
      <c r="V460" s="56">
        <f>IF(AC460="Cancelled",0,ROUND(P460*S460,2))</f>
        <v/>
      </c>
      <c r="W460" s="56" t="inlineStr">
        <is>
          <t>No</t>
        </is>
      </c>
      <c r="X460" s="56" t="n">
        <v>0</v>
      </c>
      <c r="Y460" s="56">
        <f>IF(AC460="Cancelled",0,T460+U460+V460+Q460+X460)</f>
        <v/>
      </c>
      <c r="Z460" s="56">
        <f>IF(AC460="Cancelled",-Q460,S460-Y460)</f>
        <v/>
      </c>
      <c r="AA460" s="56">
        <f>IF(OR(AC460="Cancelled",S460=0),0,Z460/S460)</f>
        <v/>
      </c>
      <c r="AB460" s="56">
        <f>IFERROR(IF(Q460=0,0,S460/Q460),0)</f>
        <v/>
      </c>
      <c r="AC460" s="56" t="inlineStr">
        <is>
          <t>Delivered</t>
        </is>
      </c>
      <c r="AD460" s="56">
        <f>IF(Z460&lt;=0,"Low Profit",IF(Z460&gt;=50,"HighProfit","Medium Profit"))</f>
        <v/>
      </c>
      <c r="AE460" s="56">
        <f>TEXT(B460,"mmmm")</f>
        <v/>
      </c>
    </row>
    <row r="461" ht="14.25" customHeight="1" s="57">
      <c r="A461" s="56" t="inlineStr">
        <is>
          <t>ORD-00303</t>
        </is>
      </c>
      <c r="B461" s="116" t="n">
        <v>46101</v>
      </c>
      <c r="C461" s="56" t="n">
        <v>2026</v>
      </c>
      <c r="D461" s="56" t="n">
        <v>3</v>
      </c>
      <c r="E461" s="56" t="inlineStr">
        <is>
          <t>UAE</t>
        </is>
      </c>
      <c r="F461" s="56" t="inlineStr">
        <is>
          <t>Dubai</t>
        </is>
      </c>
      <c r="G461" s="56" t="inlineStr">
        <is>
          <t>Meta Ads</t>
        </is>
      </c>
      <c r="H461" s="56" t="inlineStr">
        <is>
          <t>Bundle Promo</t>
        </is>
      </c>
      <c r="I461" s="56" t="inlineStr">
        <is>
          <t>P009</t>
        </is>
      </c>
      <c r="J461" s="56" t="inlineStr">
        <is>
          <t>Car Vacuum Cleaner</t>
        </is>
      </c>
      <c r="K461" s="56" t="inlineStr">
        <is>
          <t>Automotive</t>
        </is>
      </c>
      <c r="L461" s="56" t="inlineStr">
        <is>
          <t>Dongguan Auto Tools</t>
        </is>
      </c>
      <c r="M461" s="56" t="n">
        <v>47.62</v>
      </c>
      <c r="N461" s="56" t="n">
        <v>14.84</v>
      </c>
      <c r="O461" s="56" t="n">
        <v>6.87</v>
      </c>
      <c r="P461" s="56" t="n">
        <v>0.03</v>
      </c>
      <c r="Q461" s="56" t="n">
        <v>9.42</v>
      </c>
      <c r="R461" s="56" t="n">
        <v>1</v>
      </c>
      <c r="S461" s="56">
        <f>IF(AC461="Cancelled",0,M461*R461)</f>
        <v/>
      </c>
      <c r="T461" s="56">
        <f>IF(AC461="Cancelled",0,N461*R461)</f>
        <v/>
      </c>
      <c r="U461" s="56">
        <f>IF(AC461="Cancelled",0,O461*R461)</f>
        <v/>
      </c>
      <c r="V461" s="56">
        <f>IF(AC461="Cancelled",0,ROUND(P461*S461,2))</f>
        <v/>
      </c>
      <c r="W461" s="56" t="inlineStr">
        <is>
          <t>No</t>
        </is>
      </c>
      <c r="X461" s="56" t="n">
        <v>0</v>
      </c>
      <c r="Y461" s="56">
        <f>IF(AC461="Cancelled",0,T461+U461+V461+Q461+X461)</f>
        <v/>
      </c>
      <c r="Z461" s="56">
        <f>IF(AC461="Cancelled",-Q461,S461-Y461)</f>
        <v/>
      </c>
      <c r="AA461" s="56">
        <f>IF(OR(AC461="Cancelled",S461=0),0,Z461/S461)</f>
        <v/>
      </c>
      <c r="AB461" s="56">
        <f>IFERROR(IF(Q461=0,0,S461/Q461),0)</f>
        <v/>
      </c>
      <c r="AC461" s="56" t="inlineStr">
        <is>
          <t>Delivered</t>
        </is>
      </c>
      <c r="AD461" s="56">
        <f>IF(Z461&lt;=0,"Low Profit",IF(Z461&gt;=50,"HighProfit","Medium Profit"))</f>
        <v/>
      </c>
      <c r="AE461" s="56">
        <f>TEXT(B461,"mmmm")</f>
        <v/>
      </c>
    </row>
    <row r="462" ht="14.25" customHeight="1" s="57">
      <c r="A462" s="56" t="inlineStr">
        <is>
          <t>ORD-00025</t>
        </is>
      </c>
      <c r="B462" s="116" t="n">
        <v>46103</v>
      </c>
      <c r="C462" s="56" t="n">
        <v>2026</v>
      </c>
      <c r="D462" s="56" t="n">
        <v>3</v>
      </c>
      <c r="E462" s="56" t="inlineStr">
        <is>
          <t>UAE</t>
        </is>
      </c>
      <c r="F462" s="56" t="inlineStr">
        <is>
          <t>Dubai</t>
        </is>
      </c>
      <c r="G462" s="56" t="inlineStr">
        <is>
          <t>TikTok Ads</t>
        </is>
      </c>
      <c r="H462" s="56" t="inlineStr">
        <is>
          <t>Launch Test</t>
        </is>
      </c>
      <c r="I462" s="56" t="inlineStr">
        <is>
          <t>P001</t>
        </is>
      </c>
      <c r="J462" s="56" t="inlineStr">
        <is>
          <t>Wireless Earbuds</t>
        </is>
      </c>
      <c r="K462" s="56" t="inlineStr">
        <is>
          <t>Electronics</t>
        </is>
      </c>
      <c r="L462" s="56" t="inlineStr">
        <is>
          <t>Shenzhen Audio Co.</t>
        </is>
      </c>
      <c r="M462" s="56" t="n">
        <v>44.22</v>
      </c>
      <c r="N462" s="56" t="n">
        <v>8.43</v>
      </c>
      <c r="O462" s="56" t="n">
        <v>4.24</v>
      </c>
      <c r="P462" s="56" t="n">
        <v>0.03</v>
      </c>
      <c r="Q462" s="56" t="n">
        <v>25.02</v>
      </c>
      <c r="R462" s="56" t="n">
        <v>3</v>
      </c>
      <c r="S462" s="56">
        <f>IF(AC462="Cancelled",0,M462*R462)</f>
        <v/>
      </c>
      <c r="T462" s="56">
        <f>IF(AC462="Cancelled",0,N462*R462)</f>
        <v/>
      </c>
      <c r="U462" s="56">
        <f>IF(AC462="Cancelled",0,O462*R462)</f>
        <v/>
      </c>
      <c r="V462" s="56">
        <f>IF(AC462="Cancelled",0,ROUND(P462*S462,2))</f>
        <v/>
      </c>
      <c r="W462" s="56" t="inlineStr">
        <is>
          <t>No</t>
        </is>
      </c>
      <c r="X462" s="56" t="n">
        <v>0</v>
      </c>
      <c r="Y462" s="56">
        <f>IF(AC462="Cancelled",0,T462+U462+V462+Q462+X462)</f>
        <v/>
      </c>
      <c r="Z462" s="56">
        <f>IF(AC462="Cancelled",-Q462,S462-Y462)</f>
        <v/>
      </c>
      <c r="AA462" s="56">
        <f>IF(OR(AC462="Cancelled",S462=0),0,Z462/S462)</f>
        <v/>
      </c>
      <c r="AB462" s="56">
        <f>IFERROR(IF(Q462=0,0,S462/Q462),0)</f>
        <v/>
      </c>
      <c r="AC462" s="56" t="inlineStr">
        <is>
          <t>Delivered</t>
        </is>
      </c>
      <c r="AD462" s="56">
        <f>IF(Z462&lt;=0,"Low Profit",IF(Z462&gt;=50,"HighProfit","Medium Profit"))</f>
        <v/>
      </c>
      <c r="AE462" s="56">
        <f>TEXT(B462,"mmmm")</f>
        <v/>
      </c>
    </row>
    <row r="463" ht="14.25" customHeight="1" s="57">
      <c r="A463" s="56" t="inlineStr">
        <is>
          <t>ORD-00196</t>
        </is>
      </c>
      <c r="B463" s="116" t="n">
        <v>46107</v>
      </c>
      <c r="C463" s="56" t="n">
        <v>2026</v>
      </c>
      <c r="D463" s="56" t="n">
        <v>3</v>
      </c>
      <c r="E463" s="56" t="inlineStr">
        <is>
          <t>Saudi Arabia</t>
        </is>
      </c>
      <c r="F463" s="56" t="inlineStr">
        <is>
          <t>Jeddah</t>
        </is>
      </c>
      <c r="G463" s="56" t="inlineStr">
        <is>
          <t>Meta Ads</t>
        </is>
      </c>
      <c r="H463" s="56" t="inlineStr">
        <is>
          <t>Summer Sale</t>
        </is>
      </c>
      <c r="I463" s="56" t="inlineStr">
        <is>
          <t>P007</t>
        </is>
      </c>
      <c r="J463" s="56" t="inlineStr">
        <is>
          <t>Pet Grooming Glove</t>
        </is>
      </c>
      <c r="K463" s="56" t="inlineStr">
        <is>
          <t>Pets</t>
        </is>
      </c>
      <c r="L463" s="56" t="inlineStr">
        <is>
          <t>Yiwu Pet Products</t>
        </is>
      </c>
      <c r="M463" s="56" t="n">
        <v>21.74</v>
      </c>
      <c r="N463" s="56" t="n">
        <v>3.76</v>
      </c>
      <c r="O463" s="56" t="n">
        <v>2.52</v>
      </c>
      <c r="P463" s="56" t="n">
        <v>0.03</v>
      </c>
      <c r="Q463" s="56" t="n">
        <v>5.93</v>
      </c>
      <c r="R463" s="56" t="n">
        <v>2</v>
      </c>
      <c r="S463" s="56">
        <f>IF(AC463="Cancelled",0,M463*R463)</f>
        <v/>
      </c>
      <c r="T463" s="56">
        <f>IF(AC463="Cancelled",0,N463*R463)</f>
        <v/>
      </c>
      <c r="U463" s="56">
        <f>IF(AC463="Cancelled",0,O463*R463)</f>
        <v/>
      </c>
      <c r="V463" s="56">
        <f>IF(AC463="Cancelled",0,ROUND(P463*S463,2))</f>
        <v/>
      </c>
      <c r="W463" s="56" t="inlineStr">
        <is>
          <t>No</t>
        </is>
      </c>
      <c r="X463" s="56" t="n">
        <v>0</v>
      </c>
      <c r="Y463" s="56">
        <f>IF(AC463="Cancelled",0,T463+U463+V463+Q463+X463)</f>
        <v/>
      </c>
      <c r="Z463" s="56">
        <f>IF(AC463="Cancelled",-Q463,S463-Y463)</f>
        <v/>
      </c>
      <c r="AA463" s="56">
        <f>IF(OR(AC463="Cancelled",S463=0),0,Z463/S463)</f>
        <v/>
      </c>
      <c r="AB463" s="56">
        <f>IFERROR(IF(Q463=0,0,S463/Q463),0)</f>
        <v/>
      </c>
      <c r="AC463" s="56" t="inlineStr">
        <is>
          <t>Delivered</t>
        </is>
      </c>
      <c r="AD463" s="56">
        <f>IF(Z463&lt;=0,"Low Profit",IF(Z463&gt;=50,"HighProfit","Medium Profit"))</f>
        <v/>
      </c>
      <c r="AE463" s="56">
        <f>TEXT(B463,"mmmm")</f>
        <v/>
      </c>
    </row>
    <row r="464" ht="14.25" customHeight="1" s="57">
      <c r="A464" s="56" t="inlineStr">
        <is>
          <t>ORD-00137</t>
        </is>
      </c>
      <c r="B464" s="116" t="n">
        <v>46108</v>
      </c>
      <c r="C464" s="56" t="n">
        <v>2026</v>
      </c>
      <c r="D464" s="56" t="n">
        <v>3</v>
      </c>
      <c r="E464" s="56" t="inlineStr">
        <is>
          <t>UAE</t>
        </is>
      </c>
      <c r="F464" s="56" t="inlineStr">
        <is>
          <t>Sharjah</t>
        </is>
      </c>
      <c r="G464" s="56" t="inlineStr">
        <is>
          <t>TikTok Ads</t>
        </is>
      </c>
      <c r="H464" s="56" t="inlineStr">
        <is>
          <t>New Creative A/B</t>
        </is>
      </c>
      <c r="I464" s="56" t="inlineStr">
        <is>
          <t>P009</t>
        </is>
      </c>
      <c r="J464" s="56" t="inlineStr">
        <is>
          <t>Car Vacuum Cleaner</t>
        </is>
      </c>
      <c r="K464" s="56" t="inlineStr">
        <is>
          <t>Automotive</t>
        </is>
      </c>
      <c r="L464" s="56" t="inlineStr">
        <is>
          <t>Dongguan Auto Tools</t>
        </is>
      </c>
      <c r="M464" s="56" t="n">
        <v>43.99</v>
      </c>
      <c r="N464" s="56" t="n">
        <v>13.37</v>
      </c>
      <c r="O464" s="56" t="n">
        <v>7.44</v>
      </c>
      <c r="P464" s="56" t="n">
        <v>0.03</v>
      </c>
      <c r="Q464" s="56" t="n">
        <v>8.449999999999999</v>
      </c>
      <c r="R464" s="56" t="n">
        <v>1</v>
      </c>
      <c r="S464" s="56">
        <f>IF(AC464="Cancelled",0,M464*R464)</f>
        <v/>
      </c>
      <c r="T464" s="56">
        <f>IF(AC464="Cancelled",0,N464*R464)</f>
        <v/>
      </c>
      <c r="U464" s="56">
        <f>IF(AC464="Cancelled",0,O464*R464)</f>
        <v/>
      </c>
      <c r="V464" s="56">
        <f>IF(AC464="Cancelled",0,ROUND(P464*S464,2))</f>
        <v/>
      </c>
      <c r="W464" s="56" t="inlineStr">
        <is>
          <t>No</t>
        </is>
      </c>
      <c r="X464" s="56" t="n">
        <v>0</v>
      </c>
      <c r="Y464" s="56">
        <f>IF(AC464="Cancelled",0,T464+U464+V464+Q464+X464)</f>
        <v/>
      </c>
      <c r="Z464" s="56">
        <f>IF(AC464="Cancelled",-Q464,S464-Y464)</f>
        <v/>
      </c>
      <c r="AA464" s="56">
        <f>IF(OR(AC464="Cancelled",S464=0),0,Z464/S464)</f>
        <v/>
      </c>
      <c r="AB464" s="56">
        <f>IFERROR(IF(Q464=0,0,S464/Q464),0)</f>
        <v/>
      </c>
      <c r="AC464" s="56" t="inlineStr">
        <is>
          <t>Delivered</t>
        </is>
      </c>
      <c r="AD464" s="56">
        <f>IF(Z464&lt;=0,"Low Profit",IF(Z464&gt;=50,"HighProfit","Medium Profit"))</f>
        <v/>
      </c>
      <c r="AE464" s="56">
        <f>TEXT(B464,"mmmm")</f>
        <v/>
      </c>
    </row>
    <row r="465" ht="14.25" customHeight="1" s="57">
      <c r="A465" s="56" t="inlineStr">
        <is>
          <t>ORD-00223</t>
        </is>
      </c>
      <c r="B465" s="116" t="n">
        <v>46111</v>
      </c>
      <c r="C465" s="56" t="n">
        <v>2026</v>
      </c>
      <c r="D465" s="56" t="n">
        <v>3</v>
      </c>
      <c r="E465" s="56" t="inlineStr">
        <is>
          <t>Oman</t>
        </is>
      </c>
      <c r="F465" s="56" t="inlineStr">
        <is>
          <t>Muscat</t>
        </is>
      </c>
      <c r="G465" s="56" t="inlineStr">
        <is>
          <t>Organic Search</t>
        </is>
      </c>
      <c r="H465" s="56" t="inlineStr">
        <is>
          <t>Launch Test</t>
        </is>
      </c>
      <c r="I465" s="56" t="inlineStr">
        <is>
          <t>P002</t>
        </is>
      </c>
      <c r="J465" s="56" t="inlineStr">
        <is>
          <t>Phone Case</t>
        </is>
      </c>
      <c r="K465" s="56" t="inlineStr">
        <is>
          <t>Accessories</t>
        </is>
      </c>
      <c r="L465" s="56" t="inlineStr">
        <is>
          <t>Guangzhou Cases Ltd.</t>
        </is>
      </c>
      <c r="M465" s="56" t="n">
        <v>13.91</v>
      </c>
      <c r="N465" s="56" t="n">
        <v>2.01</v>
      </c>
      <c r="O465" s="56" t="n">
        <v>1.92</v>
      </c>
      <c r="P465" s="56" t="n">
        <v>0.03</v>
      </c>
      <c r="Q465" s="56" t="n">
        <v>0</v>
      </c>
      <c r="R465" s="56" t="n">
        <v>1</v>
      </c>
      <c r="S465" s="56">
        <f>IF(AC465="Cancelled",0,M465*R465)</f>
        <v/>
      </c>
      <c r="T465" s="56">
        <f>IF(AC465="Cancelled",0,N465*R465)</f>
        <v/>
      </c>
      <c r="U465" s="56">
        <f>IF(AC465="Cancelled",0,O465*R465)</f>
        <v/>
      </c>
      <c r="V465" s="56">
        <f>IF(AC465="Cancelled",0,ROUND(P465*S465,2))</f>
        <v/>
      </c>
      <c r="W465" s="56" t="inlineStr">
        <is>
          <t>No</t>
        </is>
      </c>
      <c r="X465" s="56" t="n">
        <v>0</v>
      </c>
      <c r="Y465" s="56">
        <f>IF(AC465="Cancelled",0,T465+U465+V465+Q465+X465)</f>
        <v/>
      </c>
      <c r="Z465" s="56">
        <f>IF(AC465="Cancelled",-Q465,S465-Y465)</f>
        <v/>
      </c>
      <c r="AA465" s="56">
        <f>IF(OR(AC465="Cancelled",S465=0),0,Z465/S465)</f>
        <v/>
      </c>
      <c r="AB465" s="56">
        <f>IFERROR(IF(Q465=0,0,S465/Q465),0)</f>
        <v/>
      </c>
      <c r="AC465" s="56" t="inlineStr">
        <is>
          <t>Delivered</t>
        </is>
      </c>
      <c r="AD465" s="56">
        <f>IF(Z465&lt;=0,"Low Profit",IF(Z465&gt;=50,"HighProfit","Medium Profit"))</f>
        <v/>
      </c>
      <c r="AE465" s="56">
        <f>TEXT(B465,"mmmm")</f>
        <v/>
      </c>
    </row>
    <row r="466" ht="14.25" customHeight="1" s="57">
      <c r="A466" s="56" t="inlineStr">
        <is>
          <t>ORD-00376</t>
        </is>
      </c>
      <c r="B466" s="116" t="n">
        <v>46111</v>
      </c>
      <c r="C466" s="56" t="n">
        <v>2026</v>
      </c>
      <c r="D466" s="56" t="n">
        <v>3</v>
      </c>
      <c r="E466" s="56" t="inlineStr">
        <is>
          <t>UAE</t>
        </is>
      </c>
      <c r="F466" s="56" t="inlineStr">
        <is>
          <t>Sharjah</t>
        </is>
      </c>
      <c r="G466" s="56" t="inlineStr">
        <is>
          <t>Influencer</t>
        </is>
      </c>
      <c r="H466" s="56" t="inlineStr">
        <is>
          <t>New Creative A/B</t>
        </is>
      </c>
      <c r="I466" s="56" t="inlineStr">
        <is>
          <t>P005</t>
        </is>
      </c>
      <c r="J466" s="56" t="inlineStr">
        <is>
          <t>Mini Printer</t>
        </is>
      </c>
      <c r="K466" s="56" t="inlineStr">
        <is>
          <t>Electronics</t>
        </is>
      </c>
      <c r="L466" s="56" t="inlineStr">
        <is>
          <t>Shenzhen Print Tech</t>
        </is>
      </c>
      <c r="M466" s="56" t="n">
        <v>60.45</v>
      </c>
      <c r="N466" s="56" t="n">
        <v>20.98</v>
      </c>
      <c r="O466" s="56" t="n">
        <v>7.16</v>
      </c>
      <c r="P466" s="56" t="n">
        <v>0.03</v>
      </c>
      <c r="Q466" s="56" t="n">
        <v>7.66</v>
      </c>
      <c r="R466" s="56" t="n">
        <v>2</v>
      </c>
      <c r="S466" s="56">
        <f>IF(AC466="Cancelled",0,M466*R466)</f>
        <v/>
      </c>
      <c r="T466" s="56">
        <f>IF(AC466="Cancelled",0,N466*R466)</f>
        <v/>
      </c>
      <c r="U466" s="56">
        <f>IF(AC466="Cancelled",0,O466*R466)</f>
        <v/>
      </c>
      <c r="V466" s="56">
        <f>IF(AC466="Cancelled",0,ROUND(P466*S466,2))</f>
        <v/>
      </c>
      <c r="W466" s="56" t="inlineStr">
        <is>
          <t>No</t>
        </is>
      </c>
      <c r="X466" s="56" t="n">
        <v>0</v>
      </c>
      <c r="Y466" s="56">
        <f>IF(AC466="Cancelled",0,T466+U466+V466+Q466+X466)</f>
        <v/>
      </c>
      <c r="Z466" s="56">
        <f>IF(AC466="Cancelled",-Q466,S466-Y466)</f>
        <v/>
      </c>
      <c r="AA466" s="56">
        <f>IF(OR(AC466="Cancelled",S466=0),0,Z466/S466)</f>
        <v/>
      </c>
      <c r="AB466" s="56">
        <f>IFERROR(IF(Q466=0,0,S466/Q466),0)</f>
        <v/>
      </c>
      <c r="AC466" s="56" t="inlineStr">
        <is>
          <t>Delivered</t>
        </is>
      </c>
      <c r="AD466" s="56">
        <f>IF(Z466&lt;=0,"Low Profit",IF(Z466&gt;=50,"HighProfit","Medium Profit"))</f>
        <v/>
      </c>
      <c r="AE466" s="56">
        <f>TEXT(B466,"mmmm")</f>
        <v/>
      </c>
    </row>
    <row r="467" ht="14.25" customHeight="1" s="57">
      <c r="A467" s="56" t="inlineStr">
        <is>
          <t>ORD-00242</t>
        </is>
      </c>
      <c r="B467" s="116" t="n">
        <v>46114</v>
      </c>
      <c r="C467" s="56" t="n">
        <v>2026</v>
      </c>
      <c r="D467" s="56" t="n">
        <v>4</v>
      </c>
      <c r="E467" s="56" t="inlineStr">
        <is>
          <t>UAE</t>
        </is>
      </c>
      <c r="F467" s="56" t="inlineStr">
        <is>
          <t>Abu Dhabi</t>
        </is>
      </c>
      <c r="G467" s="56" t="inlineStr">
        <is>
          <t>Organic Search</t>
        </is>
      </c>
      <c r="H467" s="56" t="inlineStr">
        <is>
          <t>Bundle Promo</t>
        </is>
      </c>
      <c r="I467" s="56" t="inlineStr">
        <is>
          <t>P002</t>
        </is>
      </c>
      <c r="J467" s="56" t="inlineStr">
        <is>
          <t>Phone Case</t>
        </is>
      </c>
      <c r="K467" s="56" t="inlineStr">
        <is>
          <t>Accessories</t>
        </is>
      </c>
      <c r="L467" s="56" t="inlineStr">
        <is>
          <t>Guangzhou Cases Ltd.</t>
        </is>
      </c>
      <c r="M467" s="56" t="n">
        <v>15.06</v>
      </c>
      <c r="N467" s="56" t="n">
        <v>1.91</v>
      </c>
      <c r="O467" s="56" t="n">
        <v>2.03</v>
      </c>
      <c r="P467" s="56" t="n">
        <v>0.03</v>
      </c>
      <c r="Q467" s="56" t="n">
        <v>0</v>
      </c>
      <c r="R467" s="56" t="n">
        <v>1</v>
      </c>
      <c r="S467" s="56">
        <f>IF(AC467="Cancelled",0,M467*R467)</f>
        <v/>
      </c>
      <c r="T467" s="56">
        <f>IF(AC467="Cancelled",0,N467*R467)</f>
        <v/>
      </c>
      <c r="U467" s="56">
        <f>IF(AC467="Cancelled",0,O467*R467)</f>
        <v/>
      </c>
      <c r="V467" s="56">
        <f>IF(AC467="Cancelled",0,ROUND(P467*S467,2))</f>
        <v/>
      </c>
      <c r="W467" s="56" t="inlineStr">
        <is>
          <t>No</t>
        </is>
      </c>
      <c r="X467" s="56" t="n">
        <v>0</v>
      </c>
      <c r="Y467" s="56">
        <f>IF(AC467="Cancelled",0,T467+U467+V467+Q467+X467)</f>
        <v/>
      </c>
      <c r="Z467" s="56">
        <f>IF(AC467="Cancelled",-Q467,S467-Y467)</f>
        <v/>
      </c>
      <c r="AA467" s="56">
        <f>IF(OR(AC467="Cancelled",S467=0),0,Z467/S467)</f>
        <v/>
      </c>
      <c r="AB467" s="56">
        <f>IFERROR(IF(Q467=0,0,S467/Q467),0)</f>
        <v/>
      </c>
      <c r="AC467" s="56" t="inlineStr">
        <is>
          <t>Delivered</t>
        </is>
      </c>
      <c r="AD467" s="56">
        <f>IF(Z467&lt;=0,"Low Profit",IF(Z467&gt;=50,"HighProfit","Medium Profit"))</f>
        <v/>
      </c>
      <c r="AE467" s="56">
        <f>TEXT(B467,"mmmm")</f>
        <v/>
      </c>
    </row>
    <row r="468" ht="14.25" customHeight="1" s="57">
      <c r="A468" s="56" t="inlineStr">
        <is>
          <t>ORD-00162</t>
        </is>
      </c>
      <c r="B468" s="116" t="n">
        <v>46116</v>
      </c>
      <c r="C468" s="56" t="n">
        <v>2026</v>
      </c>
      <c r="D468" s="56" t="n">
        <v>4</v>
      </c>
      <c r="E468" s="56" t="inlineStr">
        <is>
          <t>Saudi Arabia</t>
        </is>
      </c>
      <c r="F468" s="56" t="inlineStr">
        <is>
          <t>Jeddah</t>
        </is>
      </c>
      <c r="G468" s="56" t="inlineStr">
        <is>
          <t>Meta Ads</t>
        </is>
      </c>
      <c r="H468" s="56" t="inlineStr">
        <is>
          <t>Launch Test</t>
        </is>
      </c>
      <c r="I468" s="56" t="inlineStr">
        <is>
          <t>P006</t>
        </is>
      </c>
      <c r="J468" s="56" t="inlineStr">
        <is>
          <t>Posture Corrector</t>
        </is>
      </c>
      <c r="K468" s="56" t="inlineStr">
        <is>
          <t>Fitness</t>
        </is>
      </c>
      <c r="L468" s="56" t="inlineStr">
        <is>
          <t>Hangzhou Health Gear</t>
        </is>
      </c>
      <c r="M468" s="56" t="n">
        <v>33.59</v>
      </c>
      <c r="N468" s="56" t="n">
        <v>9.359999999999999</v>
      </c>
      <c r="O468" s="56" t="n">
        <v>3.89</v>
      </c>
      <c r="P468" s="56" t="n">
        <v>0.03</v>
      </c>
      <c r="Q468" s="56" t="n">
        <v>10.63</v>
      </c>
      <c r="R468" s="56" t="n">
        <v>3</v>
      </c>
      <c r="S468" s="56">
        <f>IF(AC468="Cancelled",0,M468*R468)</f>
        <v/>
      </c>
      <c r="T468" s="56">
        <f>IF(AC468="Cancelled",0,N468*R468)</f>
        <v/>
      </c>
      <c r="U468" s="56">
        <f>IF(AC468="Cancelled",0,O468*R468)</f>
        <v/>
      </c>
      <c r="V468" s="56">
        <f>IF(AC468="Cancelled",0,ROUND(P468*S468,2))</f>
        <v/>
      </c>
      <c r="W468" s="56" t="inlineStr">
        <is>
          <t>No</t>
        </is>
      </c>
      <c r="X468" s="56" t="n">
        <v>0</v>
      </c>
      <c r="Y468" s="56">
        <f>IF(AC468="Cancelled",0,T468+U468+V468+Q468+X468)</f>
        <v/>
      </c>
      <c r="Z468" s="56">
        <f>IF(AC468="Cancelled",-Q468,S468-Y468)</f>
        <v/>
      </c>
      <c r="AA468" s="56">
        <f>IF(OR(AC468="Cancelled",S468=0),0,Z468/S468)</f>
        <v/>
      </c>
      <c r="AB468" s="56">
        <f>IFERROR(IF(Q468=0,0,S468/Q468),0)</f>
        <v/>
      </c>
      <c r="AC468" s="56" t="inlineStr">
        <is>
          <t>Delivered</t>
        </is>
      </c>
      <c r="AD468" s="56">
        <f>IF(Z468&lt;=0,"Low Profit",IF(Z468&gt;=50,"HighProfit","Medium Profit"))</f>
        <v/>
      </c>
      <c r="AE468" s="56">
        <f>TEXT(B468,"mmmm")</f>
        <v/>
      </c>
    </row>
    <row r="469" ht="14.25" customHeight="1" s="57">
      <c r="A469" s="56" t="inlineStr">
        <is>
          <t>ORD-00011</t>
        </is>
      </c>
      <c r="B469" s="116" t="n">
        <v>46117</v>
      </c>
      <c r="C469" s="56" t="n">
        <v>2026</v>
      </c>
      <c r="D469" s="56" t="n">
        <v>4</v>
      </c>
      <c r="E469" s="56" t="inlineStr">
        <is>
          <t>Kuwait</t>
        </is>
      </c>
      <c r="F469" s="56" t="inlineStr">
        <is>
          <t>Kuwait City</t>
        </is>
      </c>
      <c r="G469" s="56" t="inlineStr">
        <is>
          <t>Google Ads</t>
        </is>
      </c>
      <c r="H469" s="56" t="inlineStr">
        <is>
          <t>Bundle Promo</t>
        </is>
      </c>
      <c r="I469" s="56" t="inlineStr">
        <is>
          <t>P007</t>
        </is>
      </c>
      <c r="J469" s="56" t="inlineStr">
        <is>
          <t>Pet Grooming Glove</t>
        </is>
      </c>
      <c r="K469" s="56" t="inlineStr">
        <is>
          <t>Pets</t>
        </is>
      </c>
      <c r="L469" s="56" t="inlineStr">
        <is>
          <t>Yiwu Pet Products</t>
        </is>
      </c>
      <c r="M469" s="56" t="n">
        <v>19.7</v>
      </c>
      <c r="N469" s="56" t="n">
        <v>3.64</v>
      </c>
      <c r="O469" s="56" t="n">
        <v>2.6</v>
      </c>
      <c r="P469" s="56" t="n">
        <v>0.03</v>
      </c>
      <c r="Q469" s="56" t="n">
        <v>1.94</v>
      </c>
      <c r="R469" s="56" t="n">
        <v>1</v>
      </c>
      <c r="S469" s="56">
        <f>IF(AC469="Cancelled",0,M469*R469)</f>
        <v/>
      </c>
      <c r="T469" s="56">
        <f>IF(AC469="Cancelled",0,N469*R469)</f>
        <v/>
      </c>
      <c r="U469" s="56">
        <f>IF(AC469="Cancelled",0,O469*R469)</f>
        <v/>
      </c>
      <c r="V469" s="56">
        <f>IF(AC469="Cancelled",0,ROUND(P469*S469,2))</f>
        <v/>
      </c>
      <c r="W469" s="56" t="inlineStr">
        <is>
          <t>No</t>
        </is>
      </c>
      <c r="X469" s="56" t="n">
        <v>0</v>
      </c>
      <c r="Y469" s="56">
        <f>IF(AC469="Cancelled",0,T469+U469+V469+Q469+X469)</f>
        <v/>
      </c>
      <c r="Z469" s="56">
        <f>IF(AC469="Cancelled",-Q469,S469-Y469)</f>
        <v/>
      </c>
      <c r="AA469" s="56">
        <f>IF(OR(AC469="Cancelled",S469=0),0,Z469/S469)</f>
        <v/>
      </c>
      <c r="AB469" s="56">
        <f>IFERROR(IF(Q469=0,0,S469/Q469),0)</f>
        <v/>
      </c>
      <c r="AC469" s="56" t="inlineStr">
        <is>
          <t>Delivered</t>
        </is>
      </c>
      <c r="AD469" s="56">
        <f>IF(Z469&lt;=0,"Low Profit",IF(Z469&gt;=50,"HighProfit","Medium Profit"))</f>
        <v/>
      </c>
      <c r="AE469" s="56">
        <f>TEXT(B469,"mmmm")</f>
        <v/>
      </c>
    </row>
    <row r="470" ht="14.25" customHeight="1" s="57">
      <c r="A470" s="56" t="inlineStr">
        <is>
          <t>ORD-00194</t>
        </is>
      </c>
      <c r="B470" s="116" t="n">
        <v>46117</v>
      </c>
      <c r="C470" s="56" t="n">
        <v>2026</v>
      </c>
      <c r="D470" s="56" t="n">
        <v>4</v>
      </c>
      <c r="E470" s="56" t="inlineStr">
        <is>
          <t>UAE</t>
        </is>
      </c>
      <c r="F470" s="56" t="inlineStr">
        <is>
          <t>Sharjah</t>
        </is>
      </c>
      <c r="G470" s="56" t="inlineStr">
        <is>
          <t>Influencer</t>
        </is>
      </c>
      <c r="H470" s="56" t="inlineStr">
        <is>
          <t>Summer Sale</t>
        </is>
      </c>
      <c r="I470" s="56" t="inlineStr">
        <is>
          <t>P010</t>
        </is>
      </c>
      <c r="J470" s="56" t="inlineStr">
        <is>
          <t>Smart Water Bottle</t>
        </is>
      </c>
      <c r="K470" s="56" t="inlineStr">
        <is>
          <t>Lifestyle</t>
        </is>
      </c>
      <c r="L470" s="56" t="inlineStr">
        <is>
          <t>Shenzhen Smart Home</t>
        </is>
      </c>
      <c r="M470" s="56" t="n">
        <v>31.62</v>
      </c>
      <c r="N470" s="56" t="n">
        <v>10.74</v>
      </c>
      <c r="O470" s="56" t="n">
        <v>4.47</v>
      </c>
      <c r="P470" s="56" t="n">
        <v>0.03</v>
      </c>
      <c r="Q470" s="56" t="n">
        <v>5.48</v>
      </c>
      <c r="R470" s="56" t="n">
        <v>1</v>
      </c>
      <c r="S470" s="56">
        <f>IF(AC470="Cancelled",0,M470*R470)</f>
        <v/>
      </c>
      <c r="T470" s="56">
        <f>IF(AC470="Cancelled",0,N470*R470)</f>
        <v/>
      </c>
      <c r="U470" s="56">
        <f>IF(AC470="Cancelled",0,O470*R470)</f>
        <v/>
      </c>
      <c r="V470" s="56">
        <f>IF(AC470="Cancelled",0,ROUND(P470*S470,2))</f>
        <v/>
      </c>
      <c r="W470" s="56" t="inlineStr">
        <is>
          <t>No</t>
        </is>
      </c>
      <c r="X470" s="56" t="n">
        <v>0</v>
      </c>
      <c r="Y470" s="56">
        <f>IF(AC470="Cancelled",0,T470+U470+V470+Q470+X470)</f>
        <v/>
      </c>
      <c r="Z470" s="56">
        <f>IF(AC470="Cancelled",-Q470,S470-Y470)</f>
        <v/>
      </c>
      <c r="AA470" s="56">
        <f>IF(OR(AC470="Cancelled",S470=0),0,Z470/S470)</f>
        <v/>
      </c>
      <c r="AB470" s="56">
        <f>IFERROR(IF(Q470=0,0,S470/Q470),0)</f>
        <v/>
      </c>
      <c r="AC470" s="56" t="inlineStr">
        <is>
          <t>Delivered</t>
        </is>
      </c>
      <c r="AD470" s="56">
        <f>IF(Z470&lt;=0,"Low Profit",IF(Z470&gt;=50,"HighProfit","Medium Profit"))</f>
        <v/>
      </c>
      <c r="AE470" s="56">
        <f>TEXT(B470,"mmmm")</f>
        <v/>
      </c>
    </row>
    <row r="471" ht="14.25" customHeight="1" s="57">
      <c r="A471" s="56" t="inlineStr">
        <is>
          <t>ORD-00392</t>
        </is>
      </c>
      <c r="B471" s="116" t="n">
        <v>46117</v>
      </c>
      <c r="C471" s="56" t="n">
        <v>2026</v>
      </c>
      <c r="D471" s="56" t="n">
        <v>4</v>
      </c>
      <c r="E471" s="56" t="inlineStr">
        <is>
          <t>UAE</t>
        </is>
      </c>
      <c r="F471" s="56" t="inlineStr">
        <is>
          <t>Sharjah</t>
        </is>
      </c>
      <c r="G471" s="56" t="inlineStr">
        <is>
          <t>TikTok Ads</t>
        </is>
      </c>
      <c r="H471" s="56" t="inlineStr">
        <is>
          <t>Summer Sale</t>
        </is>
      </c>
      <c r="I471" s="56" t="inlineStr">
        <is>
          <t>P003</t>
        </is>
      </c>
      <c r="J471" s="56" t="inlineStr">
        <is>
          <t>LED Strip Lights</t>
        </is>
      </c>
      <c r="K471" s="56" t="inlineStr">
        <is>
          <t>Home Decor</t>
        </is>
      </c>
      <c r="L471" s="56" t="inlineStr">
        <is>
          <t>Yiwu Lighting Factory</t>
        </is>
      </c>
      <c r="M471" s="56" t="n">
        <v>23.51</v>
      </c>
      <c r="N471" s="56" t="n">
        <v>6.33</v>
      </c>
      <c r="O471" s="56" t="n">
        <v>3.28</v>
      </c>
      <c r="P471" s="56" t="n">
        <v>0.03</v>
      </c>
      <c r="Q471" s="56" t="n">
        <v>4.32</v>
      </c>
      <c r="R471" s="56" t="n">
        <v>3</v>
      </c>
      <c r="S471" s="56">
        <f>IF(AC471="Cancelled",0,M471*R471)</f>
        <v/>
      </c>
      <c r="T471" s="56">
        <f>IF(AC471="Cancelled",0,N471*R471)</f>
        <v/>
      </c>
      <c r="U471" s="56">
        <f>IF(AC471="Cancelled",0,O471*R471)</f>
        <v/>
      </c>
      <c r="V471" s="56">
        <f>IF(AC471="Cancelled",0,ROUND(P471*S471,2))</f>
        <v/>
      </c>
      <c r="W471" s="56" t="inlineStr">
        <is>
          <t>No</t>
        </is>
      </c>
      <c r="X471" s="56" t="n">
        <v>0</v>
      </c>
      <c r="Y471" s="56">
        <f>IF(AC471="Cancelled",0,T471+U471+V471+Q471+X471)</f>
        <v/>
      </c>
      <c r="Z471" s="56">
        <f>IF(AC471="Cancelled",-Q471,S471-Y471)</f>
        <v/>
      </c>
      <c r="AA471" s="56">
        <f>IF(OR(AC471="Cancelled",S471=0),0,Z471/S471)</f>
        <v/>
      </c>
      <c r="AB471" s="56">
        <f>IFERROR(IF(Q471=0,0,S471/Q471),0)</f>
        <v/>
      </c>
      <c r="AC471" s="56" t="inlineStr">
        <is>
          <t>Delivered</t>
        </is>
      </c>
      <c r="AD471" s="56">
        <f>IF(Z471&lt;=0,"Low Profit",IF(Z471&gt;=50,"HighProfit","Medium Profit"))</f>
        <v/>
      </c>
      <c r="AE471" s="56">
        <f>TEXT(B471,"mmmm")</f>
        <v/>
      </c>
    </row>
    <row r="472" ht="14.25" customHeight="1" s="57">
      <c r="A472" s="56" t="inlineStr">
        <is>
          <t>ORD-00463</t>
        </is>
      </c>
      <c r="B472" s="116" t="n">
        <v>46118</v>
      </c>
      <c r="C472" s="56" t="n">
        <v>2026</v>
      </c>
      <c r="D472" s="56" t="n">
        <v>4</v>
      </c>
      <c r="E472" s="56" t="inlineStr">
        <is>
          <t>Qatar</t>
        </is>
      </c>
      <c r="F472" s="56" t="inlineStr">
        <is>
          <t>Doha</t>
        </is>
      </c>
      <c r="G472" s="56" t="inlineStr">
        <is>
          <t>Organic Search</t>
        </is>
      </c>
      <c r="H472" s="56" t="inlineStr">
        <is>
          <t>Launch Test</t>
        </is>
      </c>
      <c r="I472" s="56" t="inlineStr">
        <is>
          <t>P003</t>
        </is>
      </c>
      <c r="J472" s="56" t="inlineStr">
        <is>
          <t>LED Strip Lights</t>
        </is>
      </c>
      <c r="K472" s="56" t="inlineStr">
        <is>
          <t>Home Decor</t>
        </is>
      </c>
      <c r="L472" s="56" t="inlineStr">
        <is>
          <t>Yiwu Lighting Factory</t>
        </is>
      </c>
      <c r="M472" s="56" t="n">
        <v>25.13</v>
      </c>
      <c r="N472" s="56" t="n">
        <v>6.17</v>
      </c>
      <c r="O472" s="56" t="n">
        <v>3.71</v>
      </c>
      <c r="P472" s="56" t="n">
        <v>0.03</v>
      </c>
      <c r="Q472" s="56" t="n">
        <v>0</v>
      </c>
      <c r="R472" s="56" t="n">
        <v>1</v>
      </c>
      <c r="S472" s="56">
        <f>IF(AC472="Cancelled",0,M472*R472)</f>
        <v/>
      </c>
      <c r="T472" s="56">
        <f>IF(AC472="Cancelled",0,N472*R472)</f>
        <v/>
      </c>
      <c r="U472" s="56">
        <f>IF(AC472="Cancelled",0,O472*R472)</f>
        <v/>
      </c>
      <c r="V472" s="56">
        <f>IF(AC472="Cancelled",0,ROUND(P472*S472,2))</f>
        <v/>
      </c>
      <c r="W472" s="56" t="inlineStr">
        <is>
          <t>No</t>
        </is>
      </c>
      <c r="X472" s="56" t="n">
        <v>0</v>
      </c>
      <c r="Y472" s="56">
        <f>IF(AC472="Cancelled",0,T472+U472+V472+Q472+X472)</f>
        <v/>
      </c>
      <c r="Z472" s="56">
        <f>IF(AC472="Cancelled",-Q472,S472-Y472)</f>
        <v/>
      </c>
      <c r="AA472" s="56">
        <f>IF(OR(AC472="Cancelled",S472=0),0,Z472/S472)</f>
        <v/>
      </c>
      <c r="AB472" s="56">
        <f>IFERROR(IF(Q472=0,0,S472/Q472),0)</f>
        <v/>
      </c>
      <c r="AC472" s="56" t="inlineStr">
        <is>
          <t>Delivered</t>
        </is>
      </c>
      <c r="AD472" s="56">
        <f>IF(Z472&lt;=0,"Low Profit",IF(Z472&gt;=50,"HighProfit","Medium Profit"))</f>
        <v/>
      </c>
      <c r="AE472" s="56">
        <f>TEXT(B472,"mmmm")</f>
        <v/>
      </c>
    </row>
    <row r="473" ht="14.25" customHeight="1" s="57">
      <c r="A473" s="56" t="inlineStr">
        <is>
          <t>ORD-00114</t>
        </is>
      </c>
      <c r="B473" s="116" t="n">
        <v>46122</v>
      </c>
      <c r="C473" s="56" t="n">
        <v>2026</v>
      </c>
      <c r="D473" s="56" t="n">
        <v>4</v>
      </c>
      <c r="E473" s="56" t="inlineStr">
        <is>
          <t>Saudi Arabia</t>
        </is>
      </c>
      <c r="F473" s="56" t="inlineStr">
        <is>
          <t>Jeddah</t>
        </is>
      </c>
      <c r="G473" s="56" t="inlineStr">
        <is>
          <t>Meta Ads</t>
        </is>
      </c>
      <c r="H473" s="56" t="inlineStr">
        <is>
          <t>New Creative A/B</t>
        </is>
      </c>
      <c r="I473" s="56" t="inlineStr">
        <is>
          <t>P006</t>
        </is>
      </c>
      <c r="J473" s="56" t="inlineStr">
        <is>
          <t>Posture Corrector</t>
        </is>
      </c>
      <c r="K473" s="56" t="inlineStr">
        <is>
          <t>Fitness</t>
        </is>
      </c>
      <c r="L473" s="56" t="inlineStr">
        <is>
          <t>Hangzhou Health Gear</t>
        </is>
      </c>
      <c r="M473" s="56" t="n">
        <v>33.1</v>
      </c>
      <c r="N473" s="56" t="n">
        <v>9.06</v>
      </c>
      <c r="O473" s="56" t="n">
        <v>4.13</v>
      </c>
      <c r="P473" s="56" t="n">
        <v>0.03</v>
      </c>
      <c r="Q473" s="56" t="n">
        <v>8.789999999999999</v>
      </c>
      <c r="R473" s="56" t="n">
        <v>1</v>
      </c>
      <c r="S473" s="56">
        <f>IF(AC473="Cancelled",0,M473*R473)</f>
        <v/>
      </c>
      <c r="T473" s="56">
        <f>IF(AC473="Cancelled",0,N473*R473)</f>
        <v/>
      </c>
      <c r="U473" s="56">
        <f>IF(AC473="Cancelled",0,O473*R473)</f>
        <v/>
      </c>
      <c r="V473" s="56">
        <f>IF(AC473="Cancelled",0,ROUND(P473*S473,2))</f>
        <v/>
      </c>
      <c r="W473" s="56" t="inlineStr">
        <is>
          <t>No</t>
        </is>
      </c>
      <c r="X473" s="56" t="n">
        <v>0</v>
      </c>
      <c r="Y473" s="56">
        <f>IF(AC473="Cancelled",0,T473+U473+V473+Q473+X473)</f>
        <v/>
      </c>
      <c r="Z473" s="56">
        <f>IF(AC473="Cancelled",-Q473,S473-Y473)</f>
        <v/>
      </c>
      <c r="AA473" s="56">
        <f>IF(OR(AC473="Cancelled",S473=0),0,Z473/S473)</f>
        <v/>
      </c>
      <c r="AB473" s="56">
        <f>IFERROR(IF(Q473=0,0,S473/Q473),0)</f>
        <v/>
      </c>
      <c r="AC473" s="56" t="inlineStr">
        <is>
          <t>Delivered</t>
        </is>
      </c>
      <c r="AD473" s="56">
        <f>IF(Z473&lt;=0,"Low Profit",IF(Z473&gt;=50,"HighProfit","Medium Profit"))</f>
        <v/>
      </c>
      <c r="AE473" s="56">
        <f>TEXT(B473,"mmmm")</f>
        <v/>
      </c>
    </row>
    <row r="474" ht="14.25" customHeight="1" s="57">
      <c r="A474" s="56" t="inlineStr">
        <is>
          <t>ORD-00142</t>
        </is>
      </c>
      <c r="B474" s="116" t="n">
        <v>46123</v>
      </c>
      <c r="C474" s="56" t="n">
        <v>2026</v>
      </c>
      <c r="D474" s="56" t="n">
        <v>4</v>
      </c>
      <c r="E474" s="56" t="inlineStr">
        <is>
          <t>Qatar</t>
        </is>
      </c>
      <c r="F474" s="56" t="inlineStr">
        <is>
          <t>Doha</t>
        </is>
      </c>
      <c r="G474" s="56" t="inlineStr">
        <is>
          <t>TikTok Ads</t>
        </is>
      </c>
      <c r="H474" s="56" t="inlineStr">
        <is>
          <t>Bundle Promo</t>
        </is>
      </c>
      <c r="I474" s="56" t="inlineStr">
        <is>
          <t>P002</t>
        </is>
      </c>
      <c r="J474" s="56" t="inlineStr">
        <is>
          <t>Phone Case</t>
        </is>
      </c>
      <c r="K474" s="56" t="inlineStr">
        <is>
          <t>Accessories</t>
        </is>
      </c>
      <c r="L474" s="56" t="inlineStr">
        <is>
          <t>Guangzhou Cases Ltd.</t>
        </is>
      </c>
      <c r="M474" s="56" t="n">
        <v>16.06</v>
      </c>
      <c r="N474" s="56" t="n">
        <v>2.14</v>
      </c>
      <c r="O474" s="56" t="n">
        <v>2.05</v>
      </c>
      <c r="P474" s="56" t="n">
        <v>0.03</v>
      </c>
      <c r="Q474" s="56" t="n">
        <v>6.31</v>
      </c>
      <c r="R474" s="56" t="n">
        <v>1</v>
      </c>
      <c r="S474" s="56">
        <f>IF(AC474="Cancelled",0,M474*R474)</f>
        <v/>
      </c>
      <c r="T474" s="56">
        <f>IF(AC474="Cancelled",0,N474*R474)</f>
        <v/>
      </c>
      <c r="U474" s="56">
        <f>IF(AC474="Cancelled",0,O474*R474)</f>
        <v/>
      </c>
      <c r="V474" s="56">
        <f>IF(AC474="Cancelled",0,ROUND(P474*S474,2))</f>
        <v/>
      </c>
      <c r="W474" s="56" t="inlineStr">
        <is>
          <t>No</t>
        </is>
      </c>
      <c r="X474" s="56" t="n">
        <v>0</v>
      </c>
      <c r="Y474" s="56">
        <f>IF(AC474="Cancelled",0,T474+U474+V474+Q474+X474)</f>
        <v/>
      </c>
      <c r="Z474" s="56">
        <f>IF(AC474="Cancelled",-Q474,S474-Y474)</f>
        <v/>
      </c>
      <c r="AA474" s="56">
        <f>IF(OR(AC474="Cancelled",S474=0),0,Z474/S474)</f>
        <v/>
      </c>
      <c r="AB474" s="56">
        <f>IFERROR(IF(Q474=0,0,S474/Q474),0)</f>
        <v/>
      </c>
      <c r="AC474" s="56" t="inlineStr">
        <is>
          <t>Delivered</t>
        </is>
      </c>
      <c r="AD474" s="56">
        <f>IF(Z474&lt;=0,"Low Profit",IF(Z474&gt;=50,"HighProfit","Medium Profit"))</f>
        <v/>
      </c>
      <c r="AE474" s="56">
        <f>TEXT(B474,"mmmm")</f>
        <v/>
      </c>
    </row>
    <row r="475" ht="14.25" customHeight="1" s="57">
      <c r="A475" s="56" t="inlineStr">
        <is>
          <t>ORD-00193</t>
        </is>
      </c>
      <c r="B475" s="116" t="n">
        <v>46124</v>
      </c>
      <c r="C475" s="56" t="n">
        <v>2026</v>
      </c>
      <c r="D475" s="56" t="n">
        <v>4</v>
      </c>
      <c r="E475" s="56" t="inlineStr">
        <is>
          <t>UAE</t>
        </is>
      </c>
      <c r="F475" s="56" t="inlineStr">
        <is>
          <t>Abu Dhabi</t>
        </is>
      </c>
      <c r="G475" s="56" t="inlineStr">
        <is>
          <t>Email</t>
        </is>
      </c>
      <c r="H475" s="56" t="inlineStr">
        <is>
          <t>Launch Test</t>
        </is>
      </c>
      <c r="I475" s="56" t="inlineStr">
        <is>
          <t>P009</t>
        </is>
      </c>
      <c r="J475" s="56" t="inlineStr">
        <is>
          <t>Car Vacuum Cleaner</t>
        </is>
      </c>
      <c r="K475" s="56" t="inlineStr">
        <is>
          <t>Automotive</t>
        </is>
      </c>
      <c r="L475" s="56" t="inlineStr">
        <is>
          <t>Dongguan Auto Tools</t>
        </is>
      </c>
      <c r="M475" s="56" t="n">
        <v>45.67</v>
      </c>
      <c r="N475" s="56" t="n">
        <v>14.42</v>
      </c>
      <c r="O475" s="56" t="n">
        <v>6.42</v>
      </c>
      <c r="P475" s="56" t="n">
        <v>0.03</v>
      </c>
      <c r="Q475" s="56" t="n">
        <v>2.08</v>
      </c>
      <c r="R475" s="56" t="n">
        <v>1</v>
      </c>
      <c r="S475" s="56">
        <f>IF(AC475="Cancelled",0,M475*R475)</f>
        <v/>
      </c>
      <c r="T475" s="56">
        <f>IF(AC475="Cancelled",0,N475*R475)</f>
        <v/>
      </c>
      <c r="U475" s="56">
        <f>IF(AC475="Cancelled",0,O475*R475)</f>
        <v/>
      </c>
      <c r="V475" s="56">
        <f>IF(AC475="Cancelled",0,ROUND(P475*S475,2))</f>
        <v/>
      </c>
      <c r="W475" s="56" t="inlineStr">
        <is>
          <t>Yes</t>
        </is>
      </c>
      <c r="X475" s="56" t="n">
        <v>23.81</v>
      </c>
      <c r="Y475" s="56">
        <f>IF(AC475="Cancelled",0,T475+U475+V475+Q475+X475)</f>
        <v/>
      </c>
      <c r="Z475" s="56">
        <f>IF(AC475="Cancelled",-Q475,S475-Y475)</f>
        <v/>
      </c>
      <c r="AA475" s="56">
        <f>IF(OR(AC475="Cancelled",S475=0),0,Z475/S475)</f>
        <v/>
      </c>
      <c r="AB475" s="56">
        <f>IFERROR(IF(Q475=0,0,S475/Q475),0)</f>
        <v/>
      </c>
      <c r="AC475" s="56" t="inlineStr">
        <is>
          <t>Refunded</t>
        </is>
      </c>
      <c r="AD475" s="56">
        <f>IF(Z475&lt;=0,"Low Profit",IF(Z475&gt;=50,"HighProfit","Medium Profit"))</f>
        <v/>
      </c>
      <c r="AE475" s="56">
        <f>TEXT(B475,"mmmm")</f>
        <v/>
      </c>
    </row>
    <row r="476" ht="14.25" customHeight="1" s="57">
      <c r="A476" s="56" t="inlineStr">
        <is>
          <t>ORD-00180</t>
        </is>
      </c>
      <c r="B476" s="116" t="n">
        <v>46125</v>
      </c>
      <c r="C476" s="56" t="n">
        <v>2026</v>
      </c>
      <c r="D476" s="56" t="n">
        <v>4</v>
      </c>
      <c r="E476" s="56" t="inlineStr">
        <is>
          <t>UAE</t>
        </is>
      </c>
      <c r="F476" s="56" t="inlineStr">
        <is>
          <t>Sharjah</t>
        </is>
      </c>
      <c r="G476" s="56" t="inlineStr">
        <is>
          <t>TikTok Ads</t>
        </is>
      </c>
      <c r="H476" s="56" t="inlineStr">
        <is>
          <t>Bundle Promo</t>
        </is>
      </c>
      <c r="I476" s="56" t="inlineStr">
        <is>
          <t>P001</t>
        </is>
      </c>
      <c r="J476" s="56" t="inlineStr">
        <is>
          <t>Wireless Earbuds</t>
        </is>
      </c>
      <c r="K476" s="56" t="inlineStr">
        <is>
          <t>Electronics</t>
        </is>
      </c>
      <c r="L476" s="56" t="inlineStr">
        <is>
          <t>Shenzhen Audio Co.</t>
        </is>
      </c>
      <c r="M476" s="56" t="n">
        <v>41.14</v>
      </c>
      <c r="N476" s="56" t="n">
        <v>9.15</v>
      </c>
      <c r="O476" s="56" t="n">
        <v>4.02</v>
      </c>
      <c r="P476" s="56" t="n">
        <v>0.03</v>
      </c>
      <c r="Q476" s="56" t="n">
        <v>11.41</v>
      </c>
      <c r="R476" s="56" t="n">
        <v>2</v>
      </c>
      <c r="S476" s="56">
        <f>IF(AC476="Cancelled",0,M476*R476)</f>
        <v/>
      </c>
      <c r="T476" s="56">
        <f>IF(AC476="Cancelled",0,N476*R476)</f>
        <v/>
      </c>
      <c r="U476" s="56">
        <f>IF(AC476="Cancelled",0,O476*R476)</f>
        <v/>
      </c>
      <c r="V476" s="56">
        <f>IF(AC476="Cancelled",0,ROUND(P476*S476,2))</f>
        <v/>
      </c>
      <c r="W476" s="56" t="inlineStr">
        <is>
          <t>No</t>
        </is>
      </c>
      <c r="X476" s="56" t="n">
        <v>0</v>
      </c>
      <c r="Y476" s="56">
        <f>IF(AC476="Cancelled",0,T476+U476+V476+Q476+X476)</f>
        <v/>
      </c>
      <c r="Z476" s="56">
        <f>IF(AC476="Cancelled",-Q476,S476-Y476)</f>
        <v/>
      </c>
      <c r="AA476" s="56">
        <f>IF(OR(AC476="Cancelled",S476=0),0,Z476/S476)</f>
        <v/>
      </c>
      <c r="AB476" s="56">
        <f>IFERROR(IF(Q476=0,0,S476/Q476),0)</f>
        <v/>
      </c>
      <c r="AC476" s="56" t="inlineStr">
        <is>
          <t>Delivered</t>
        </is>
      </c>
      <c r="AD476" s="56">
        <f>IF(Z476&lt;=0,"Low Profit",IF(Z476&gt;=50,"HighProfit","Medium Profit"))</f>
        <v/>
      </c>
      <c r="AE476" s="56">
        <f>TEXT(B476,"mmmm")</f>
        <v/>
      </c>
    </row>
    <row r="477" ht="14.25" customHeight="1" s="57">
      <c r="A477" s="56" t="inlineStr">
        <is>
          <t>ORD-00354</t>
        </is>
      </c>
      <c r="B477" s="116" t="n">
        <v>46125</v>
      </c>
      <c r="C477" s="56" t="n">
        <v>2026</v>
      </c>
      <c r="D477" s="56" t="n">
        <v>4</v>
      </c>
      <c r="E477" s="56" t="inlineStr">
        <is>
          <t>UAE</t>
        </is>
      </c>
      <c r="F477" s="56" t="inlineStr">
        <is>
          <t>Abu Dhabi</t>
        </is>
      </c>
      <c r="G477" s="56" t="inlineStr">
        <is>
          <t>Email</t>
        </is>
      </c>
      <c r="H477" s="56" t="inlineStr">
        <is>
          <t>New Creative A/B</t>
        </is>
      </c>
      <c r="I477" s="56" t="inlineStr">
        <is>
          <t>P009</t>
        </is>
      </c>
      <c r="J477" s="56" t="inlineStr">
        <is>
          <t>Car Vacuum Cleaner</t>
        </is>
      </c>
      <c r="K477" s="56" t="inlineStr">
        <is>
          <t>Automotive</t>
        </is>
      </c>
      <c r="L477" s="56" t="inlineStr">
        <is>
          <t>Dongguan Auto Tools</t>
        </is>
      </c>
      <c r="M477" s="56" t="n">
        <v>43.19</v>
      </c>
      <c r="N477" s="56" t="n">
        <v>14.03</v>
      </c>
      <c r="O477" s="56" t="n">
        <v>7.37</v>
      </c>
      <c r="P477" s="56" t="n">
        <v>0.03</v>
      </c>
      <c r="Q477" s="56" t="n">
        <v>1.37</v>
      </c>
      <c r="R477" s="56" t="n">
        <v>1</v>
      </c>
      <c r="S477" s="56">
        <f>IF(AC477="Cancelled",0,M477*R477)</f>
        <v/>
      </c>
      <c r="T477" s="56">
        <f>IF(AC477="Cancelled",0,N477*R477)</f>
        <v/>
      </c>
      <c r="U477" s="56">
        <f>IF(AC477="Cancelled",0,O477*R477)</f>
        <v/>
      </c>
      <c r="V477" s="56">
        <f>IF(AC477="Cancelled",0,ROUND(P477*S477,2))</f>
        <v/>
      </c>
      <c r="W477" s="56" t="inlineStr">
        <is>
          <t>No</t>
        </is>
      </c>
      <c r="X477" s="56" t="n">
        <v>0</v>
      </c>
      <c r="Y477" s="56">
        <f>IF(AC477="Cancelled",0,T477+U477+V477+Q477+X477)</f>
        <v/>
      </c>
      <c r="Z477" s="56">
        <f>IF(AC477="Cancelled",-Q477,S477-Y477)</f>
        <v/>
      </c>
      <c r="AA477" s="56">
        <f>IF(OR(AC477="Cancelled",S477=0),0,Z477/S477)</f>
        <v/>
      </c>
      <c r="AB477" s="56">
        <f>IFERROR(IF(Q477=0,0,S477/Q477),0)</f>
        <v/>
      </c>
      <c r="AC477" s="56" t="inlineStr">
        <is>
          <t>Delivered</t>
        </is>
      </c>
      <c r="AD477" s="56">
        <f>IF(Z477&lt;=0,"Low Profit",IF(Z477&gt;=50,"HighProfit","Medium Profit"))</f>
        <v/>
      </c>
      <c r="AE477" s="56">
        <f>TEXT(B477,"mmmm")</f>
        <v/>
      </c>
    </row>
    <row r="478" ht="14.25" customHeight="1" s="57">
      <c r="A478" s="56" t="inlineStr">
        <is>
          <t>ORD-00192</t>
        </is>
      </c>
      <c r="B478" s="116" t="n">
        <v>46126</v>
      </c>
      <c r="C478" s="56" t="n">
        <v>2026</v>
      </c>
      <c r="D478" s="56" t="n">
        <v>4</v>
      </c>
      <c r="E478" s="56" t="inlineStr">
        <is>
          <t>Oman</t>
        </is>
      </c>
      <c r="F478" s="56" t="inlineStr">
        <is>
          <t>Muscat</t>
        </is>
      </c>
      <c r="G478" s="56" t="inlineStr">
        <is>
          <t>Organic Search</t>
        </is>
      </c>
      <c r="H478" s="56" t="inlineStr">
        <is>
          <t>Retargeting</t>
        </is>
      </c>
      <c r="I478" s="56" t="inlineStr">
        <is>
          <t>P001</t>
        </is>
      </c>
      <c r="J478" s="56" t="inlineStr">
        <is>
          <t>Wireless Earbuds</t>
        </is>
      </c>
      <c r="K478" s="56" t="inlineStr">
        <is>
          <t>Electronics</t>
        </is>
      </c>
      <c r="L478" s="56" t="inlineStr">
        <is>
          <t>Shenzhen Audio Co.</t>
        </is>
      </c>
      <c r="M478" s="56" t="n">
        <v>44.11</v>
      </c>
      <c r="N478" s="56" t="n">
        <v>8.619999999999999</v>
      </c>
      <c r="O478" s="56" t="n">
        <v>4.4</v>
      </c>
      <c r="P478" s="56" t="n">
        <v>0.03</v>
      </c>
      <c r="Q478" s="56" t="n">
        <v>0</v>
      </c>
      <c r="R478" s="56" t="n">
        <v>2</v>
      </c>
      <c r="S478" s="56">
        <f>IF(AC478="Cancelled",0,M478*R478)</f>
        <v/>
      </c>
      <c r="T478" s="56">
        <f>IF(AC478="Cancelled",0,N478*R478)</f>
        <v/>
      </c>
      <c r="U478" s="56">
        <f>IF(AC478="Cancelled",0,O478*R478)</f>
        <v/>
      </c>
      <c r="V478" s="56">
        <f>IF(AC478="Cancelled",0,ROUND(P478*S478,2))</f>
        <v/>
      </c>
      <c r="W478" s="56" t="inlineStr">
        <is>
          <t>No</t>
        </is>
      </c>
      <c r="X478" s="56" t="n">
        <v>0</v>
      </c>
      <c r="Y478" s="56">
        <f>IF(AC478="Cancelled",0,T478+U478+V478+Q478+X478)</f>
        <v/>
      </c>
      <c r="Z478" s="56">
        <f>IF(AC478="Cancelled",-Q478,S478-Y478)</f>
        <v/>
      </c>
      <c r="AA478" s="56">
        <f>IF(OR(AC478="Cancelled",S478=0),0,Z478/S478)</f>
        <v/>
      </c>
      <c r="AB478" s="56">
        <f>IFERROR(IF(Q478=0,0,S478/Q478),0)</f>
        <v/>
      </c>
      <c r="AC478" s="56" t="inlineStr">
        <is>
          <t>Delivered</t>
        </is>
      </c>
      <c r="AD478" s="56">
        <f>IF(Z478&lt;=0,"Low Profit",IF(Z478&gt;=50,"HighProfit","Medium Profit"))</f>
        <v/>
      </c>
      <c r="AE478" s="56">
        <f>TEXT(B478,"mmmm")</f>
        <v/>
      </c>
    </row>
    <row r="479" ht="14.25" customHeight="1" s="57">
      <c r="A479" s="56" t="inlineStr">
        <is>
          <t>ORD-00480</t>
        </is>
      </c>
      <c r="B479" s="116" t="n">
        <v>46126</v>
      </c>
      <c r="C479" s="56" t="n">
        <v>2026</v>
      </c>
      <c r="D479" s="56" t="n">
        <v>4</v>
      </c>
      <c r="E479" s="56" t="inlineStr">
        <is>
          <t>Qatar</t>
        </is>
      </c>
      <c r="F479" s="56" t="inlineStr">
        <is>
          <t>Doha</t>
        </is>
      </c>
      <c r="G479" s="56" t="inlineStr">
        <is>
          <t>Organic Search</t>
        </is>
      </c>
      <c r="H479" s="56" t="inlineStr">
        <is>
          <t>Bundle Promo</t>
        </is>
      </c>
      <c r="I479" s="56" t="inlineStr">
        <is>
          <t>P008</t>
        </is>
      </c>
      <c r="J479" s="56" t="inlineStr">
        <is>
          <t>Portable Blender</t>
        </is>
      </c>
      <c r="K479" s="56" t="inlineStr">
        <is>
          <t>Kitchen</t>
        </is>
      </c>
      <c r="L479" s="56" t="inlineStr">
        <is>
          <t>Foshan Appliances</t>
        </is>
      </c>
      <c r="M479" s="56" t="n">
        <v>48.92</v>
      </c>
      <c r="N479" s="56" t="n">
        <v>16.31</v>
      </c>
      <c r="O479" s="56" t="n">
        <v>6.33</v>
      </c>
      <c r="P479" s="56" t="n">
        <v>0.03</v>
      </c>
      <c r="Q479" s="56" t="n">
        <v>0</v>
      </c>
      <c r="R479" s="56" t="n">
        <v>2</v>
      </c>
      <c r="S479" s="56">
        <f>IF(AC479="Cancelled",0,M479*R479)</f>
        <v/>
      </c>
      <c r="T479" s="56">
        <f>IF(AC479="Cancelled",0,N479*R479)</f>
        <v/>
      </c>
      <c r="U479" s="56">
        <f>IF(AC479="Cancelled",0,O479*R479)</f>
        <v/>
      </c>
      <c r="V479" s="56">
        <f>IF(AC479="Cancelled",0,ROUND(P479*S479,2))</f>
        <v/>
      </c>
      <c r="W479" s="56" t="inlineStr">
        <is>
          <t>Yes</t>
        </is>
      </c>
      <c r="X479" s="56" t="n">
        <v>44.67</v>
      </c>
      <c r="Y479" s="56">
        <f>IF(AC479="Cancelled",0,T479+U479+V479+Q479+X479)</f>
        <v/>
      </c>
      <c r="Z479" s="56">
        <f>IF(AC479="Cancelled",-Q479,S479-Y479)</f>
        <v/>
      </c>
      <c r="AA479" s="56">
        <f>IF(OR(AC479="Cancelled",S479=0),0,Z479/S479)</f>
        <v/>
      </c>
      <c r="AB479" s="56">
        <f>IFERROR(IF(Q479=0,0,S479/Q479),0)</f>
        <v/>
      </c>
      <c r="AC479" s="56" t="inlineStr">
        <is>
          <t>Refunded</t>
        </is>
      </c>
      <c r="AD479" s="56">
        <f>IF(Z479&lt;=0,"Low Profit",IF(Z479&gt;=50,"HighProfit","Medium Profit"))</f>
        <v/>
      </c>
      <c r="AE479" s="56">
        <f>TEXT(B479,"mmmm")</f>
        <v/>
      </c>
    </row>
    <row r="480" ht="14.25" customHeight="1" s="57">
      <c r="A480" s="56" t="inlineStr">
        <is>
          <t>ORD-00090</t>
        </is>
      </c>
      <c r="B480" s="116" t="n">
        <v>46127</v>
      </c>
      <c r="C480" s="56" t="n">
        <v>2026</v>
      </c>
      <c r="D480" s="56" t="n">
        <v>4</v>
      </c>
      <c r="E480" s="56" t="inlineStr">
        <is>
          <t>UAE</t>
        </is>
      </c>
      <c r="F480" s="56" t="inlineStr">
        <is>
          <t>Dubai</t>
        </is>
      </c>
      <c r="G480" s="56" t="inlineStr">
        <is>
          <t>Influencer</t>
        </is>
      </c>
      <c r="H480" s="56" t="inlineStr">
        <is>
          <t>Launch Test</t>
        </is>
      </c>
      <c r="I480" s="56" t="inlineStr">
        <is>
          <t>P003</t>
        </is>
      </c>
      <c r="J480" s="56" t="inlineStr">
        <is>
          <t>LED Strip Lights</t>
        </is>
      </c>
      <c r="K480" s="56" t="inlineStr">
        <is>
          <t>Home Decor</t>
        </is>
      </c>
      <c r="L480" s="56" t="inlineStr">
        <is>
          <t>Yiwu Lighting Factory</t>
        </is>
      </c>
      <c r="M480" s="56" t="n">
        <v>27.36</v>
      </c>
      <c r="N480" s="56" t="n">
        <v>5.76</v>
      </c>
      <c r="O480" s="56" t="n">
        <v>3.98</v>
      </c>
      <c r="P480" s="56" t="n">
        <v>0.03</v>
      </c>
      <c r="Q480" s="56" t="n">
        <v>9.27</v>
      </c>
      <c r="R480" s="56" t="n">
        <v>1</v>
      </c>
      <c r="S480" s="56">
        <f>IF(AC480="Cancelled",0,M480*R480)</f>
        <v/>
      </c>
      <c r="T480" s="56">
        <f>IF(AC480="Cancelled",0,N480*R480)</f>
        <v/>
      </c>
      <c r="U480" s="56">
        <f>IF(AC480="Cancelled",0,O480*R480)</f>
        <v/>
      </c>
      <c r="V480" s="56">
        <f>IF(AC480="Cancelled",0,ROUND(P480*S480,2))</f>
        <v/>
      </c>
      <c r="W480" s="56" t="inlineStr">
        <is>
          <t>No</t>
        </is>
      </c>
      <c r="X480" s="56" t="n">
        <v>0</v>
      </c>
      <c r="Y480" s="56">
        <f>IF(AC480="Cancelled",0,T480+U480+V480+Q480+X480)</f>
        <v/>
      </c>
      <c r="Z480" s="56">
        <f>IF(AC480="Cancelled",-Q480,S480-Y480)</f>
        <v/>
      </c>
      <c r="AA480" s="56">
        <f>IF(OR(AC480="Cancelled",S480=0),0,Z480/S480)</f>
        <v/>
      </c>
      <c r="AB480" s="56">
        <f>IFERROR(IF(Q480=0,0,S480/Q480),0)</f>
        <v/>
      </c>
      <c r="AC480" s="56" t="inlineStr">
        <is>
          <t>Delivered</t>
        </is>
      </c>
      <c r="AD480" s="56">
        <f>IF(Z480&lt;=0,"Low Profit",IF(Z480&gt;=50,"HighProfit","Medium Profit"))</f>
        <v/>
      </c>
      <c r="AE480" s="56">
        <f>TEXT(B480,"mmmm")</f>
        <v/>
      </c>
    </row>
    <row r="481" ht="14.25" customHeight="1" s="57">
      <c r="A481" s="56" t="inlineStr">
        <is>
          <t>ORD-00331</t>
        </is>
      </c>
      <c r="B481" s="116" t="n">
        <v>46127</v>
      </c>
      <c r="C481" s="56" t="n">
        <v>2026</v>
      </c>
      <c r="D481" s="56" t="n">
        <v>4</v>
      </c>
      <c r="E481" s="56" t="inlineStr">
        <is>
          <t>Kuwait</t>
        </is>
      </c>
      <c r="F481" s="56" t="inlineStr">
        <is>
          <t>Kuwait City</t>
        </is>
      </c>
      <c r="G481" s="56" t="inlineStr">
        <is>
          <t>Google Ads</t>
        </is>
      </c>
      <c r="H481" s="56" t="inlineStr">
        <is>
          <t>Launch Test</t>
        </is>
      </c>
      <c r="I481" s="56" t="inlineStr">
        <is>
          <t>P005</t>
        </is>
      </c>
      <c r="J481" s="56" t="inlineStr">
        <is>
          <t>Mini Printer</t>
        </is>
      </c>
      <c r="K481" s="56" t="inlineStr">
        <is>
          <t>Electronics</t>
        </is>
      </c>
      <c r="L481" s="56" t="inlineStr">
        <is>
          <t>Shenzhen Print Tech</t>
        </is>
      </c>
      <c r="M481" s="56" t="n">
        <v>66.11</v>
      </c>
      <c r="N481" s="56" t="n">
        <v>21.01</v>
      </c>
      <c r="O481" s="56" t="n">
        <v>7.92</v>
      </c>
      <c r="P481" s="56" t="n">
        <v>0.03</v>
      </c>
      <c r="Q481" s="56" t="n">
        <v>4.09</v>
      </c>
      <c r="R481" s="56" t="n">
        <v>1</v>
      </c>
      <c r="S481" s="56">
        <f>IF(AC481="Cancelled",0,M481*R481)</f>
        <v/>
      </c>
      <c r="T481" s="56">
        <f>IF(AC481="Cancelled",0,N481*R481)</f>
        <v/>
      </c>
      <c r="U481" s="56">
        <f>IF(AC481="Cancelled",0,O481*R481)</f>
        <v/>
      </c>
      <c r="V481" s="56">
        <f>IF(AC481="Cancelled",0,ROUND(P481*S481,2))</f>
        <v/>
      </c>
      <c r="W481" s="56" t="inlineStr">
        <is>
          <t>No</t>
        </is>
      </c>
      <c r="X481" s="56" t="n">
        <v>0</v>
      </c>
      <c r="Y481" s="56">
        <f>IF(AC481="Cancelled",0,T481+U481+V481+Q481+X481)</f>
        <v/>
      </c>
      <c r="Z481" s="56">
        <f>IF(AC481="Cancelled",-Q481,S481-Y481)</f>
        <v/>
      </c>
      <c r="AA481" s="56">
        <f>IF(OR(AC481="Cancelled",S481=0),0,Z481/S481)</f>
        <v/>
      </c>
      <c r="AB481" s="56">
        <f>IFERROR(IF(Q481=0,0,S481/Q481),0)</f>
        <v/>
      </c>
      <c r="AC481" s="56" t="inlineStr">
        <is>
          <t>Delivered</t>
        </is>
      </c>
      <c r="AD481" s="56">
        <f>IF(Z481&lt;=0,"Low Profit",IF(Z481&gt;=50,"HighProfit","Medium Profit"))</f>
        <v/>
      </c>
      <c r="AE481" s="56">
        <f>TEXT(B481,"mmmm")</f>
        <v/>
      </c>
    </row>
    <row r="482" ht="14.25" customHeight="1" s="57">
      <c r="A482" s="56" t="inlineStr">
        <is>
          <t>ORD-00374</t>
        </is>
      </c>
      <c r="B482" s="116" t="n">
        <v>46128</v>
      </c>
      <c r="C482" s="56" t="n">
        <v>2026</v>
      </c>
      <c r="D482" s="56" t="n">
        <v>4</v>
      </c>
      <c r="E482" s="56" t="inlineStr">
        <is>
          <t>Qatar</t>
        </is>
      </c>
      <c r="F482" s="56" t="inlineStr">
        <is>
          <t>Doha</t>
        </is>
      </c>
      <c r="G482" s="56" t="inlineStr">
        <is>
          <t>Influencer</t>
        </is>
      </c>
      <c r="H482" s="56" t="inlineStr">
        <is>
          <t>New Creative A/B</t>
        </is>
      </c>
      <c r="I482" s="56" t="inlineStr">
        <is>
          <t>P009</t>
        </is>
      </c>
      <c r="J482" s="56" t="inlineStr">
        <is>
          <t>Car Vacuum Cleaner</t>
        </is>
      </c>
      <c r="K482" s="56" t="inlineStr">
        <is>
          <t>Automotive</t>
        </is>
      </c>
      <c r="L482" s="56" t="inlineStr">
        <is>
          <t>Dongguan Auto Tools</t>
        </is>
      </c>
      <c r="M482" s="56" t="n">
        <v>42.14</v>
      </c>
      <c r="N482" s="56" t="n">
        <v>14.42</v>
      </c>
      <c r="O482" s="56" t="n">
        <v>6.18</v>
      </c>
      <c r="P482" s="56" t="n">
        <v>0.03</v>
      </c>
      <c r="Q482" s="56" t="n">
        <v>6.19</v>
      </c>
      <c r="R482" s="56" t="n">
        <v>1</v>
      </c>
      <c r="S482" s="56">
        <f>IF(AC482="Cancelled",0,M482*R482)</f>
        <v/>
      </c>
      <c r="T482" s="56">
        <f>IF(AC482="Cancelled",0,N482*R482)</f>
        <v/>
      </c>
      <c r="U482" s="56">
        <f>IF(AC482="Cancelled",0,O482*R482)</f>
        <v/>
      </c>
      <c r="V482" s="56">
        <f>IF(AC482="Cancelled",0,ROUND(P482*S482,2))</f>
        <v/>
      </c>
      <c r="W482" s="56" t="inlineStr">
        <is>
          <t>No</t>
        </is>
      </c>
      <c r="X482" s="56" t="n">
        <v>0</v>
      </c>
      <c r="Y482" s="56">
        <f>IF(AC482="Cancelled",0,T482+U482+V482+Q482+X482)</f>
        <v/>
      </c>
      <c r="Z482" s="56">
        <f>IF(AC482="Cancelled",-Q482,S482-Y482)</f>
        <v/>
      </c>
      <c r="AA482" s="56">
        <f>IF(OR(AC482="Cancelled",S482=0),0,Z482/S482)</f>
        <v/>
      </c>
      <c r="AB482" s="56">
        <f>IFERROR(IF(Q482=0,0,S482/Q482),0)</f>
        <v/>
      </c>
      <c r="AC482" s="56" t="inlineStr">
        <is>
          <t>Delivered</t>
        </is>
      </c>
      <c r="AD482" s="56">
        <f>IF(Z482&lt;=0,"Low Profit",IF(Z482&gt;=50,"HighProfit","Medium Profit"))</f>
        <v/>
      </c>
      <c r="AE482" s="56">
        <f>TEXT(B482,"mmmm")</f>
        <v/>
      </c>
    </row>
    <row r="483" ht="14.25" customHeight="1" s="57">
      <c r="A483" s="56" t="inlineStr">
        <is>
          <t>ORD-00341</t>
        </is>
      </c>
      <c r="B483" s="116" t="n">
        <v>46129</v>
      </c>
      <c r="C483" s="56" t="n">
        <v>2026</v>
      </c>
      <c r="D483" s="56" t="n">
        <v>4</v>
      </c>
      <c r="E483" s="56" t="inlineStr">
        <is>
          <t>Saudi Arabia</t>
        </is>
      </c>
      <c r="F483" s="56" t="inlineStr">
        <is>
          <t>Jeddah</t>
        </is>
      </c>
      <c r="G483" s="56" t="inlineStr">
        <is>
          <t>TikTok Ads</t>
        </is>
      </c>
      <c r="H483" s="56" t="inlineStr">
        <is>
          <t>Bundle Promo</t>
        </is>
      </c>
      <c r="I483" s="56" t="inlineStr">
        <is>
          <t>P002</t>
        </is>
      </c>
      <c r="J483" s="56" t="inlineStr">
        <is>
          <t>Phone Case</t>
        </is>
      </c>
      <c r="K483" s="56" t="inlineStr">
        <is>
          <t>Accessories</t>
        </is>
      </c>
      <c r="L483" s="56" t="inlineStr">
        <is>
          <t>Guangzhou Cases Ltd.</t>
        </is>
      </c>
      <c r="M483" s="56" t="n">
        <v>15.75</v>
      </c>
      <c r="N483" s="56" t="n">
        <v>2.11</v>
      </c>
      <c r="O483" s="56" t="n">
        <v>2.08</v>
      </c>
      <c r="P483" s="56" t="n">
        <v>0.03</v>
      </c>
      <c r="Q483" s="56" t="n">
        <v>9.140000000000001</v>
      </c>
      <c r="R483" s="56" t="n">
        <v>1</v>
      </c>
      <c r="S483" s="56">
        <f>IF(AC483="Cancelled",0,M483*R483)</f>
        <v/>
      </c>
      <c r="T483" s="56">
        <f>IF(AC483="Cancelled",0,N483*R483)</f>
        <v/>
      </c>
      <c r="U483" s="56">
        <f>IF(AC483="Cancelled",0,O483*R483)</f>
        <v/>
      </c>
      <c r="V483" s="56">
        <f>IF(AC483="Cancelled",0,ROUND(P483*S483,2))</f>
        <v/>
      </c>
      <c r="W483" s="56" t="inlineStr">
        <is>
          <t>No</t>
        </is>
      </c>
      <c r="X483" s="56" t="n">
        <v>0</v>
      </c>
      <c r="Y483" s="56">
        <f>IF(AC483="Cancelled",0,T483+U483+V483+Q483+X483)</f>
        <v/>
      </c>
      <c r="Z483" s="56">
        <f>IF(AC483="Cancelled",-Q483,S483-Y483)</f>
        <v/>
      </c>
      <c r="AA483" s="56">
        <f>IF(OR(AC483="Cancelled",S483=0),0,Z483/S483)</f>
        <v/>
      </c>
      <c r="AB483" s="56">
        <f>IFERROR(IF(Q483=0,0,S483/Q483),0)</f>
        <v/>
      </c>
      <c r="AC483" s="56" t="inlineStr">
        <is>
          <t>Delivered</t>
        </is>
      </c>
      <c r="AD483" s="56">
        <f>IF(Z483&lt;=0,"Low Profit",IF(Z483&gt;=50,"HighProfit","Medium Profit"))</f>
        <v/>
      </c>
      <c r="AE483" s="56">
        <f>TEXT(B483,"mmmm")</f>
        <v/>
      </c>
    </row>
    <row r="484" ht="14.25" customHeight="1" s="57">
      <c r="A484" s="56" t="inlineStr">
        <is>
          <t>ORD-00219</t>
        </is>
      </c>
      <c r="B484" s="116" t="n">
        <v>46130</v>
      </c>
      <c r="C484" s="56" t="n">
        <v>2026</v>
      </c>
      <c r="D484" s="56" t="n">
        <v>4</v>
      </c>
      <c r="E484" s="56" t="inlineStr">
        <is>
          <t>UAE</t>
        </is>
      </c>
      <c r="F484" s="56" t="inlineStr">
        <is>
          <t>Dubai</t>
        </is>
      </c>
      <c r="G484" s="56" t="inlineStr">
        <is>
          <t>TikTok Ads</t>
        </is>
      </c>
      <c r="H484" s="56" t="inlineStr">
        <is>
          <t>Launch Test</t>
        </is>
      </c>
      <c r="I484" s="56" t="inlineStr">
        <is>
          <t>P010</t>
        </is>
      </c>
      <c r="J484" s="56" t="inlineStr">
        <is>
          <t>Smart Water Bottle</t>
        </is>
      </c>
      <c r="K484" s="56" t="inlineStr">
        <is>
          <t>Lifestyle</t>
        </is>
      </c>
      <c r="L484" s="56" t="inlineStr">
        <is>
          <t>Shenzhen Smart Home</t>
        </is>
      </c>
      <c r="M484" s="56" t="n">
        <v>34.37</v>
      </c>
      <c r="N484" s="56" t="n">
        <v>10.41</v>
      </c>
      <c r="O484" s="56" t="n">
        <v>4.17</v>
      </c>
      <c r="P484" s="56" t="n">
        <v>0.03</v>
      </c>
      <c r="Q484" s="56" t="n">
        <v>16.47</v>
      </c>
      <c r="R484" s="56" t="n">
        <v>2</v>
      </c>
      <c r="S484" s="56">
        <f>IF(AC484="Cancelled",0,M484*R484)</f>
        <v/>
      </c>
      <c r="T484" s="56">
        <f>IF(AC484="Cancelled",0,N484*R484)</f>
        <v/>
      </c>
      <c r="U484" s="56">
        <f>IF(AC484="Cancelled",0,O484*R484)</f>
        <v/>
      </c>
      <c r="V484" s="56">
        <f>IF(AC484="Cancelled",0,ROUND(P484*S484,2))</f>
        <v/>
      </c>
      <c r="W484" s="56" t="inlineStr">
        <is>
          <t>No</t>
        </is>
      </c>
      <c r="X484" s="56" t="n">
        <v>0</v>
      </c>
      <c r="Y484" s="56">
        <f>IF(AC484="Cancelled",0,T484+U484+V484+Q484+X484)</f>
        <v/>
      </c>
      <c r="Z484" s="56">
        <f>IF(AC484="Cancelled",-Q484,S484-Y484)</f>
        <v/>
      </c>
      <c r="AA484" s="56">
        <f>IF(OR(AC484="Cancelled",S484=0),0,Z484/S484)</f>
        <v/>
      </c>
      <c r="AB484" s="56">
        <f>IFERROR(IF(Q484=0,0,S484/Q484),0)</f>
        <v/>
      </c>
      <c r="AC484" s="56" t="inlineStr">
        <is>
          <t>Delivered</t>
        </is>
      </c>
      <c r="AD484" s="56">
        <f>IF(Z484&lt;=0,"Low Profit",IF(Z484&gt;=50,"HighProfit","Medium Profit"))</f>
        <v/>
      </c>
      <c r="AE484" s="56">
        <f>TEXT(B484,"mmmm")</f>
        <v/>
      </c>
    </row>
    <row r="485" ht="14.25" customHeight="1" s="57">
      <c r="A485" s="56" t="inlineStr">
        <is>
          <t>ORD-00138</t>
        </is>
      </c>
      <c r="B485" s="116" t="n">
        <v>46132</v>
      </c>
      <c r="C485" s="56" t="n">
        <v>2026</v>
      </c>
      <c r="D485" s="56" t="n">
        <v>4</v>
      </c>
      <c r="E485" s="56" t="inlineStr">
        <is>
          <t>Kuwait</t>
        </is>
      </c>
      <c r="F485" s="56" t="inlineStr">
        <is>
          <t>Kuwait City</t>
        </is>
      </c>
      <c r="G485" s="56" t="inlineStr">
        <is>
          <t>TikTok Ads</t>
        </is>
      </c>
      <c r="H485" s="56" t="inlineStr">
        <is>
          <t>Launch Test</t>
        </is>
      </c>
      <c r="I485" s="56" t="inlineStr">
        <is>
          <t>P002</t>
        </is>
      </c>
      <c r="J485" s="56" t="inlineStr">
        <is>
          <t>Phone Case</t>
        </is>
      </c>
      <c r="K485" s="56" t="inlineStr">
        <is>
          <t>Accessories</t>
        </is>
      </c>
      <c r="L485" s="56" t="inlineStr">
        <is>
          <t>Guangzhou Cases Ltd.</t>
        </is>
      </c>
      <c r="M485" s="56" t="n">
        <v>13.62</v>
      </c>
      <c r="N485" s="56" t="n">
        <v>2.06</v>
      </c>
      <c r="O485" s="56" t="n">
        <v>2.04</v>
      </c>
      <c r="P485" s="56" t="n">
        <v>0.03</v>
      </c>
      <c r="Q485" s="56" t="n">
        <v>3.98</v>
      </c>
      <c r="R485" s="56" t="n">
        <v>3</v>
      </c>
      <c r="S485" s="56">
        <f>IF(AC485="Cancelled",0,M485*R485)</f>
        <v/>
      </c>
      <c r="T485" s="56">
        <f>IF(AC485="Cancelled",0,N485*R485)</f>
        <v/>
      </c>
      <c r="U485" s="56">
        <f>IF(AC485="Cancelled",0,O485*R485)</f>
        <v/>
      </c>
      <c r="V485" s="56">
        <f>IF(AC485="Cancelled",0,ROUND(P485*S485,2))</f>
        <v/>
      </c>
      <c r="W485" s="56" t="inlineStr">
        <is>
          <t>No</t>
        </is>
      </c>
      <c r="X485" s="56" t="n">
        <v>0</v>
      </c>
      <c r="Y485" s="56">
        <f>IF(AC485="Cancelled",0,T485+U485+V485+Q485+X485)</f>
        <v/>
      </c>
      <c r="Z485" s="56">
        <f>IF(AC485="Cancelled",-Q485,S485-Y485)</f>
        <v/>
      </c>
      <c r="AA485" s="56">
        <f>IF(OR(AC485="Cancelled",S485=0),0,Z485/S485)</f>
        <v/>
      </c>
      <c r="AB485" s="56">
        <f>IFERROR(IF(Q485=0,0,S485/Q485),0)</f>
        <v/>
      </c>
      <c r="AC485" s="56" t="inlineStr">
        <is>
          <t>Delivered</t>
        </is>
      </c>
      <c r="AD485" s="56">
        <f>IF(Z485&lt;=0,"Low Profit",IF(Z485&gt;=50,"HighProfit","Medium Profit"))</f>
        <v/>
      </c>
      <c r="AE485" s="56">
        <f>TEXT(B485,"mmmm")</f>
        <v/>
      </c>
    </row>
    <row r="486" ht="14.25" customHeight="1" s="57">
      <c r="A486" s="56" t="inlineStr">
        <is>
          <t>ORD-00171</t>
        </is>
      </c>
      <c r="B486" s="116" t="n">
        <v>46132</v>
      </c>
      <c r="C486" s="56" t="n">
        <v>2026</v>
      </c>
      <c r="D486" s="56" t="n">
        <v>4</v>
      </c>
      <c r="E486" s="56" t="inlineStr">
        <is>
          <t>UAE</t>
        </is>
      </c>
      <c r="F486" s="56" t="inlineStr">
        <is>
          <t>Sharjah</t>
        </is>
      </c>
      <c r="G486" s="56" t="inlineStr">
        <is>
          <t>Influencer</t>
        </is>
      </c>
      <c r="H486" s="56" t="inlineStr">
        <is>
          <t>New Creative A/B</t>
        </is>
      </c>
      <c r="I486" s="56" t="inlineStr">
        <is>
          <t>P010</t>
        </is>
      </c>
      <c r="J486" s="56" t="inlineStr">
        <is>
          <t>Smart Water Bottle</t>
        </is>
      </c>
      <c r="K486" s="56" t="inlineStr">
        <is>
          <t>Lifestyle</t>
        </is>
      </c>
      <c r="L486" s="56" t="inlineStr">
        <is>
          <t>Shenzhen Smart Home</t>
        </is>
      </c>
      <c r="M486" s="56" t="n">
        <v>35.36</v>
      </c>
      <c r="N486" s="56" t="n">
        <v>9.56</v>
      </c>
      <c r="O486" s="56" t="n">
        <v>4.02</v>
      </c>
      <c r="P486" s="56" t="n">
        <v>0.03</v>
      </c>
      <c r="Q486" s="56" t="n">
        <v>4.44</v>
      </c>
      <c r="R486" s="56" t="n">
        <v>1</v>
      </c>
      <c r="S486" s="56">
        <f>IF(AC486="Cancelled",0,M486*R486)</f>
        <v/>
      </c>
      <c r="T486" s="56">
        <f>IF(AC486="Cancelled",0,N486*R486)</f>
        <v/>
      </c>
      <c r="U486" s="56">
        <f>IF(AC486="Cancelled",0,O486*R486)</f>
        <v/>
      </c>
      <c r="V486" s="56">
        <f>IF(AC486="Cancelled",0,ROUND(P486*S486,2))</f>
        <v/>
      </c>
      <c r="W486" s="56" t="inlineStr">
        <is>
          <t>No</t>
        </is>
      </c>
      <c r="X486" s="56" t="n">
        <v>0</v>
      </c>
      <c r="Y486" s="56">
        <f>IF(AC486="Cancelled",0,T486+U486+V486+Q486+X486)</f>
        <v/>
      </c>
      <c r="Z486" s="56">
        <f>IF(AC486="Cancelled",-Q486,S486-Y486)</f>
        <v/>
      </c>
      <c r="AA486" s="56">
        <f>IF(OR(AC486="Cancelled",S486=0),0,Z486/S486)</f>
        <v/>
      </c>
      <c r="AB486" s="56">
        <f>IFERROR(IF(Q486=0,0,S486/Q486),0)</f>
        <v/>
      </c>
      <c r="AC486" s="56" t="inlineStr">
        <is>
          <t>Delivered</t>
        </is>
      </c>
      <c r="AD486" s="56">
        <f>IF(Z486&lt;=0,"Low Profit",IF(Z486&gt;=50,"HighProfit","Medium Profit"))</f>
        <v/>
      </c>
      <c r="AE486" s="56">
        <f>TEXT(B486,"mmmm")</f>
        <v/>
      </c>
    </row>
    <row r="487" ht="14.25" customHeight="1" s="57">
      <c r="A487" s="56" t="inlineStr">
        <is>
          <t>ORD-00047</t>
        </is>
      </c>
      <c r="B487" s="116" t="n">
        <v>46134</v>
      </c>
      <c r="C487" s="56" t="n">
        <v>2026</v>
      </c>
      <c r="D487" s="56" t="n">
        <v>4</v>
      </c>
      <c r="E487" s="56" t="inlineStr">
        <is>
          <t>Saudi Arabia</t>
        </is>
      </c>
      <c r="F487" s="56" t="inlineStr">
        <is>
          <t>Riyadh</t>
        </is>
      </c>
      <c r="G487" s="56" t="inlineStr">
        <is>
          <t>Google Ads</t>
        </is>
      </c>
      <c r="H487" s="56" t="inlineStr">
        <is>
          <t>Summer Sale</t>
        </is>
      </c>
      <c r="I487" s="56" t="inlineStr">
        <is>
          <t>P006</t>
        </is>
      </c>
      <c r="J487" s="56" t="inlineStr">
        <is>
          <t>Posture Corrector</t>
        </is>
      </c>
      <c r="K487" s="56" t="inlineStr">
        <is>
          <t>Fitness</t>
        </is>
      </c>
      <c r="L487" s="56" t="inlineStr">
        <is>
          <t>Hangzhou Health Gear</t>
        </is>
      </c>
      <c r="M487" s="56" t="n">
        <v>38.55</v>
      </c>
      <c r="N487" s="56" t="n">
        <v>9.4</v>
      </c>
      <c r="O487" s="56" t="n">
        <v>3.69</v>
      </c>
      <c r="P487" s="56" t="n">
        <v>0.03</v>
      </c>
      <c r="Q487" s="56" t="n">
        <v>3.29</v>
      </c>
      <c r="R487" s="56" t="n">
        <v>2</v>
      </c>
      <c r="S487" s="56">
        <f>IF(AC487="Cancelled",0,M487*R487)</f>
        <v/>
      </c>
      <c r="T487" s="56">
        <f>IF(AC487="Cancelled",0,N487*R487)</f>
        <v/>
      </c>
      <c r="U487" s="56">
        <f>IF(AC487="Cancelled",0,O487*R487)</f>
        <v/>
      </c>
      <c r="V487" s="56">
        <f>IF(AC487="Cancelled",0,ROUND(P487*S487,2))</f>
        <v/>
      </c>
      <c r="W487" s="56" t="inlineStr">
        <is>
          <t>No</t>
        </is>
      </c>
      <c r="X487" s="56" t="n">
        <v>0</v>
      </c>
      <c r="Y487" s="56">
        <f>IF(AC487="Cancelled",0,T487+U487+V487+Q487+X487)</f>
        <v/>
      </c>
      <c r="Z487" s="56">
        <f>IF(AC487="Cancelled",-Q487,S487-Y487)</f>
        <v/>
      </c>
      <c r="AA487" s="56">
        <f>IF(OR(AC487="Cancelled",S487=0),0,Z487/S487)</f>
        <v/>
      </c>
      <c r="AB487" s="56">
        <f>IFERROR(IF(Q487=0,0,S487/Q487),0)</f>
        <v/>
      </c>
      <c r="AC487" s="56" t="inlineStr">
        <is>
          <t>Delivered</t>
        </is>
      </c>
      <c r="AD487" s="56">
        <f>IF(Z487&lt;=0,"Low Profit",IF(Z487&gt;=50,"HighProfit","Medium Profit"))</f>
        <v/>
      </c>
      <c r="AE487" s="56">
        <f>TEXT(B487,"mmmm")</f>
        <v/>
      </c>
    </row>
    <row r="488" ht="14.25" customHeight="1" s="57">
      <c r="A488" s="56" t="inlineStr">
        <is>
          <t>ORD-00079</t>
        </is>
      </c>
      <c r="B488" s="116" t="n">
        <v>46134</v>
      </c>
      <c r="C488" s="56" t="n">
        <v>2026</v>
      </c>
      <c r="D488" s="56" t="n">
        <v>4</v>
      </c>
      <c r="E488" s="56" t="inlineStr">
        <is>
          <t>Saudi Arabia</t>
        </is>
      </c>
      <c r="F488" s="56" t="inlineStr">
        <is>
          <t>Jeddah</t>
        </is>
      </c>
      <c r="G488" s="56" t="inlineStr">
        <is>
          <t>Organic Search</t>
        </is>
      </c>
      <c r="H488" s="56" t="inlineStr">
        <is>
          <t>Retargeting</t>
        </is>
      </c>
      <c r="I488" s="56" t="inlineStr">
        <is>
          <t>P001</t>
        </is>
      </c>
      <c r="J488" s="56" t="inlineStr">
        <is>
          <t>Wireless Earbuds</t>
        </is>
      </c>
      <c r="K488" s="56" t="inlineStr">
        <is>
          <t>Electronics</t>
        </is>
      </c>
      <c r="L488" s="56" t="inlineStr">
        <is>
          <t>Shenzhen Audio Co.</t>
        </is>
      </c>
      <c r="M488" s="56" t="n">
        <v>40.13</v>
      </c>
      <c r="N488" s="56" t="n">
        <v>8.279999999999999</v>
      </c>
      <c r="O488" s="56" t="n">
        <v>4.43</v>
      </c>
      <c r="P488" s="56" t="n">
        <v>0.03</v>
      </c>
      <c r="Q488" s="56" t="n">
        <v>0</v>
      </c>
      <c r="R488" s="56" t="n">
        <v>1</v>
      </c>
      <c r="S488" s="56">
        <f>IF(AC488="Cancelled",0,M488*R488)</f>
        <v/>
      </c>
      <c r="T488" s="56">
        <f>IF(AC488="Cancelled",0,N488*R488)</f>
        <v/>
      </c>
      <c r="U488" s="56">
        <f>IF(AC488="Cancelled",0,O488*R488)</f>
        <v/>
      </c>
      <c r="V488" s="56">
        <f>IF(AC488="Cancelled",0,ROUND(P488*S488,2))</f>
        <v/>
      </c>
      <c r="W488" s="56" t="inlineStr">
        <is>
          <t>No</t>
        </is>
      </c>
      <c r="X488" s="56" t="n">
        <v>0</v>
      </c>
      <c r="Y488" s="56">
        <f>IF(AC488="Cancelled",0,T488+U488+V488+Q488+X488)</f>
        <v/>
      </c>
      <c r="Z488" s="56">
        <f>IF(AC488="Cancelled",-Q488,S488-Y488)</f>
        <v/>
      </c>
      <c r="AA488" s="56">
        <f>IF(OR(AC488="Cancelled",S488=0),0,Z488/S488)</f>
        <v/>
      </c>
      <c r="AB488" s="56">
        <f>IFERROR(IF(Q488=0,0,S488/Q488),0)</f>
        <v/>
      </c>
      <c r="AC488" s="56" t="inlineStr">
        <is>
          <t>Delivered</t>
        </is>
      </c>
      <c r="AD488" s="56">
        <f>IF(Z488&lt;=0,"Low Profit",IF(Z488&gt;=50,"HighProfit","Medium Profit"))</f>
        <v/>
      </c>
      <c r="AE488" s="56">
        <f>TEXT(B488,"mmmm")</f>
        <v/>
      </c>
    </row>
    <row r="489" ht="14.25" customHeight="1" s="57">
      <c r="A489" s="56" t="inlineStr">
        <is>
          <t>ORD-00197</t>
        </is>
      </c>
      <c r="B489" s="116" t="n">
        <v>46135</v>
      </c>
      <c r="C489" s="56" t="n">
        <v>2026</v>
      </c>
      <c r="D489" s="56" t="n">
        <v>4</v>
      </c>
      <c r="E489" s="56" t="inlineStr">
        <is>
          <t>Oman</t>
        </is>
      </c>
      <c r="F489" s="56" t="inlineStr">
        <is>
          <t>Muscat</t>
        </is>
      </c>
      <c r="G489" s="56" t="inlineStr">
        <is>
          <t>Meta Ads</t>
        </is>
      </c>
      <c r="H489" s="56" t="inlineStr">
        <is>
          <t>New Creative A/B</t>
        </is>
      </c>
      <c r="I489" s="56" t="inlineStr">
        <is>
          <t>P001</t>
        </is>
      </c>
      <c r="J489" s="56" t="inlineStr">
        <is>
          <t>Wireless Earbuds</t>
        </is>
      </c>
      <c r="K489" s="56" t="inlineStr">
        <is>
          <t>Electronics</t>
        </is>
      </c>
      <c r="L489" s="56" t="inlineStr">
        <is>
          <t>Shenzhen Audio Co.</t>
        </is>
      </c>
      <c r="M489" s="56" t="n">
        <v>42.89</v>
      </c>
      <c r="N489" s="56" t="n">
        <v>8.300000000000001</v>
      </c>
      <c r="O489" s="56" t="n">
        <v>3.66</v>
      </c>
      <c r="P489" s="56" t="n">
        <v>0.03</v>
      </c>
      <c r="Q489" s="56" t="n">
        <v>5.64</v>
      </c>
      <c r="R489" s="56" t="n">
        <v>1</v>
      </c>
      <c r="S489" s="56">
        <f>IF(AC489="Cancelled",0,M489*R489)</f>
        <v/>
      </c>
      <c r="T489" s="56">
        <f>IF(AC489="Cancelled",0,N489*R489)</f>
        <v/>
      </c>
      <c r="U489" s="56">
        <f>IF(AC489="Cancelled",0,O489*R489)</f>
        <v/>
      </c>
      <c r="V489" s="56">
        <f>IF(AC489="Cancelled",0,ROUND(P489*S489,2))</f>
        <v/>
      </c>
      <c r="W489" s="56" t="inlineStr">
        <is>
          <t>No</t>
        </is>
      </c>
      <c r="X489" s="56" t="n">
        <v>0</v>
      </c>
      <c r="Y489" s="56">
        <f>IF(AC489="Cancelled",0,T489+U489+V489+Q489+X489)</f>
        <v/>
      </c>
      <c r="Z489" s="56">
        <f>IF(AC489="Cancelled",-Q489,S489-Y489)</f>
        <v/>
      </c>
      <c r="AA489" s="56">
        <f>IF(OR(AC489="Cancelled",S489=0),0,Z489/S489)</f>
        <v/>
      </c>
      <c r="AB489" s="56">
        <f>IFERROR(IF(Q489=0,0,S489/Q489),0)</f>
        <v/>
      </c>
      <c r="AC489" s="56" t="inlineStr">
        <is>
          <t>Delivered</t>
        </is>
      </c>
      <c r="AD489" s="56">
        <f>IF(Z489&lt;=0,"Low Profit",IF(Z489&gt;=50,"HighProfit","Medium Profit"))</f>
        <v/>
      </c>
      <c r="AE489" s="56">
        <f>TEXT(B489,"mmmm")</f>
        <v/>
      </c>
    </row>
    <row r="490" ht="14.25" customHeight="1" s="57">
      <c r="A490" s="56" t="inlineStr">
        <is>
          <t>ORD-00476</t>
        </is>
      </c>
      <c r="B490" s="116" t="n">
        <v>46135</v>
      </c>
      <c r="C490" s="56" t="n">
        <v>2026</v>
      </c>
      <c r="D490" s="56" t="n">
        <v>4</v>
      </c>
      <c r="E490" s="56" t="inlineStr">
        <is>
          <t>Saudi Arabia</t>
        </is>
      </c>
      <c r="F490" s="56" t="inlineStr">
        <is>
          <t>Riyadh</t>
        </is>
      </c>
      <c r="G490" s="56" t="inlineStr">
        <is>
          <t>Google Ads</t>
        </is>
      </c>
      <c r="H490" s="56" t="inlineStr">
        <is>
          <t>Retargeting</t>
        </is>
      </c>
      <c r="I490" s="56" t="inlineStr">
        <is>
          <t>P002</t>
        </is>
      </c>
      <c r="J490" s="56" t="inlineStr">
        <is>
          <t>Phone Case</t>
        </is>
      </c>
      <c r="K490" s="56" t="inlineStr">
        <is>
          <t>Accessories</t>
        </is>
      </c>
      <c r="L490" s="56" t="inlineStr">
        <is>
          <t>Guangzhou Cases Ltd.</t>
        </is>
      </c>
      <c r="M490" s="56" t="n">
        <v>14.04</v>
      </c>
      <c r="N490" s="56" t="n">
        <v>2.09</v>
      </c>
      <c r="O490" s="56" t="n">
        <v>1.96</v>
      </c>
      <c r="P490" s="56" t="n">
        <v>0.03</v>
      </c>
      <c r="Q490" s="56" t="n">
        <v>15.59</v>
      </c>
      <c r="R490" s="56" t="n">
        <v>2</v>
      </c>
      <c r="S490" s="56">
        <f>IF(AC490="Cancelled",0,M490*R490)</f>
        <v/>
      </c>
      <c r="T490" s="56">
        <f>IF(AC490="Cancelled",0,N490*R490)</f>
        <v/>
      </c>
      <c r="U490" s="56">
        <f>IF(AC490="Cancelled",0,O490*R490)</f>
        <v/>
      </c>
      <c r="V490" s="56">
        <f>IF(AC490="Cancelled",0,ROUND(P490*S490,2))</f>
        <v/>
      </c>
      <c r="W490" s="56" t="inlineStr">
        <is>
          <t>No</t>
        </is>
      </c>
      <c r="X490" s="56" t="n">
        <v>0</v>
      </c>
      <c r="Y490" s="56">
        <f>IF(AC490="Cancelled",0,T490+U490+V490+Q490+X490)</f>
        <v/>
      </c>
      <c r="Z490" s="56">
        <f>IF(AC490="Cancelled",-Q490,S490-Y490)</f>
        <v/>
      </c>
      <c r="AA490" s="56">
        <f>IF(OR(AC490="Cancelled",S490=0),0,Z490/S490)</f>
        <v/>
      </c>
      <c r="AB490" s="56">
        <f>IFERROR(IF(Q490=0,0,S490/Q490),0)</f>
        <v/>
      </c>
      <c r="AC490" s="56" t="inlineStr">
        <is>
          <t>Delivered</t>
        </is>
      </c>
      <c r="AD490" s="56">
        <f>IF(Z490&lt;=0,"Low Profit",IF(Z490&gt;=50,"HighProfit","Medium Profit"))</f>
        <v/>
      </c>
      <c r="AE490" s="56">
        <f>TEXT(B490,"mmmm")</f>
        <v/>
      </c>
    </row>
    <row r="491" ht="14.25" customHeight="1" s="57">
      <c r="A491" s="56" t="inlineStr">
        <is>
          <t>ORD-00212</t>
        </is>
      </c>
      <c r="B491" s="116" t="n">
        <v>46137</v>
      </c>
      <c r="C491" s="56" t="n">
        <v>2026</v>
      </c>
      <c r="D491" s="56" t="n">
        <v>4</v>
      </c>
      <c r="E491" s="56" t="inlineStr">
        <is>
          <t>Saudi Arabia</t>
        </is>
      </c>
      <c r="F491" s="56" t="inlineStr">
        <is>
          <t>Jeddah</t>
        </is>
      </c>
      <c r="G491" s="56" t="inlineStr">
        <is>
          <t>Meta Ads</t>
        </is>
      </c>
      <c r="H491" s="56" t="inlineStr">
        <is>
          <t>Summer Sale</t>
        </is>
      </c>
      <c r="I491" s="56" t="inlineStr">
        <is>
          <t>P006</t>
        </is>
      </c>
      <c r="J491" s="56" t="inlineStr">
        <is>
          <t>Posture Corrector</t>
        </is>
      </c>
      <c r="K491" s="56" t="inlineStr">
        <is>
          <t>Fitness</t>
        </is>
      </c>
      <c r="L491" s="56" t="inlineStr">
        <is>
          <t>Hangzhou Health Gear</t>
        </is>
      </c>
      <c r="M491" s="56" t="n">
        <v>36.26</v>
      </c>
      <c r="N491" s="56" t="n">
        <v>9.630000000000001</v>
      </c>
      <c r="O491" s="56" t="n">
        <v>4.03</v>
      </c>
      <c r="P491" s="56" t="n">
        <v>0.03</v>
      </c>
      <c r="Q491" s="56" t="n">
        <v>10.44</v>
      </c>
      <c r="R491" s="56" t="n">
        <v>1</v>
      </c>
      <c r="S491" s="56">
        <f>IF(AC491="Cancelled",0,M491*R491)</f>
        <v/>
      </c>
      <c r="T491" s="56">
        <f>IF(AC491="Cancelled",0,N491*R491)</f>
        <v/>
      </c>
      <c r="U491" s="56">
        <f>IF(AC491="Cancelled",0,O491*R491)</f>
        <v/>
      </c>
      <c r="V491" s="56">
        <f>IF(AC491="Cancelled",0,ROUND(P491*S491,2))</f>
        <v/>
      </c>
      <c r="W491" s="56" t="inlineStr">
        <is>
          <t>No</t>
        </is>
      </c>
      <c r="X491" s="56" t="n">
        <v>0</v>
      </c>
      <c r="Y491" s="56">
        <f>IF(AC491="Cancelled",0,T491+U491+V491+Q491+X491)</f>
        <v/>
      </c>
      <c r="Z491" s="56">
        <f>IF(AC491="Cancelled",-Q491,S491-Y491)</f>
        <v/>
      </c>
      <c r="AA491" s="56">
        <f>IF(OR(AC491="Cancelled",S491=0),0,Z491/S491)</f>
        <v/>
      </c>
      <c r="AB491" s="56">
        <f>IFERROR(IF(Q491=0,0,S491/Q491),0)</f>
        <v/>
      </c>
      <c r="AC491" s="56" t="inlineStr">
        <is>
          <t>Delivered</t>
        </is>
      </c>
      <c r="AD491" s="56">
        <f>IF(Z491&lt;=0,"Low Profit",IF(Z491&gt;=50,"HighProfit","Medium Profit"))</f>
        <v/>
      </c>
      <c r="AE491" s="56">
        <f>TEXT(B491,"mmmm")</f>
        <v/>
      </c>
    </row>
    <row r="492" ht="14.25" customHeight="1" s="57">
      <c r="A492" s="56" t="inlineStr">
        <is>
          <t>ORD-00379</t>
        </is>
      </c>
      <c r="B492" s="116" t="n">
        <v>46137</v>
      </c>
      <c r="C492" s="56" t="n">
        <v>2026</v>
      </c>
      <c r="D492" s="56" t="n">
        <v>4</v>
      </c>
      <c r="E492" s="56" t="inlineStr">
        <is>
          <t>Kuwait</t>
        </is>
      </c>
      <c r="F492" s="56" t="inlineStr">
        <is>
          <t>Kuwait City</t>
        </is>
      </c>
      <c r="G492" s="56" t="inlineStr">
        <is>
          <t>Meta Ads</t>
        </is>
      </c>
      <c r="H492" s="56" t="inlineStr">
        <is>
          <t>Retargeting</t>
        </is>
      </c>
      <c r="I492" s="56" t="inlineStr">
        <is>
          <t>P009</t>
        </is>
      </c>
      <c r="J492" s="56" t="inlineStr">
        <is>
          <t>Car Vacuum Cleaner</t>
        </is>
      </c>
      <c r="K492" s="56" t="inlineStr">
        <is>
          <t>Automotive</t>
        </is>
      </c>
      <c r="L492" s="56" t="inlineStr">
        <is>
          <t>Dongguan Auto Tools</t>
        </is>
      </c>
      <c r="M492" s="56" t="n">
        <v>43.82</v>
      </c>
      <c r="N492" s="56" t="n">
        <v>14.5</v>
      </c>
      <c r="O492" s="56" t="n">
        <v>7.01</v>
      </c>
      <c r="P492" s="56" t="n">
        <v>0.03</v>
      </c>
      <c r="Q492" s="56" t="n">
        <v>18.7</v>
      </c>
      <c r="R492" s="56" t="n">
        <v>2</v>
      </c>
      <c r="S492" s="56">
        <f>IF(AC492="Cancelled",0,M492*R492)</f>
        <v/>
      </c>
      <c r="T492" s="56">
        <f>IF(AC492="Cancelled",0,N492*R492)</f>
        <v/>
      </c>
      <c r="U492" s="56">
        <f>IF(AC492="Cancelled",0,O492*R492)</f>
        <v/>
      </c>
      <c r="V492" s="56">
        <f>IF(AC492="Cancelled",0,ROUND(P492*S492,2))</f>
        <v/>
      </c>
      <c r="W492" s="56" t="inlineStr">
        <is>
          <t>No</t>
        </is>
      </c>
      <c r="X492" s="56" t="n">
        <v>0</v>
      </c>
      <c r="Y492" s="56">
        <f>IF(AC492="Cancelled",0,T492+U492+V492+Q492+X492)</f>
        <v/>
      </c>
      <c r="Z492" s="56">
        <f>IF(AC492="Cancelled",-Q492,S492-Y492)</f>
        <v/>
      </c>
      <c r="AA492" s="56">
        <f>IF(OR(AC492="Cancelled",S492=0),0,Z492/S492)</f>
        <v/>
      </c>
      <c r="AB492" s="56">
        <f>IFERROR(IF(Q492=0,0,S492/Q492),0)</f>
        <v/>
      </c>
      <c r="AC492" s="56" t="inlineStr">
        <is>
          <t>Delivered</t>
        </is>
      </c>
      <c r="AD492" s="56">
        <f>IF(Z492&lt;=0,"Low Profit",IF(Z492&gt;=50,"HighProfit","Medium Profit"))</f>
        <v/>
      </c>
      <c r="AE492" s="56">
        <f>TEXT(B492,"mmmm")</f>
        <v/>
      </c>
    </row>
    <row r="493" ht="14.25" customHeight="1" s="57">
      <c r="A493" s="56" t="inlineStr">
        <is>
          <t>ORD-00051</t>
        </is>
      </c>
      <c r="B493" s="116" t="n">
        <v>46138</v>
      </c>
      <c r="C493" s="56" t="n">
        <v>2026</v>
      </c>
      <c r="D493" s="56" t="n">
        <v>4</v>
      </c>
      <c r="E493" s="56" t="inlineStr">
        <is>
          <t>UAE</t>
        </is>
      </c>
      <c r="F493" s="56" t="inlineStr">
        <is>
          <t>Sharjah</t>
        </is>
      </c>
      <c r="G493" s="56" t="inlineStr">
        <is>
          <t>Google Ads</t>
        </is>
      </c>
      <c r="H493" s="56" t="inlineStr">
        <is>
          <t>Launch Test</t>
        </is>
      </c>
      <c r="I493" s="56" t="inlineStr">
        <is>
          <t>P001</t>
        </is>
      </c>
      <c r="J493" s="56" t="inlineStr">
        <is>
          <t>Wireless Earbuds</t>
        </is>
      </c>
      <c r="K493" s="56" t="inlineStr">
        <is>
          <t>Electronics</t>
        </is>
      </c>
      <c r="L493" s="56" t="inlineStr">
        <is>
          <t>Shenzhen Audio Co.</t>
        </is>
      </c>
      <c r="M493" s="56" t="n">
        <v>41.55</v>
      </c>
      <c r="N493" s="56" t="n">
        <v>8.35</v>
      </c>
      <c r="O493" s="56" t="n">
        <v>3.9</v>
      </c>
      <c r="P493" s="56" t="n">
        <v>0.03</v>
      </c>
      <c r="Q493" s="56" t="n">
        <v>6.92</v>
      </c>
      <c r="R493" s="56" t="n">
        <v>2</v>
      </c>
      <c r="S493" s="56">
        <f>IF(AC493="Cancelled",0,M493*R493)</f>
        <v/>
      </c>
      <c r="T493" s="56">
        <f>IF(AC493="Cancelled",0,N493*R493)</f>
        <v/>
      </c>
      <c r="U493" s="56">
        <f>IF(AC493="Cancelled",0,O493*R493)</f>
        <v/>
      </c>
      <c r="V493" s="56">
        <f>IF(AC493="Cancelled",0,ROUND(P493*S493,2))</f>
        <v/>
      </c>
      <c r="W493" s="56" t="inlineStr">
        <is>
          <t>No</t>
        </is>
      </c>
      <c r="X493" s="56" t="n">
        <v>0</v>
      </c>
      <c r="Y493" s="56">
        <f>IF(AC493="Cancelled",0,T493+U493+V493+Q493+X493)</f>
        <v/>
      </c>
      <c r="Z493" s="56">
        <f>IF(AC493="Cancelled",-Q493,S493-Y493)</f>
        <v/>
      </c>
      <c r="AA493" s="56">
        <f>IF(OR(AC493="Cancelled",S493=0),0,Z493/S493)</f>
        <v/>
      </c>
      <c r="AB493" s="56">
        <f>IFERROR(IF(Q493=0,0,S493/Q493),0)</f>
        <v/>
      </c>
      <c r="AC493" s="56" t="inlineStr">
        <is>
          <t>Delivered</t>
        </is>
      </c>
      <c r="AD493" s="56">
        <f>IF(Z493&lt;=0,"Low Profit",IF(Z493&gt;=50,"HighProfit","Medium Profit"))</f>
        <v/>
      </c>
      <c r="AE493" s="56">
        <f>TEXT(B493,"mmmm")</f>
        <v/>
      </c>
    </row>
    <row r="494" ht="14.25" customHeight="1" s="57">
      <c r="A494" s="56" t="inlineStr">
        <is>
          <t>ORD-00215</t>
        </is>
      </c>
      <c r="B494" s="116" t="n">
        <v>46138</v>
      </c>
      <c r="C494" s="56" t="n">
        <v>2026</v>
      </c>
      <c r="D494" s="56" t="n">
        <v>4</v>
      </c>
      <c r="E494" s="56" t="inlineStr">
        <is>
          <t>Qatar</t>
        </is>
      </c>
      <c r="F494" s="56" t="inlineStr">
        <is>
          <t>Doha</t>
        </is>
      </c>
      <c r="G494" s="56" t="inlineStr">
        <is>
          <t>Influencer</t>
        </is>
      </c>
      <c r="H494" s="56" t="inlineStr">
        <is>
          <t>Retargeting</t>
        </is>
      </c>
      <c r="I494" s="56" t="inlineStr">
        <is>
          <t>P003</t>
        </is>
      </c>
      <c r="J494" s="56" t="inlineStr">
        <is>
          <t>LED Strip Lights</t>
        </is>
      </c>
      <c r="K494" s="56" t="inlineStr">
        <is>
          <t>Home Decor</t>
        </is>
      </c>
      <c r="L494" s="56" t="inlineStr">
        <is>
          <t>Yiwu Lighting Factory</t>
        </is>
      </c>
      <c r="M494" s="56" t="n">
        <v>27</v>
      </c>
      <c r="N494" s="56" t="n">
        <v>5.89</v>
      </c>
      <c r="O494" s="56" t="n">
        <v>3.5</v>
      </c>
      <c r="P494" s="56" t="n">
        <v>0.03</v>
      </c>
      <c r="Q494" s="56" t="n">
        <v>30.12</v>
      </c>
      <c r="R494" s="56" t="n">
        <v>3</v>
      </c>
      <c r="S494" s="56">
        <f>IF(AC494="Cancelled",0,M494*R494)</f>
        <v/>
      </c>
      <c r="T494" s="56">
        <f>IF(AC494="Cancelled",0,N494*R494)</f>
        <v/>
      </c>
      <c r="U494" s="56">
        <f>IF(AC494="Cancelled",0,O494*R494)</f>
        <v/>
      </c>
      <c r="V494" s="56">
        <f>IF(AC494="Cancelled",0,ROUND(P494*S494,2))</f>
        <v/>
      </c>
      <c r="W494" s="56" t="inlineStr">
        <is>
          <t>No</t>
        </is>
      </c>
      <c r="X494" s="56" t="n">
        <v>0</v>
      </c>
      <c r="Y494" s="56">
        <f>IF(AC494="Cancelled",0,T494+U494+V494+Q494+X494)</f>
        <v/>
      </c>
      <c r="Z494" s="56">
        <f>IF(AC494="Cancelled",-Q494,S494-Y494)</f>
        <v/>
      </c>
      <c r="AA494" s="56">
        <f>IF(OR(AC494="Cancelled",S494=0),0,Z494/S494)</f>
        <v/>
      </c>
      <c r="AB494" s="56">
        <f>IFERROR(IF(Q494=0,0,S494/Q494),0)</f>
        <v/>
      </c>
      <c r="AC494" s="56" t="inlineStr">
        <is>
          <t>Delivered</t>
        </is>
      </c>
      <c r="AD494" s="56">
        <f>IF(Z494&lt;=0,"Low Profit",IF(Z494&gt;=50,"HighProfit","Medium Profit"))</f>
        <v/>
      </c>
      <c r="AE494" s="56">
        <f>TEXT(B494,"mmmm")</f>
        <v/>
      </c>
    </row>
    <row r="495" ht="14.25" customHeight="1" s="57">
      <c r="A495" s="56" t="inlineStr">
        <is>
          <t>ORD-00068</t>
        </is>
      </c>
      <c r="B495" s="116" t="n">
        <v>46139</v>
      </c>
      <c r="C495" s="56" t="n">
        <v>2026</v>
      </c>
      <c r="D495" s="56" t="n">
        <v>4</v>
      </c>
      <c r="E495" s="56" t="inlineStr">
        <is>
          <t>Saudi Arabia</t>
        </is>
      </c>
      <c r="F495" s="56" t="inlineStr">
        <is>
          <t>Riyadh</t>
        </is>
      </c>
      <c r="G495" s="56" t="inlineStr">
        <is>
          <t>Meta Ads</t>
        </is>
      </c>
      <c r="H495" s="56" t="inlineStr">
        <is>
          <t>Launch Test</t>
        </is>
      </c>
      <c r="I495" s="56" t="inlineStr">
        <is>
          <t>P003</t>
        </is>
      </c>
      <c r="J495" s="56" t="inlineStr">
        <is>
          <t>LED Strip Lights</t>
        </is>
      </c>
      <c r="K495" s="56" t="inlineStr">
        <is>
          <t>Home Decor</t>
        </is>
      </c>
      <c r="L495" s="56" t="inlineStr">
        <is>
          <t>Yiwu Lighting Factory</t>
        </is>
      </c>
      <c r="M495" s="56" t="n">
        <v>23.08</v>
      </c>
      <c r="N495" s="56" t="n">
        <v>6.17</v>
      </c>
      <c r="O495" s="56" t="n">
        <v>3.79</v>
      </c>
      <c r="P495" s="56" t="n">
        <v>0.03</v>
      </c>
      <c r="Q495" s="56" t="n">
        <v>6.69</v>
      </c>
      <c r="R495" s="56" t="n">
        <v>2</v>
      </c>
      <c r="S495" s="56">
        <f>IF(AC495="Cancelled",0,M495*R495)</f>
        <v/>
      </c>
      <c r="T495" s="56">
        <f>IF(AC495="Cancelled",0,N495*R495)</f>
        <v/>
      </c>
      <c r="U495" s="56">
        <f>IF(AC495="Cancelled",0,O495*R495)</f>
        <v/>
      </c>
      <c r="V495" s="56">
        <f>IF(AC495="Cancelled",0,ROUND(P495*S495,2))</f>
        <v/>
      </c>
      <c r="W495" s="56" t="inlineStr">
        <is>
          <t>No</t>
        </is>
      </c>
      <c r="X495" s="56" t="n">
        <v>0</v>
      </c>
      <c r="Y495" s="56">
        <f>IF(AC495="Cancelled",0,T495+U495+V495+Q495+X495)</f>
        <v/>
      </c>
      <c r="Z495" s="56">
        <f>IF(AC495="Cancelled",-Q495,S495-Y495)</f>
        <v/>
      </c>
      <c r="AA495" s="56">
        <f>IF(OR(AC495="Cancelled",S495=0),0,Z495/S495)</f>
        <v/>
      </c>
      <c r="AB495" s="56">
        <f>IFERROR(IF(Q495=0,0,S495/Q495),0)</f>
        <v/>
      </c>
      <c r="AC495" s="56" t="inlineStr">
        <is>
          <t>Delivered</t>
        </is>
      </c>
      <c r="AD495" s="56">
        <f>IF(Z495&lt;=0,"Low Profit",IF(Z495&gt;=50,"HighProfit","Medium Profit"))</f>
        <v/>
      </c>
      <c r="AE495" s="56">
        <f>TEXT(B495,"mmmm")</f>
        <v/>
      </c>
    </row>
    <row r="496" ht="14.25" customHeight="1" s="57">
      <c r="A496" s="56" t="inlineStr">
        <is>
          <t>ORD-00156</t>
        </is>
      </c>
      <c r="B496" s="116" t="n">
        <v>46140</v>
      </c>
      <c r="C496" s="56" t="n">
        <v>2026</v>
      </c>
      <c r="D496" s="56" t="n">
        <v>4</v>
      </c>
      <c r="E496" s="56" t="inlineStr">
        <is>
          <t>Qatar</t>
        </is>
      </c>
      <c r="F496" s="56" t="inlineStr">
        <is>
          <t>Doha</t>
        </is>
      </c>
      <c r="G496" s="56" t="inlineStr">
        <is>
          <t>Email</t>
        </is>
      </c>
      <c r="H496" s="56" t="inlineStr">
        <is>
          <t>New Creative A/B</t>
        </is>
      </c>
      <c r="I496" s="56" t="inlineStr">
        <is>
          <t>P010</t>
        </is>
      </c>
      <c r="J496" s="56" t="inlineStr">
        <is>
          <t>Smart Water Bottle</t>
        </is>
      </c>
      <c r="K496" s="56" t="inlineStr">
        <is>
          <t>Lifestyle</t>
        </is>
      </c>
      <c r="L496" s="56" t="inlineStr">
        <is>
          <t>Shenzhen Smart Home</t>
        </is>
      </c>
      <c r="M496" s="56" t="n">
        <v>33.25</v>
      </c>
      <c r="N496" s="56" t="n">
        <v>10.35</v>
      </c>
      <c r="O496" s="56" t="n">
        <v>4.34</v>
      </c>
      <c r="P496" s="56" t="n">
        <v>0.03</v>
      </c>
      <c r="Q496" s="56" t="n">
        <v>15.31</v>
      </c>
      <c r="R496" s="56" t="n">
        <v>2</v>
      </c>
      <c r="S496" s="56">
        <f>IF(AC496="Cancelled",0,M496*R496)</f>
        <v/>
      </c>
      <c r="T496" s="56">
        <f>IF(AC496="Cancelled",0,N496*R496)</f>
        <v/>
      </c>
      <c r="U496" s="56">
        <f>IF(AC496="Cancelled",0,O496*R496)</f>
        <v/>
      </c>
      <c r="V496" s="56">
        <f>IF(AC496="Cancelled",0,ROUND(P496*S496,2))</f>
        <v/>
      </c>
      <c r="W496" s="56" t="inlineStr">
        <is>
          <t>No</t>
        </is>
      </c>
      <c r="X496" s="56" t="n">
        <v>0</v>
      </c>
      <c r="Y496" s="56">
        <f>IF(AC496="Cancelled",0,T496+U496+V496+Q496+X496)</f>
        <v/>
      </c>
      <c r="Z496" s="56">
        <f>IF(AC496="Cancelled",-Q496,S496-Y496)</f>
        <v/>
      </c>
      <c r="AA496" s="56">
        <f>IF(OR(AC496="Cancelled",S496=0),0,Z496/S496)</f>
        <v/>
      </c>
      <c r="AB496" s="56">
        <f>IFERROR(IF(Q496=0,0,S496/Q496),0)</f>
        <v/>
      </c>
      <c r="AC496" s="56" t="inlineStr">
        <is>
          <t>Delivered</t>
        </is>
      </c>
      <c r="AD496" s="56">
        <f>IF(Z496&lt;=0,"Low Profit",IF(Z496&gt;=50,"HighProfit","Medium Profit"))</f>
        <v/>
      </c>
      <c r="AE496" s="56">
        <f>TEXT(B496,"mmmm")</f>
        <v/>
      </c>
    </row>
    <row r="497" ht="14.25" customHeight="1" s="57">
      <c r="A497" s="56" t="inlineStr">
        <is>
          <t>ORD-00431</t>
        </is>
      </c>
      <c r="B497" s="116" t="n">
        <v>46140</v>
      </c>
      <c r="C497" s="56" t="n">
        <v>2026</v>
      </c>
      <c r="D497" s="56" t="n">
        <v>4</v>
      </c>
      <c r="E497" s="56" t="inlineStr">
        <is>
          <t>Oman</t>
        </is>
      </c>
      <c r="F497" s="56" t="inlineStr">
        <is>
          <t>Muscat</t>
        </is>
      </c>
      <c r="G497" s="56" t="inlineStr">
        <is>
          <t>Influencer</t>
        </is>
      </c>
      <c r="H497" s="56" t="inlineStr">
        <is>
          <t>Summer Sale</t>
        </is>
      </c>
      <c r="I497" s="56" t="inlineStr">
        <is>
          <t>P001</t>
        </is>
      </c>
      <c r="J497" s="56" t="inlineStr">
        <is>
          <t>Wireless Earbuds</t>
        </is>
      </c>
      <c r="K497" s="56" t="inlineStr">
        <is>
          <t>Electronics</t>
        </is>
      </c>
      <c r="L497" s="56" t="inlineStr">
        <is>
          <t>Shenzhen Audio Co.</t>
        </is>
      </c>
      <c r="M497" s="56" t="n">
        <v>41.49</v>
      </c>
      <c r="N497" s="56" t="n">
        <v>8.76</v>
      </c>
      <c r="O497" s="56" t="n">
        <v>4</v>
      </c>
      <c r="P497" s="56" t="n">
        <v>0.03</v>
      </c>
      <c r="Q497" s="56" t="n">
        <v>4.39</v>
      </c>
      <c r="R497" s="56" t="n">
        <v>1</v>
      </c>
      <c r="S497" s="56">
        <f>IF(AC497="Cancelled",0,M497*R497)</f>
        <v/>
      </c>
      <c r="T497" s="56">
        <f>IF(AC497="Cancelled",0,N497*R497)</f>
        <v/>
      </c>
      <c r="U497" s="56">
        <f>IF(AC497="Cancelled",0,O497*R497)</f>
        <v/>
      </c>
      <c r="V497" s="56">
        <f>IF(AC497="Cancelled",0,ROUND(P497*S497,2))</f>
        <v/>
      </c>
      <c r="W497" s="56" t="inlineStr">
        <is>
          <t>No</t>
        </is>
      </c>
      <c r="X497" s="56" t="n">
        <v>0</v>
      </c>
      <c r="Y497" s="56">
        <f>IF(AC497="Cancelled",0,T497+U497+V497+Q497+X497)</f>
        <v/>
      </c>
      <c r="Z497" s="56">
        <f>IF(AC497="Cancelled",-Q497,S497-Y497)</f>
        <v/>
      </c>
      <c r="AA497" s="56">
        <f>IF(OR(AC497="Cancelled",S497=0),0,Z497/S497)</f>
        <v/>
      </c>
      <c r="AB497" s="56">
        <f>IFERROR(IF(Q497=0,0,S497/Q497),0)</f>
        <v/>
      </c>
      <c r="AC497" s="56" t="inlineStr">
        <is>
          <t>Cancelled</t>
        </is>
      </c>
      <c r="AD497" s="56">
        <f>IF(Z497&lt;=0,"Low Profit",IF(Z497&gt;=50,"HighProfit","Medium Profit"))</f>
        <v/>
      </c>
      <c r="AE497" s="56">
        <f>TEXT(B497,"mmmm")</f>
        <v/>
      </c>
    </row>
    <row r="498" ht="14.25" customHeight="1" s="57">
      <c r="A498" s="56" t="inlineStr">
        <is>
          <t>ORD-00465</t>
        </is>
      </c>
      <c r="B498" s="116" t="n">
        <v>46140</v>
      </c>
      <c r="C498" s="56" t="n">
        <v>2026</v>
      </c>
      <c r="D498" s="56" t="n">
        <v>4</v>
      </c>
      <c r="E498" s="56" t="inlineStr">
        <is>
          <t>UAE</t>
        </is>
      </c>
      <c r="F498" s="56" t="inlineStr">
        <is>
          <t>Abu Dhabi</t>
        </is>
      </c>
      <c r="G498" s="56" t="inlineStr">
        <is>
          <t>Influencer</t>
        </is>
      </c>
      <c r="H498" s="56" t="inlineStr">
        <is>
          <t>Retargeting</t>
        </is>
      </c>
      <c r="I498" s="56" t="inlineStr">
        <is>
          <t>P009</t>
        </is>
      </c>
      <c r="J498" s="56" t="inlineStr">
        <is>
          <t>Car Vacuum Cleaner</t>
        </is>
      </c>
      <c r="K498" s="56" t="inlineStr">
        <is>
          <t>Automotive</t>
        </is>
      </c>
      <c r="L498" s="56" t="inlineStr">
        <is>
          <t>Dongguan Auto Tools</t>
        </is>
      </c>
      <c r="M498" s="56" t="n">
        <v>41.25</v>
      </c>
      <c r="N498" s="56" t="n">
        <v>14.16</v>
      </c>
      <c r="O498" s="56" t="n">
        <v>6.13</v>
      </c>
      <c r="P498" s="56" t="n">
        <v>0.03</v>
      </c>
      <c r="Q498" s="56" t="n">
        <v>8.59</v>
      </c>
      <c r="R498" s="56" t="n">
        <v>1</v>
      </c>
      <c r="S498" s="56">
        <f>IF(AC498="Cancelled",0,M498*R498)</f>
        <v/>
      </c>
      <c r="T498" s="56">
        <f>IF(AC498="Cancelled",0,N498*R498)</f>
        <v/>
      </c>
      <c r="U498" s="56">
        <f>IF(AC498="Cancelled",0,O498*R498)</f>
        <v/>
      </c>
      <c r="V498" s="56">
        <f>IF(AC498="Cancelled",0,ROUND(P498*S498,2))</f>
        <v/>
      </c>
      <c r="W498" s="56" t="inlineStr">
        <is>
          <t>No</t>
        </is>
      </c>
      <c r="X498" s="56" t="n">
        <v>0</v>
      </c>
      <c r="Y498" s="56">
        <f>IF(AC498="Cancelled",0,T498+U498+V498+Q498+X498)</f>
        <v/>
      </c>
      <c r="Z498" s="56">
        <f>IF(AC498="Cancelled",-Q498,S498-Y498)</f>
        <v/>
      </c>
      <c r="AA498" s="56">
        <f>IF(OR(AC498="Cancelled",S498=0),0,Z498/S498)</f>
        <v/>
      </c>
      <c r="AB498" s="56">
        <f>IFERROR(IF(Q498=0,0,S498/Q498),0)</f>
        <v/>
      </c>
      <c r="AC498" s="56" t="inlineStr">
        <is>
          <t>Delivered</t>
        </is>
      </c>
      <c r="AD498" s="56">
        <f>IF(Z498&lt;=0,"Low Profit",IF(Z498&gt;=50,"HighProfit","Medium Profit"))</f>
        <v/>
      </c>
      <c r="AE498" s="56">
        <f>TEXT(B498,"mmmm")</f>
        <v/>
      </c>
    </row>
    <row r="499" ht="14.25" customHeight="1" s="57">
      <c r="A499" s="56" t="inlineStr">
        <is>
          <t>ORD-00496</t>
        </is>
      </c>
      <c r="B499" s="116" t="n">
        <v>46140</v>
      </c>
      <c r="C499" s="56" t="n">
        <v>2026</v>
      </c>
      <c r="D499" s="56" t="n">
        <v>4</v>
      </c>
      <c r="E499" s="56" t="inlineStr">
        <is>
          <t>UAE</t>
        </is>
      </c>
      <c r="F499" s="56" t="inlineStr">
        <is>
          <t>Dubai</t>
        </is>
      </c>
      <c r="G499" s="56" t="inlineStr">
        <is>
          <t>TikTok Ads</t>
        </is>
      </c>
      <c r="H499" s="56" t="inlineStr">
        <is>
          <t>Bundle Promo</t>
        </is>
      </c>
      <c r="I499" s="56" t="inlineStr">
        <is>
          <t>P008</t>
        </is>
      </c>
      <c r="J499" s="56" t="inlineStr">
        <is>
          <t>Portable Blender</t>
        </is>
      </c>
      <c r="K499" s="56" t="inlineStr">
        <is>
          <t>Kitchen</t>
        </is>
      </c>
      <c r="L499" s="56" t="inlineStr">
        <is>
          <t>Foshan Appliances</t>
        </is>
      </c>
      <c r="M499" s="56" t="n">
        <v>45.67</v>
      </c>
      <c r="N499" s="56" t="n">
        <v>15.66</v>
      </c>
      <c r="O499" s="56" t="n">
        <v>6.41</v>
      </c>
      <c r="P499" s="56" t="n">
        <v>0.03</v>
      </c>
      <c r="Q499" s="56" t="n">
        <v>6.63</v>
      </c>
      <c r="R499" s="56" t="n">
        <v>2</v>
      </c>
      <c r="S499" s="56">
        <f>IF(AC499="Cancelled",0,M499*R499)</f>
        <v/>
      </c>
      <c r="T499" s="56">
        <f>IF(AC499="Cancelled",0,N499*R499)</f>
        <v/>
      </c>
      <c r="U499" s="56">
        <f>IF(AC499="Cancelled",0,O499*R499)</f>
        <v/>
      </c>
      <c r="V499" s="56">
        <f>IF(AC499="Cancelled",0,ROUND(P499*S499,2))</f>
        <v/>
      </c>
      <c r="W499" s="56" t="inlineStr">
        <is>
          <t>No</t>
        </is>
      </c>
      <c r="X499" s="56" t="n">
        <v>0</v>
      </c>
      <c r="Y499" s="56">
        <f>IF(AC499="Cancelled",0,T499+U499+V499+Q499+X499)</f>
        <v/>
      </c>
      <c r="Z499" s="56">
        <f>IF(AC499="Cancelled",-Q499,S499-Y499)</f>
        <v/>
      </c>
      <c r="AA499" s="56">
        <f>IF(OR(AC499="Cancelled",S499=0),0,Z499/S499)</f>
        <v/>
      </c>
      <c r="AB499" s="56">
        <f>IFERROR(IF(Q499=0,0,S499/Q499),0)</f>
        <v/>
      </c>
      <c r="AC499" s="56" t="inlineStr">
        <is>
          <t>Delivered</t>
        </is>
      </c>
      <c r="AD499" s="56">
        <f>IF(Z499&lt;=0,"Low Profit",IF(Z499&gt;=50,"HighProfit","Medium Profit"))</f>
        <v/>
      </c>
      <c r="AE499" s="56">
        <f>TEXT(B499,"mmmm")</f>
        <v/>
      </c>
    </row>
    <row r="500" ht="14.25" customHeight="1" s="57">
      <c r="A500" s="56" t="inlineStr">
        <is>
          <t>ORD-00314</t>
        </is>
      </c>
      <c r="B500" s="116" t="n">
        <v>46141</v>
      </c>
      <c r="C500" s="56" t="n">
        <v>2026</v>
      </c>
      <c r="D500" s="56" t="n">
        <v>4</v>
      </c>
      <c r="E500" s="56" t="inlineStr">
        <is>
          <t>Saudi Arabia</t>
        </is>
      </c>
      <c r="F500" s="56" t="inlineStr">
        <is>
          <t>Riyadh</t>
        </is>
      </c>
      <c r="G500" s="56" t="inlineStr">
        <is>
          <t>Meta Ads</t>
        </is>
      </c>
      <c r="H500" s="56" t="inlineStr">
        <is>
          <t>Launch Test</t>
        </is>
      </c>
      <c r="I500" s="56" t="inlineStr">
        <is>
          <t>P003</t>
        </is>
      </c>
      <c r="J500" s="56" t="inlineStr">
        <is>
          <t>LED Strip Lights</t>
        </is>
      </c>
      <c r="K500" s="56" t="inlineStr">
        <is>
          <t>Home Decor</t>
        </is>
      </c>
      <c r="L500" s="56" t="inlineStr">
        <is>
          <t>Yiwu Lighting Factory</t>
        </is>
      </c>
      <c r="M500" s="56" t="n">
        <v>25.37</v>
      </c>
      <c r="N500" s="56" t="n">
        <v>6.41</v>
      </c>
      <c r="O500" s="56" t="n">
        <v>3.52</v>
      </c>
      <c r="P500" s="56" t="n">
        <v>0.03</v>
      </c>
      <c r="Q500" s="56" t="n">
        <v>10.63</v>
      </c>
      <c r="R500" s="56" t="n">
        <v>3</v>
      </c>
      <c r="S500" s="56">
        <f>IF(AC500="Cancelled",0,M500*R500)</f>
        <v/>
      </c>
      <c r="T500" s="56">
        <f>IF(AC500="Cancelled",0,N500*R500)</f>
        <v/>
      </c>
      <c r="U500" s="56">
        <f>IF(AC500="Cancelled",0,O500*R500)</f>
        <v/>
      </c>
      <c r="V500" s="56">
        <f>IF(AC500="Cancelled",0,ROUND(P500*S500,2))</f>
        <v/>
      </c>
      <c r="W500" s="56" t="inlineStr">
        <is>
          <t>No</t>
        </is>
      </c>
      <c r="X500" s="56" t="n">
        <v>0</v>
      </c>
      <c r="Y500" s="56">
        <f>IF(AC500="Cancelled",0,T500+U500+V500+Q500+X500)</f>
        <v/>
      </c>
      <c r="Z500" s="56">
        <f>IF(AC500="Cancelled",-Q500,S500-Y500)</f>
        <v/>
      </c>
      <c r="AA500" s="56">
        <f>IF(OR(AC500="Cancelled",S500=0),0,Z500/S500)</f>
        <v/>
      </c>
      <c r="AB500" s="56">
        <f>IFERROR(IF(Q500=0,0,S500/Q500),0)</f>
        <v/>
      </c>
      <c r="AC500" s="56" t="inlineStr">
        <is>
          <t>Delivered</t>
        </is>
      </c>
      <c r="AD500" s="56">
        <f>IF(Z500&lt;=0,"Low Profit",IF(Z500&gt;=50,"HighProfit","Medium Profit"))</f>
        <v/>
      </c>
      <c r="AE500" s="56">
        <f>TEXT(B500,"mmmm")</f>
        <v/>
      </c>
    </row>
    <row r="501" ht="14.25" customHeight="1" s="57">
      <c r="A501" s="56" t="inlineStr">
        <is>
          <t>ORD-00448</t>
        </is>
      </c>
      <c r="B501" s="116" t="n">
        <v>46141</v>
      </c>
      <c r="C501" s="56" t="n">
        <v>2026</v>
      </c>
      <c r="D501" s="56" t="n">
        <v>4</v>
      </c>
      <c r="E501" s="56" t="inlineStr">
        <is>
          <t>Saudi Arabia</t>
        </is>
      </c>
      <c r="F501" s="56" t="inlineStr">
        <is>
          <t>Jeddah</t>
        </is>
      </c>
      <c r="G501" s="56" t="inlineStr">
        <is>
          <t>Google Ads</t>
        </is>
      </c>
      <c r="H501" s="56" t="inlineStr">
        <is>
          <t>Retargeting</t>
        </is>
      </c>
      <c r="I501" s="56" t="inlineStr">
        <is>
          <t>P004</t>
        </is>
      </c>
      <c r="J501" s="56" t="inlineStr">
        <is>
          <t>Beauty Tool</t>
        </is>
      </c>
      <c r="K501" s="56" t="inlineStr">
        <is>
          <t>Beauty</t>
        </is>
      </c>
      <c r="L501" s="56" t="inlineStr">
        <is>
          <t>Ningbo Beauty Supply</t>
        </is>
      </c>
      <c r="M501" s="56" t="n">
        <v>30.3</v>
      </c>
      <c r="N501" s="56" t="n">
        <v>6.84</v>
      </c>
      <c r="O501" s="56" t="n">
        <v>4.26</v>
      </c>
      <c r="P501" s="56" t="n">
        <v>0.03</v>
      </c>
      <c r="Q501" s="56" t="n">
        <v>7.6</v>
      </c>
      <c r="R501" s="56" t="n">
        <v>2</v>
      </c>
      <c r="S501" s="56">
        <f>IF(AC501="Cancelled",0,M501*R501)</f>
        <v/>
      </c>
      <c r="T501" s="56">
        <f>IF(AC501="Cancelled",0,N501*R501)</f>
        <v/>
      </c>
      <c r="U501" s="56">
        <f>IF(AC501="Cancelled",0,O501*R501)</f>
        <v/>
      </c>
      <c r="V501" s="56">
        <f>IF(AC501="Cancelled",0,ROUND(P501*S501,2))</f>
        <v/>
      </c>
      <c r="W501" s="56" t="inlineStr">
        <is>
          <t>No</t>
        </is>
      </c>
      <c r="X501" s="56" t="n">
        <v>0</v>
      </c>
      <c r="Y501" s="56">
        <f>IF(AC501="Cancelled",0,T501+U501+V501+Q501+X501)</f>
        <v/>
      </c>
      <c r="Z501" s="56">
        <f>IF(AC501="Cancelled",-Q501,S501-Y501)</f>
        <v/>
      </c>
      <c r="AA501" s="56">
        <f>IF(OR(AC501="Cancelled",S501=0),0,Z501/S501)</f>
        <v/>
      </c>
      <c r="AB501" s="56">
        <f>IFERROR(IF(Q501=0,0,S501/Q501),0)</f>
        <v/>
      </c>
      <c r="AC501" s="56" t="inlineStr">
        <is>
          <t>Cancelled</t>
        </is>
      </c>
      <c r="AD501" s="56">
        <f>IF(Z501&lt;=0,"Low Profit",IF(Z501&gt;=50,"HighProfit","Medium Profit"))</f>
        <v/>
      </c>
      <c r="AE501" s="56">
        <f>TEXT(B501,"mmmm")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J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6" activeCellId="0" sqref="F6"/>
    </sheetView>
  </sheetViews>
  <sheetFormatPr baseColWidth="8" defaultColWidth="8.66796875" defaultRowHeight="14.25" zeroHeight="0" outlineLevelRow="0"/>
  <cols>
    <col width="3" customWidth="1" style="56" min="1" max="1"/>
    <col width="22" customWidth="1" style="56" min="2" max="2"/>
    <col width="18" customWidth="1" style="56" min="3" max="6"/>
    <col width="4" customWidth="1" style="56" min="7" max="7"/>
    <col width="26" customWidth="1" style="56" min="8" max="8"/>
    <col width="18" customWidth="1" style="56" min="9" max="10"/>
  </cols>
  <sheetData>
    <row r="2" ht="14.25" customHeight="1" s="57">
      <c r="B2" s="73" t="inlineStr">
        <is>
          <t>Dashboard — Live Product Profitability</t>
        </is>
      </c>
    </row>
    <row r="3" ht="14.25" customHeight="1" s="57"/>
    <row r="5" ht="14.25" customHeight="1" s="57">
      <c r="B5" s="113" t="inlineStr">
        <is>
          <t>Revenue</t>
        </is>
      </c>
      <c r="D5" s="113" t="inlineStr">
        <is>
          <t>Net Profit</t>
        </is>
      </c>
      <c r="F5" s="113" t="inlineStr">
        <is>
          <t>ROAS</t>
        </is>
      </c>
      <c r="H5" s="113" t="inlineStr">
        <is>
          <t>Score</t>
        </is>
      </c>
    </row>
    <row r="6" ht="17.25" customHeight="1" s="57">
      <c r="B6" s="117">
        <f>'Profit Calculator'!C10</f>
        <v/>
      </c>
      <c r="D6" s="117">
        <f>'Profit Calculator'!C26</f>
        <v/>
      </c>
      <c r="F6" s="118">
        <f>'Profit Calculator'!C34</f>
        <v/>
      </c>
      <c r="H6" s="119">
        <f>'Profit Calculator'!H11</f>
        <v/>
      </c>
    </row>
    <row r="9" ht="15" customHeight="1" s="57">
      <c r="B9" s="84" t="inlineStr">
        <is>
          <t>Executive Summary</t>
        </is>
      </c>
      <c r="C9" s="85" t="n"/>
      <c r="D9" s="85" t="n"/>
      <c r="E9" s="85" t="n"/>
    </row>
    <row r="10" ht="14.25" customHeight="1" s="57">
      <c r="B10" s="87" t="inlineStr">
        <is>
          <t>Product Verdict</t>
        </is>
      </c>
      <c r="C10" s="115">
        <f>'Profit Calculator'!H12</f>
        <v/>
      </c>
    </row>
    <row r="11" ht="14.25" customHeight="1" s="57">
      <c r="B11" s="87" t="inlineStr">
        <is>
          <t>Ad Safety</t>
        </is>
      </c>
      <c r="C11" s="115">
        <f>'Profit Calculator'!H13</f>
        <v/>
      </c>
    </row>
    <row r="12" ht="14.25" customHeight="1" s="57">
      <c r="B12" s="87" t="inlineStr">
        <is>
          <t>Break-even ROAS</t>
        </is>
      </c>
      <c r="C12" s="109">
        <f>'Profit Calculator'!C40</f>
        <v/>
      </c>
    </row>
    <row r="13" ht="14.25" customHeight="1" s="57">
      <c r="B13" s="87" t="inlineStr">
        <is>
          <t>Break-even CAC</t>
        </is>
      </c>
      <c r="C13" s="107">
        <f>'Profit Calculator'!C41</f>
        <v/>
      </c>
    </row>
    <row r="14" ht="14.25" customHeight="1" s="57">
      <c r="B14" s="87" t="inlineStr">
        <is>
          <t>Profit Margin</t>
        </is>
      </c>
      <c r="C14" s="108">
        <f>'Profit Calculator'!C27</f>
        <v/>
      </c>
    </row>
    <row r="15" ht="14.25" customHeight="1" s="57">
      <c r="B15" s="87" t="inlineStr">
        <is>
          <t>LTV:CAC</t>
        </is>
      </c>
      <c r="C15" s="109">
        <f>'Profit Calculator'!C36</f>
        <v/>
      </c>
    </row>
    <row r="18" ht="14.25" customHeight="1" s="57">
      <c r="B18" s="75" t="inlineStr">
        <is>
          <t>Metric</t>
        </is>
      </c>
      <c r="C18" s="75" t="inlineStr">
        <is>
          <t>Value</t>
        </is>
      </c>
    </row>
    <row r="19" ht="14.25" customHeight="1" s="57">
      <c r="B19" s="75" t="inlineStr">
        <is>
          <t>Revenue</t>
        </is>
      </c>
      <c r="C19" s="120">
        <f>'Profit Calculator'!C10</f>
        <v/>
      </c>
    </row>
    <row r="20" ht="14.25" customHeight="1" s="57">
      <c r="B20" s="75" t="inlineStr">
        <is>
          <t>Total Costs</t>
        </is>
      </c>
      <c r="C20" s="120">
        <f>'Profit Calculator'!C21</f>
        <v/>
      </c>
    </row>
    <row r="21" ht="14.25" customHeight="1" s="57">
      <c r="B21" s="75" t="inlineStr">
        <is>
          <t>Net Profit</t>
        </is>
      </c>
      <c r="C21" s="120">
        <f>'Profit Calculator'!C26</f>
        <v/>
      </c>
    </row>
    <row r="22" ht="14.25" customHeight="1" s="57">
      <c r="B22" s="75" t="inlineStr">
        <is>
          <t>Ad Spend</t>
        </is>
      </c>
      <c r="C22" s="120">
        <f>'Profit Calculator'!C17</f>
        <v/>
      </c>
    </row>
  </sheetData>
  <mergeCells count="2">
    <mergeCell ref="B2:J3"/>
    <mergeCell ref="B9:E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Shahed shahed</dc:creator>
  <dc:language xmlns:dc="http://purl.org/dc/elements/1.1/">en-US</dc:language>
  <dcterms:created xmlns:dcterms="http://purl.org/dc/terms/" xmlns:xsi="http://www.w3.org/2001/XMLSchema-instance" xsi:type="dcterms:W3CDTF">2026-05-17T16:35:35Z</dcterms:created>
  <dcterms:modified xmlns:dcterms="http://purl.org/dc/terms/" xmlns:xsi="http://www.w3.org/2001/XMLSchema-instance" xsi:type="dcterms:W3CDTF">2026-05-17T17:42:46Z</dcterms:modified>
  <cp:revision>2</cp:revision>
</cp:coreProperties>
</file>